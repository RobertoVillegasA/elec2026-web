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ec2026-web\"/>
    </mc:Choice>
  </mc:AlternateContent>
  <xr:revisionPtr revIDLastSave="0" documentId="8_{74C74556-0A11-4E26-BC05-6507B7FF63D3}" xr6:coauthVersionLast="47" xr6:coauthVersionMax="47" xr10:uidLastSave="{00000000-0000-0000-0000-000000000000}"/>
  <bookViews>
    <workbookView xWindow="-120" yWindow="-120" windowWidth="20730" windowHeight="11040" xr2:uid="{C15A2A07-BF9E-441C-87A0-A73EC912F25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838" i="1" l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S823" i="1"/>
  <c r="R823" i="1"/>
  <c r="S822" i="1"/>
  <c r="R822" i="1"/>
  <c r="S821" i="1"/>
  <c r="R821" i="1"/>
  <c r="R820" i="1"/>
  <c r="S819" i="1"/>
  <c r="R819" i="1"/>
  <c r="S818" i="1"/>
  <c r="R818" i="1"/>
  <c r="S817" i="1"/>
  <c r="R817" i="1"/>
  <c r="S816" i="1"/>
  <c r="R816" i="1"/>
  <c r="S815" i="1"/>
  <c r="R815" i="1"/>
  <c r="S814" i="1"/>
  <c r="R814" i="1"/>
  <c r="R813" i="1"/>
  <c r="S812" i="1"/>
  <c r="R812" i="1"/>
  <c r="S811" i="1"/>
  <c r="R811" i="1"/>
  <c r="R810" i="1"/>
  <c r="R809" i="1"/>
  <c r="R808" i="1"/>
  <c r="R807" i="1"/>
  <c r="R806" i="1"/>
  <c r="S805" i="1"/>
  <c r="R805" i="1"/>
  <c r="S804" i="1"/>
  <c r="R804" i="1"/>
  <c r="R803" i="1"/>
  <c r="R802" i="1"/>
  <c r="R801" i="1"/>
  <c r="S800" i="1"/>
  <c r="R800" i="1"/>
  <c r="S799" i="1"/>
  <c r="R799" i="1"/>
  <c r="S798" i="1"/>
  <c r="R798" i="1"/>
  <c r="R797" i="1"/>
  <c r="R796" i="1"/>
  <c r="R795" i="1"/>
  <c r="R794" i="1"/>
  <c r="R793" i="1"/>
  <c r="R792" i="1"/>
  <c r="R791" i="1"/>
  <c r="S790" i="1"/>
  <c r="R790" i="1"/>
  <c r="S789" i="1"/>
  <c r="R789" i="1"/>
  <c r="S788" i="1"/>
  <c r="R788" i="1"/>
  <c r="S787" i="1"/>
  <c r="R787" i="1"/>
  <c r="R786" i="1"/>
  <c r="R785" i="1"/>
  <c r="R784" i="1"/>
  <c r="S783" i="1"/>
  <c r="R783" i="1"/>
  <c r="S782" i="1"/>
  <c r="R782" i="1"/>
  <c r="S781" i="1"/>
  <c r="R781" i="1"/>
  <c r="S780" i="1"/>
  <c r="R780" i="1"/>
  <c r="S779" i="1"/>
  <c r="R779" i="1"/>
  <c r="S778" i="1"/>
  <c r="R778" i="1"/>
  <c r="S777" i="1"/>
  <c r="R777" i="1"/>
  <c r="S776" i="1"/>
  <c r="R776" i="1"/>
  <c r="S775" i="1"/>
  <c r="R775" i="1"/>
  <c r="R774" i="1"/>
  <c r="R773" i="1"/>
  <c r="R772" i="1"/>
  <c r="R771" i="1"/>
  <c r="R770" i="1"/>
  <c r="S769" i="1"/>
  <c r="R769" i="1"/>
  <c r="S768" i="1"/>
  <c r="R768" i="1"/>
  <c r="S767" i="1"/>
  <c r="R767" i="1"/>
  <c r="S766" i="1"/>
  <c r="R766" i="1"/>
  <c r="S765" i="1"/>
  <c r="R765" i="1"/>
  <c r="S764" i="1"/>
  <c r="R764" i="1"/>
  <c r="S763" i="1"/>
  <c r="R763" i="1"/>
  <c r="S762" i="1"/>
  <c r="R762" i="1"/>
  <c r="S761" i="1"/>
  <c r="R761" i="1"/>
  <c r="S760" i="1"/>
  <c r="R760" i="1"/>
  <c r="S759" i="1"/>
  <c r="R759" i="1"/>
  <c r="R758" i="1"/>
  <c r="S757" i="1"/>
  <c r="R757" i="1"/>
  <c r="S756" i="1"/>
  <c r="R756" i="1"/>
  <c r="S755" i="1"/>
  <c r="R755" i="1"/>
  <c r="S754" i="1"/>
  <c r="R754" i="1"/>
  <c r="S753" i="1"/>
  <c r="R753" i="1"/>
  <c r="S752" i="1"/>
  <c r="R752" i="1"/>
  <c r="S751" i="1"/>
  <c r="R751" i="1"/>
  <c r="R750" i="1"/>
  <c r="S749" i="1"/>
  <c r="R749" i="1"/>
  <c r="R748" i="1"/>
  <c r="R747" i="1"/>
  <c r="S746" i="1"/>
  <c r="R746" i="1"/>
  <c r="S745" i="1"/>
  <c r="R745" i="1"/>
  <c r="R744" i="1"/>
  <c r="S743" i="1"/>
  <c r="R743" i="1"/>
  <c r="S742" i="1"/>
  <c r="R742" i="1"/>
  <c r="S741" i="1"/>
  <c r="R741" i="1"/>
  <c r="S740" i="1"/>
  <c r="R740" i="1"/>
  <c r="R739" i="1"/>
  <c r="S738" i="1"/>
  <c r="R738" i="1"/>
  <c r="S737" i="1"/>
  <c r="R737" i="1"/>
  <c r="R736" i="1"/>
  <c r="R735" i="1"/>
  <c r="S734" i="1"/>
  <c r="R734" i="1"/>
  <c r="S733" i="1"/>
  <c r="R733" i="1"/>
  <c r="S732" i="1"/>
  <c r="R732" i="1"/>
  <c r="S731" i="1"/>
  <c r="R731" i="1"/>
  <c r="S730" i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R721" i="1"/>
  <c r="R720" i="1"/>
  <c r="S719" i="1"/>
  <c r="R719" i="1"/>
  <c r="S718" i="1"/>
  <c r="R718" i="1"/>
  <c r="S717" i="1"/>
  <c r="R717" i="1"/>
  <c r="S716" i="1"/>
  <c r="R716" i="1"/>
  <c r="R715" i="1"/>
  <c r="R714" i="1"/>
  <c r="R713" i="1"/>
  <c r="R712" i="1"/>
  <c r="S711" i="1"/>
  <c r="R711" i="1"/>
  <c r="S710" i="1"/>
  <c r="R710" i="1"/>
  <c r="S709" i="1"/>
  <c r="R709" i="1"/>
  <c r="S708" i="1"/>
  <c r="R708" i="1"/>
  <c r="S707" i="1"/>
  <c r="R707" i="1"/>
  <c r="S706" i="1"/>
  <c r="R706" i="1"/>
  <c r="S705" i="1"/>
  <c r="R705" i="1"/>
  <c r="S704" i="1"/>
  <c r="R704" i="1"/>
  <c r="S703" i="1"/>
  <c r="R703" i="1"/>
  <c r="S702" i="1"/>
  <c r="R702" i="1"/>
  <c r="S701" i="1"/>
  <c r="R701" i="1"/>
  <c r="S700" i="1"/>
  <c r="R700" i="1"/>
  <c r="S699" i="1"/>
  <c r="R699" i="1"/>
  <c r="S698" i="1"/>
  <c r="R698" i="1"/>
  <c r="S697" i="1"/>
  <c r="R697" i="1"/>
  <c r="R696" i="1"/>
  <c r="S695" i="1"/>
  <c r="R695" i="1"/>
  <c r="S694" i="1"/>
  <c r="R694" i="1"/>
  <c r="R693" i="1"/>
  <c r="R692" i="1"/>
  <c r="R691" i="1"/>
  <c r="R690" i="1"/>
  <c r="S689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S675" i="1"/>
  <c r="R675" i="1"/>
  <c r="S674" i="1"/>
  <c r="R674" i="1"/>
  <c r="S673" i="1"/>
  <c r="R673" i="1"/>
  <c r="S672" i="1"/>
  <c r="R672" i="1"/>
  <c r="S671" i="1"/>
  <c r="R671" i="1"/>
  <c r="S670" i="1"/>
  <c r="R670" i="1"/>
  <c r="S669" i="1"/>
  <c r="R669" i="1"/>
  <c r="S668" i="1"/>
  <c r="R668" i="1"/>
  <c r="S667" i="1"/>
  <c r="R667" i="1"/>
  <c r="R666" i="1"/>
  <c r="S665" i="1"/>
  <c r="R665" i="1"/>
  <c r="R664" i="1"/>
  <c r="R663" i="1"/>
  <c r="R662" i="1"/>
  <c r="R661" i="1"/>
  <c r="S660" i="1"/>
  <c r="R660" i="1"/>
  <c r="S659" i="1"/>
  <c r="R659" i="1"/>
  <c r="S658" i="1"/>
  <c r="R658" i="1"/>
  <c r="S657" i="1"/>
  <c r="R657" i="1"/>
  <c r="S656" i="1"/>
  <c r="R656" i="1"/>
  <c r="S655" i="1"/>
  <c r="R655" i="1"/>
  <c r="S654" i="1"/>
  <c r="R654" i="1"/>
  <c r="S653" i="1"/>
  <c r="R653" i="1"/>
  <c r="S652" i="1"/>
  <c r="R652" i="1"/>
  <c r="S651" i="1"/>
  <c r="R651" i="1"/>
  <c r="R650" i="1"/>
  <c r="R649" i="1"/>
  <c r="R648" i="1"/>
  <c r="R647" i="1"/>
  <c r="S646" i="1"/>
  <c r="R646" i="1"/>
  <c r="S645" i="1"/>
  <c r="R645" i="1"/>
  <c r="S644" i="1"/>
  <c r="R644" i="1"/>
  <c r="S643" i="1"/>
  <c r="R643" i="1"/>
  <c r="S642" i="1"/>
  <c r="R642" i="1"/>
  <c r="S641" i="1"/>
  <c r="R641" i="1"/>
  <c r="S640" i="1"/>
  <c r="R640" i="1"/>
  <c r="S639" i="1"/>
  <c r="R639" i="1"/>
  <c r="S638" i="1"/>
  <c r="R638" i="1"/>
  <c r="S637" i="1"/>
  <c r="R637" i="1"/>
  <c r="S636" i="1"/>
  <c r="R636" i="1"/>
  <c r="S635" i="1"/>
  <c r="R635" i="1"/>
  <c r="S634" i="1"/>
  <c r="R634" i="1"/>
  <c r="R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S626" i="1"/>
  <c r="R626" i="1"/>
  <c r="S625" i="1"/>
  <c r="R625" i="1"/>
  <c r="R624" i="1"/>
  <c r="R623" i="1"/>
  <c r="R622" i="1"/>
  <c r="R621" i="1"/>
  <c r="S620" i="1"/>
  <c r="R620" i="1"/>
  <c r="S619" i="1"/>
  <c r="R619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R607" i="1"/>
  <c r="R606" i="1"/>
  <c r="S605" i="1"/>
  <c r="R605" i="1"/>
  <c r="S604" i="1"/>
  <c r="R604" i="1"/>
  <c r="S603" i="1"/>
  <c r="R603" i="1"/>
  <c r="S602" i="1"/>
  <c r="R602" i="1"/>
  <c r="S601" i="1"/>
  <c r="R601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R585" i="1"/>
  <c r="S584" i="1"/>
  <c r="R584" i="1"/>
  <c r="R583" i="1"/>
  <c r="S582" i="1"/>
  <c r="R582" i="1"/>
  <c r="R581" i="1"/>
  <c r="R580" i="1"/>
  <c r="R579" i="1"/>
  <c r="R578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R565" i="1"/>
  <c r="S564" i="1"/>
  <c r="R564" i="1"/>
  <c r="S563" i="1"/>
  <c r="R563" i="1"/>
  <c r="S562" i="1"/>
  <c r="R562" i="1"/>
  <c r="S561" i="1"/>
  <c r="R561" i="1"/>
  <c r="R560" i="1"/>
  <c r="S559" i="1"/>
  <c r="R559" i="1"/>
  <c r="S558" i="1"/>
  <c r="R558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R537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R506" i="1"/>
  <c r="S505" i="1"/>
  <c r="R505" i="1"/>
  <c r="S504" i="1"/>
  <c r="R504" i="1"/>
  <c r="S503" i="1"/>
  <c r="R503" i="1"/>
  <c r="S502" i="1"/>
  <c r="R502" i="1"/>
  <c r="R501" i="1"/>
  <c r="S500" i="1"/>
  <c r="R500" i="1"/>
  <c r="S499" i="1"/>
  <c r="R499" i="1"/>
  <c r="S498" i="1"/>
  <c r="R498" i="1"/>
  <c r="R497" i="1"/>
  <c r="R496" i="1"/>
  <c r="R495" i="1"/>
  <c r="S494" i="1"/>
  <c r="R494" i="1"/>
  <c r="S493" i="1"/>
  <c r="R493" i="1"/>
  <c r="S492" i="1"/>
  <c r="R492" i="1"/>
  <c r="R491" i="1"/>
  <c r="R490" i="1"/>
  <c r="R489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R471" i="1"/>
  <c r="S470" i="1"/>
  <c r="R470" i="1"/>
  <c r="S469" i="1"/>
  <c r="R469" i="1"/>
  <c r="S468" i="1"/>
  <c r="R468" i="1"/>
  <c r="R467" i="1"/>
  <c r="R466" i="1"/>
  <c r="S465" i="1"/>
  <c r="R465" i="1"/>
  <c r="S464" i="1"/>
  <c r="R464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R419" i="1"/>
  <c r="R418" i="1"/>
  <c r="R417" i="1"/>
  <c r="R416" i="1"/>
  <c r="S415" i="1"/>
  <c r="R415" i="1"/>
  <c r="R414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R375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R359" i="1"/>
  <c r="S358" i="1"/>
  <c r="R358" i="1"/>
  <c r="S357" i="1"/>
  <c r="R357" i="1"/>
  <c r="S356" i="1"/>
  <c r="R356" i="1"/>
  <c r="S355" i="1"/>
  <c r="R355" i="1"/>
  <c r="R354" i="1"/>
  <c r="S353" i="1"/>
  <c r="R353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R342" i="1"/>
  <c r="S341" i="1"/>
  <c r="R341" i="1"/>
  <c r="S340" i="1"/>
  <c r="R340" i="1"/>
  <c r="R339" i="1"/>
  <c r="S338" i="1"/>
  <c r="R338" i="1"/>
  <c r="S337" i="1"/>
  <c r="R337" i="1"/>
  <c r="R336" i="1"/>
  <c r="R335" i="1"/>
  <c r="S334" i="1"/>
  <c r="R334" i="1"/>
  <c r="S333" i="1"/>
  <c r="R333" i="1"/>
  <c r="S332" i="1"/>
  <c r="R332" i="1"/>
  <c r="R331" i="1"/>
  <c r="S330" i="1"/>
  <c r="R330" i="1"/>
  <c r="S329" i="1"/>
  <c r="R329" i="1"/>
  <c r="S328" i="1"/>
  <c r="R328" i="1"/>
  <c r="S327" i="1"/>
  <c r="R327" i="1"/>
  <c r="S326" i="1"/>
  <c r="R326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R315" i="1"/>
  <c r="S314" i="1"/>
  <c r="R314" i="1"/>
  <c r="S313" i="1"/>
  <c r="R313" i="1"/>
  <c r="S312" i="1"/>
  <c r="R312" i="1"/>
  <c r="S311" i="1"/>
  <c r="R311" i="1"/>
  <c r="R310" i="1"/>
  <c r="R309" i="1"/>
  <c r="R308" i="1"/>
  <c r="R307" i="1"/>
  <c r="R306" i="1"/>
  <c r="S305" i="1"/>
  <c r="R305" i="1"/>
  <c r="R304" i="1"/>
  <c r="R303" i="1"/>
  <c r="R302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R265" i="1"/>
  <c r="R264" i="1"/>
  <c r="R263" i="1"/>
  <c r="S262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R226" i="1"/>
  <c r="R225" i="1"/>
  <c r="R224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R207" i="1"/>
  <c r="R206" i="1"/>
  <c r="R205" i="1"/>
  <c r="S204" i="1"/>
  <c r="R204" i="1"/>
  <c r="S203" i="1"/>
  <c r="R203" i="1"/>
  <c r="S202" i="1"/>
  <c r="R202" i="1"/>
  <c r="S201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R129" i="1"/>
  <c r="S128" i="1"/>
  <c r="R128" i="1"/>
  <c r="S127" i="1"/>
  <c r="R127" i="1"/>
  <c r="R126" i="1"/>
  <c r="R125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<sst xmlns="http://schemas.openxmlformats.org/spreadsheetml/2006/main" count="8389" uniqueCount="3066">
  <si>
    <t>FID</t>
  </si>
  <si>
    <t>Departamen</t>
  </si>
  <si>
    <t>Provincia</t>
  </si>
  <si>
    <t>Municipio</t>
  </si>
  <si>
    <t>AsientoEle</t>
  </si>
  <si>
    <t>RecintoEle</t>
  </si>
  <si>
    <t>Zona</t>
  </si>
  <si>
    <t>Dirección</t>
  </si>
  <si>
    <t>Circunscri</t>
  </si>
  <si>
    <t>TipoCircun</t>
  </si>
  <si>
    <t>latitud</t>
  </si>
  <si>
    <t>longitud</t>
  </si>
  <si>
    <t>UrbanoRura</t>
  </si>
  <si>
    <t>id</t>
  </si>
  <si>
    <t>WKT</t>
  </si>
  <si>
    <t>index_right</t>
  </si>
  <si>
    <t>Num_dist</t>
  </si>
  <si>
    <t>Nro. Mesas</t>
  </si>
  <si>
    <t>Riesgo</t>
  </si>
  <si>
    <t>Cochabamba</t>
  </si>
  <si>
    <t>Cercado</t>
  </si>
  <si>
    <t>Escuela IV Centenario</t>
  </si>
  <si>
    <t>El Carmen</t>
  </si>
  <si>
    <t>Bario El Carmen Calle 21 de Dic. S/N</t>
  </si>
  <si>
    <t>Uninominal</t>
  </si>
  <si>
    <t>Urbano</t>
  </si>
  <si>
    <t>POINT (-66.1899 -17.355)</t>
  </si>
  <si>
    <t>Escuela Central Taquiña C</t>
  </si>
  <si>
    <t>Sindicato Agrario Taquiña</t>
  </si>
  <si>
    <t>Avenida La Paz Final Villa Taquiña</t>
  </si>
  <si>
    <t>POINT (-66.1786 -17.3427)</t>
  </si>
  <si>
    <t>Colegio Marista Nuestra Señora Del Pilar</t>
  </si>
  <si>
    <t>Señor de Mayo</t>
  </si>
  <si>
    <t>Ticti Norte Mayorazgo</t>
  </si>
  <si>
    <t>POINT (-66.1675 -17.3547)</t>
  </si>
  <si>
    <t>U. E. Raymundo Herman</t>
  </si>
  <si>
    <t>Jacaranda</t>
  </si>
  <si>
    <t>Calle Modesta Sanjinés y Av. Segunda</t>
  </si>
  <si>
    <t>POINT (-66.1893 -17.3624)</t>
  </si>
  <si>
    <t>Colegio Hispano Boliviano</t>
  </si>
  <si>
    <t>Alejo Calatayud</t>
  </si>
  <si>
    <t>Uruguay y Lanza</t>
  </si>
  <si>
    <t>POINT (-66.1518 -17.3977)</t>
  </si>
  <si>
    <t>Colegio Nacional Mixto Cochabamba</t>
  </si>
  <si>
    <t>B. Petrolero Mayorazgo</t>
  </si>
  <si>
    <t>Prolongacion Av. Antawara y Manca Paki</t>
  </si>
  <si>
    <t>POINT (-66.1764 -17.3638)</t>
  </si>
  <si>
    <t>Unidad Educativa Club De Leones</t>
  </si>
  <si>
    <t>Maryknoll</t>
  </si>
  <si>
    <t>Circunvalacion 375 Enrique Arce</t>
  </si>
  <si>
    <t>POINT (-66.1653 -17.3646)</t>
  </si>
  <si>
    <t>Escuela Mixta Fiscal Temporal A</t>
  </si>
  <si>
    <t>B. Magisterio IV Centenario</t>
  </si>
  <si>
    <t>Felix Lopez  de Vega S/N entre Atahuallpa</t>
  </si>
  <si>
    <t>POINT (-66.1588 -17.3614)</t>
  </si>
  <si>
    <t>Colegio Marista</t>
  </si>
  <si>
    <t>Temporal Cala Cala</t>
  </si>
  <si>
    <t>Kapac Yupanqui Nro 2460 entre Prada Estrada</t>
  </si>
  <si>
    <t>POINT (-66.162 -17.3619)</t>
  </si>
  <si>
    <t>Colegio Federico Froebel</t>
  </si>
  <si>
    <t>Faro de Aranjuez</t>
  </si>
  <si>
    <t>Avenida Melchor Urquidi S/N</t>
  </si>
  <si>
    <t>POINT (-66.1473 -17.3618)</t>
  </si>
  <si>
    <t>Instituto Eduardo Laredo</t>
  </si>
  <si>
    <t>Central Santa Maria</t>
  </si>
  <si>
    <t>Av. Ramon Rivero</t>
  </si>
  <si>
    <t>POINT (-66.1526 -17.381)</t>
  </si>
  <si>
    <t>Instituto Americano</t>
  </si>
  <si>
    <t>Queru Queru Central</t>
  </si>
  <si>
    <t>Av. Juliom Rodriguez Morales entre Pantaleon Dalence</t>
  </si>
  <si>
    <t>POINT (-66.1543 -17.3689)</t>
  </si>
  <si>
    <t>Colegio Jaime Escalante</t>
  </si>
  <si>
    <t>Santa Ana de Cala Cala</t>
  </si>
  <si>
    <t>Av. Gualberto Villarroel entre Av. Julio Rodriguez Morales</t>
  </si>
  <si>
    <t>POINT (-66.1581 -17.368)</t>
  </si>
  <si>
    <t>Centro Inmaculada Concepcion</t>
  </si>
  <si>
    <t>Portales</t>
  </si>
  <si>
    <t>Beni entre La Avenida Santa Cruz</t>
  </si>
  <si>
    <t>POINT (-66.1577 -17.377)</t>
  </si>
  <si>
    <t>Escuela Maryknoll</t>
  </si>
  <si>
    <t>Juan Capriles entre Juan Huallparimachi</t>
  </si>
  <si>
    <t>POINT (-66.1615 -17.3713)</t>
  </si>
  <si>
    <t>Escuela Jose Maria Santivañez</t>
  </si>
  <si>
    <t>Pulacayo</t>
  </si>
  <si>
    <t>Av. Perez de Holguin y Pulacayo</t>
  </si>
  <si>
    <t>POINT (-66.1748 -17.3694)</t>
  </si>
  <si>
    <t>Colegio Maryknoll</t>
  </si>
  <si>
    <t>B. Magisterio 6 de Junio</t>
  </si>
  <si>
    <t>Av. Juan de La Rosa y Ovispo Anaya</t>
  </si>
  <si>
    <t>POINT (-66.1675 -17.3777)</t>
  </si>
  <si>
    <t>Liceo Guindalina Loayza</t>
  </si>
  <si>
    <t>Batallon Colorados entre Salinas</t>
  </si>
  <si>
    <t>POINT (-66.1663 -17.3811)</t>
  </si>
  <si>
    <t>Colegio Venezuela</t>
  </si>
  <si>
    <t>Venezuela Pq. Demetrio Canelas</t>
  </si>
  <si>
    <t>Rene Moreno y Demetrio Canelas</t>
  </si>
  <si>
    <t>POINT (-66.1743 -17.38)</t>
  </si>
  <si>
    <t>Colegio Richard Von Weizacker</t>
  </si>
  <si>
    <t>Sarco Central</t>
  </si>
  <si>
    <t>Av. Beijin entre Apumak y 23 de Enero</t>
  </si>
  <si>
    <t>POINT (-66.1818 -17.3784)</t>
  </si>
  <si>
    <t>Colegio Branco Petricevic</t>
  </si>
  <si>
    <t>Urb. Carolina</t>
  </si>
  <si>
    <t>Sarcobamba, Av. Tunupa y Yuracaré Final Av. América</t>
  </si>
  <si>
    <t>POINT (-66.1878 -17.3737)</t>
  </si>
  <si>
    <t>Seminario San Jose</t>
  </si>
  <si>
    <t>Urb. Ende</t>
  </si>
  <si>
    <t>Av. Juan Pablo Ii, Isacc Aranibar y Mons. Juan Tarcisio</t>
  </si>
  <si>
    <t>POINT (-66.1978 -17.3837)</t>
  </si>
  <si>
    <t>Esc. Fiscal Juan XXIII A Juancito Pinto</t>
  </si>
  <si>
    <t>V. Juan XXIII</t>
  </si>
  <si>
    <t>Calle Gaspar de Villarroel y Arz . a Gutierrez Granier</t>
  </si>
  <si>
    <t>POINT (-66.2034 -17.3892)</t>
  </si>
  <si>
    <t>Unidad Educativa Maria Emilia Riquelme (Ex Maria Cristina)</t>
  </si>
  <si>
    <t>Urb. Seton</t>
  </si>
  <si>
    <t>Av. Cap. Victor Ustariz ,  Nuestra Sra de La Merced, Sobre la C/Hermann Joseph Muller</t>
  </si>
  <si>
    <t>POINT (-66.2045 -17.3983)</t>
  </si>
  <si>
    <t>Escuela Gutierrez Mariscal</t>
  </si>
  <si>
    <t>Chavez Rancho</t>
  </si>
  <si>
    <t>Av. Cap. Victor Ustariz y Calle Cochabamba</t>
  </si>
  <si>
    <t>POINT (-66.1939 -17.3976)</t>
  </si>
  <si>
    <t>Escuela Antofagasta</t>
  </si>
  <si>
    <t>Villa Antofagasta</t>
  </si>
  <si>
    <t>Caracoles y D Orbigni S/N</t>
  </si>
  <si>
    <t>POINT (-66.1855 -17.3867)</t>
  </si>
  <si>
    <t>Centro Particular Geronimo De Osorio</t>
  </si>
  <si>
    <t>Av. Cap. Victor Ustariz, G. Suarez y Av. Circunvalación</t>
  </si>
  <si>
    <t>POINT (-66.1866 -17.397)</t>
  </si>
  <si>
    <t>Unidad Educativa Esteban Arze</t>
  </si>
  <si>
    <t>Hipodromo Sud</t>
  </si>
  <si>
    <t>Mons. Angel Caballero,  Gamarra y Melchor Perez</t>
  </si>
  <si>
    <t>POINT (-66.1843 -17.3983)</t>
  </si>
  <si>
    <t>Escuela Jose Gabriel De Gumucio</t>
  </si>
  <si>
    <t>Villa Montenegro</t>
  </si>
  <si>
    <t>Eterovic entre Fco. Viedma -Parque Zoologico</t>
  </si>
  <si>
    <t>POINT (-66.1672 -17.3844)</t>
  </si>
  <si>
    <t>Colegio Cristo Rey</t>
  </si>
  <si>
    <t>Villa Ingavi</t>
  </si>
  <si>
    <t>Diego Almagro entre Hernando de Soto</t>
  </si>
  <si>
    <t>POINT (-66.172 -17.3906)</t>
  </si>
  <si>
    <t>Colegio Paulo VI</t>
  </si>
  <si>
    <t>Villa Galindo</t>
  </si>
  <si>
    <t>Calle Francisco Viedma Nro 567 entre Fco. Toledo</t>
  </si>
  <si>
    <t>POINT (-66.1697 -17.3896)</t>
  </si>
  <si>
    <t>U. E. 1ro. de Mayo</t>
  </si>
  <si>
    <t>Ladislao Cabrera</t>
  </si>
  <si>
    <t>Barrio 1ro de Mayo - zona Sud</t>
  </si>
  <si>
    <t>POINT (-66.203947 -17.46701)</t>
  </si>
  <si>
    <t>Colegio La Salle</t>
  </si>
  <si>
    <t>Cobija</t>
  </si>
  <si>
    <t>Junín y Mayor Rocha</t>
  </si>
  <si>
    <t>POINT (-66.1608 -17.3894)</t>
  </si>
  <si>
    <t>Colegio Boliviano Argentino</t>
  </si>
  <si>
    <t>Santa Teresa</t>
  </si>
  <si>
    <t>Baptista y Colombia</t>
  </si>
  <si>
    <t>POINT (-66.1581 -17.3916)</t>
  </si>
  <si>
    <t>Colegio Abaroa</t>
  </si>
  <si>
    <t>Geronimo de Osorio</t>
  </si>
  <si>
    <t>Av. Ayacucho y Santivañez</t>
  </si>
  <si>
    <t>POINT (-66.1585 -17.3954)</t>
  </si>
  <si>
    <t>Unidad Educativa Daniel Salamanca (Ex Colegio Nal. Mixto 6 De Agosto)</t>
  </si>
  <si>
    <t>Santivañez Nº 0553 entre Tarapaca</t>
  </si>
  <si>
    <t>POINT (-66.1635 -17.3957)</t>
  </si>
  <si>
    <t>Colegio Aleman Santa Maria</t>
  </si>
  <si>
    <t>Antezana y Colombia</t>
  </si>
  <si>
    <t>POINT (-66.1527 -17.3912)</t>
  </si>
  <si>
    <t>Colegio Don Bosco</t>
  </si>
  <si>
    <t>Seminario San Luis</t>
  </si>
  <si>
    <t>Avenida Oquendo Nro 758</t>
  </si>
  <si>
    <t>POINT (-66.151 -17.3825)</t>
  </si>
  <si>
    <t>Colegio Loyola</t>
  </si>
  <si>
    <t>San Pedro</t>
  </si>
  <si>
    <t>Parque La Torre S/N</t>
  </si>
  <si>
    <t>POINT (-66.1466 -17.3873)</t>
  </si>
  <si>
    <t>Escuela Wilge Rodriguez</t>
  </si>
  <si>
    <t>Santa Ana</t>
  </si>
  <si>
    <t>Bolívar y 16 de Julio</t>
  </si>
  <si>
    <t>POINT (-66.1513 -17.392)</t>
  </si>
  <si>
    <t>Unidad Educativa Domingo Savio (Ex Lorenzo Filho)</t>
  </si>
  <si>
    <t>Incacollo Muyurina</t>
  </si>
  <si>
    <t>Av. Aniceto Arce Nro 804 entre  N. Morales</t>
  </si>
  <si>
    <t>POINT (-66.144 -17.3812)</t>
  </si>
  <si>
    <t>Escuela Gualberto Villarroel</t>
  </si>
  <si>
    <t>Heroinas Nro 1641 entre M. Paredes</t>
  </si>
  <si>
    <t>POINT (-66.1435 -17.3893)</t>
  </si>
  <si>
    <t>Liceo  Mercedes Candia De Ovando</t>
  </si>
  <si>
    <t>Parque El Maestro</t>
  </si>
  <si>
    <t>Parque del Maestro S/N</t>
  </si>
  <si>
    <t>POINT (-66.1392 -17.3944)</t>
  </si>
  <si>
    <t>Colegio San Rafael</t>
  </si>
  <si>
    <t>Hans Gretter Nro 1546 entre Av. Presidente Manuel Isidoro Belzu</t>
  </si>
  <si>
    <t>POINT (-66.1395 -17.3982)</t>
  </si>
  <si>
    <t>Escuela Walter Vallejo</t>
  </si>
  <si>
    <t>9 de Abril</t>
  </si>
  <si>
    <t>Av. 9 de Abril</t>
  </si>
  <si>
    <t>POINT (-66.1464 -17.4001)</t>
  </si>
  <si>
    <t>Colegio Bolivar</t>
  </si>
  <si>
    <t>Sucre y Lanza</t>
  </si>
  <si>
    <t>POINT (-66.1534 -17.3935)</t>
  </si>
  <si>
    <t>Unidad Educativa San Miguel</t>
  </si>
  <si>
    <t>Cerro San Miguel Alto</t>
  </si>
  <si>
    <t>Cerro San Miguel</t>
  </si>
  <si>
    <t>POINT (-66.1476 -17.4051)</t>
  </si>
  <si>
    <t>Colegio Amor de Dios</t>
  </si>
  <si>
    <t>Victor Paz Estenzoro</t>
  </si>
  <si>
    <t>Av. República</t>
  </si>
  <si>
    <t>POINT (-66.1501 -17.4073)</t>
  </si>
  <si>
    <t>Colegio Pio XII</t>
  </si>
  <si>
    <t>Barrio San Antonio</t>
  </si>
  <si>
    <t>25 de Mayo entre Punata</t>
  </si>
  <si>
    <t>POINT (-66.1545 -17.402)</t>
  </si>
  <si>
    <t>Escuela Bolivar</t>
  </si>
  <si>
    <t>Ayacucho y Punata</t>
  </si>
  <si>
    <t>POINT (-66.1572 -17.402)</t>
  </si>
  <si>
    <t>Centro Kanata</t>
  </si>
  <si>
    <t>Canata</t>
  </si>
  <si>
    <t>Av. Ayacucho N° 1747</t>
  </si>
  <si>
    <t>POINT (-66.1593 -17.4139)</t>
  </si>
  <si>
    <t>(Cárcel) Penitenciaria San Sebastian Mujeres</t>
  </si>
  <si>
    <t>Plaz. San Sebastián Acera Oeste</t>
  </si>
  <si>
    <t>POINT (-66.1606 -17.3986)</t>
  </si>
  <si>
    <t>Colegio La Salle Fiscal</t>
  </si>
  <si>
    <t>Villa Coronilla</t>
  </si>
  <si>
    <t>Av. Tiahuanaco Frente a Tránsito</t>
  </si>
  <si>
    <t>POINT (-66.1674 -17.4049)</t>
  </si>
  <si>
    <t>Liceo Adela Zamudio</t>
  </si>
  <si>
    <t>Riosinho</t>
  </si>
  <si>
    <t>Av. Cap. Victor Ustariz (Frente al Vivero)</t>
  </si>
  <si>
    <t>POINT (-66.1686 -17.3964)</t>
  </si>
  <si>
    <t>Unidad Educativa Santa Maria Micaela</t>
  </si>
  <si>
    <t>Chimba Central</t>
  </si>
  <si>
    <t>Av. Ingavi (Chimba) y Av. Rafael Pabón</t>
  </si>
  <si>
    <t>POINT (-66.1766 -17.4072)</t>
  </si>
  <si>
    <t>Esc. Republica Del Peru O I. Vasquez</t>
  </si>
  <si>
    <t>Jaihuayco</t>
  </si>
  <si>
    <t>Plazuela de Jaihuayco</t>
  </si>
  <si>
    <t>POINT (-66.1663 -17.4151)</t>
  </si>
  <si>
    <t>Unidad Educativa Estados Unidos</t>
  </si>
  <si>
    <t>Tercera Villa Norte</t>
  </si>
  <si>
    <t>Isiboro y Todos Santos</t>
  </si>
  <si>
    <t>POINT (-66.1626 -17.4191)</t>
  </si>
  <si>
    <t>Colegio Yugoslavia ( Ex Mariscal Santa Cruz)</t>
  </si>
  <si>
    <t>Av. Panamerica entre Gral. Alvarez</t>
  </si>
  <si>
    <t>POINT (-66.1576 -17.4142)</t>
  </si>
  <si>
    <t>Colegio Sergio Almaraz Paz</t>
  </si>
  <si>
    <t>La Patria Urb. La Promotora</t>
  </si>
  <si>
    <t>Villa Loreto Tras Parroquia Calle N. Rios</t>
  </si>
  <si>
    <t>POINT (-66.1598 -17.4215)</t>
  </si>
  <si>
    <t>Unidad Educativa Andres Bello</t>
  </si>
  <si>
    <t>Villa Santa Cruz</t>
  </si>
  <si>
    <t>Av. Republica Sud</t>
  </si>
  <si>
    <t>POINT (-66.1512 -17.4158)</t>
  </si>
  <si>
    <t>Colegio Ismael Montes O Luis Espinal</t>
  </si>
  <si>
    <t>Cerro Verde Central</t>
  </si>
  <si>
    <t>Cerro Verde-Martin Fierro y Yawar Mallku</t>
  </si>
  <si>
    <t>POINT (-66.1446 -17.4156)</t>
  </si>
  <si>
    <t>Colegio Martin Cardenas</t>
  </si>
  <si>
    <t>Barrio Minero Alalay</t>
  </si>
  <si>
    <t>Villa Alalay Av. Siglo Xx y 10 de Noviembre</t>
  </si>
  <si>
    <t>POINT (-66.1372 -17.42)</t>
  </si>
  <si>
    <t>Colegio Santa Luisa Marillac</t>
  </si>
  <si>
    <t>Nuevo Amanecer</t>
  </si>
  <si>
    <t>Barrio Venezuela</t>
  </si>
  <si>
    <t>POINT (-66.1297 -17.4288)</t>
  </si>
  <si>
    <t>Colegio Sebastian Pagador</t>
  </si>
  <si>
    <t>V. Sebastian Pagador 2do. Grupo</t>
  </si>
  <si>
    <t>Villa Sebastian Pagador Av. Machacamarca, C/ San Felipe de Austria</t>
  </si>
  <si>
    <t>POINT (-66.1181 -17.4396)</t>
  </si>
  <si>
    <t>Escuela Buenas Nuevas A</t>
  </si>
  <si>
    <t>Huayra Khasa</t>
  </si>
  <si>
    <t>Av. Suecia  Acera  Sud Cerca al Pje 15</t>
  </si>
  <si>
    <t>POINT (-66.1457 -17.4199)</t>
  </si>
  <si>
    <t>Escuela Camara Junior</t>
  </si>
  <si>
    <t>Barrio Lindo</t>
  </si>
  <si>
    <t>Panamericana y J. Guzman Aguirre</t>
  </si>
  <si>
    <t>POINT (-66.1597 -17.4282)</t>
  </si>
  <si>
    <t>Unidad Educ. Eduardo Lopez O E. Don Bosco</t>
  </si>
  <si>
    <t>Eduardo Lopez Champarancho</t>
  </si>
  <si>
    <t>Champa Rancho</t>
  </si>
  <si>
    <t>POINT (-66.1772 -17.4273)</t>
  </si>
  <si>
    <t>Centro Educativo P.  Maria Auxiliadora</t>
  </si>
  <si>
    <t>San Juan Bosco</t>
  </si>
  <si>
    <t>Villa México, San Francisco y San Felipe</t>
  </si>
  <si>
    <t>POINT (-66.1595 -17.4358)</t>
  </si>
  <si>
    <t>Colegio San Francisco de Asis</t>
  </si>
  <si>
    <t>Lado del Templo de Villa México</t>
  </si>
  <si>
    <t>POINT (-66.1572 -17.4332)</t>
  </si>
  <si>
    <t>Unidad Educativa Obispo Anaya</t>
  </si>
  <si>
    <t>Valle Hermoso Central</t>
  </si>
  <si>
    <t>Templo de Santa Vera Cruz</t>
  </si>
  <si>
    <t>POINT (-66.1294 -17.4524)</t>
  </si>
  <si>
    <t>Unidad Educativa Vision Mundial</t>
  </si>
  <si>
    <t>B. Universitario Alto</t>
  </si>
  <si>
    <t>Av. Petrolera Km. 3 1/2</t>
  </si>
  <si>
    <t>POINT (-66.1441 -17.4399)</t>
  </si>
  <si>
    <t>Escuela Gerardo Vargas</t>
  </si>
  <si>
    <t>Villa San Miguel</t>
  </si>
  <si>
    <t>Valle Hermoso Norte</t>
  </si>
  <si>
    <t>POINT (-66.1285 -17.4397)</t>
  </si>
  <si>
    <t>Unidad Educativa El Salvador San Javier</t>
  </si>
  <si>
    <t>El Salvador</t>
  </si>
  <si>
    <t>Valle Hermoso Calle Grecia y Belgica</t>
  </si>
  <si>
    <t>POINT (-66.1205 -17.447)</t>
  </si>
  <si>
    <t>Centro Integrado El Salvador S Vera Cruz</t>
  </si>
  <si>
    <t>Santa Vera Cruz</t>
  </si>
  <si>
    <t>Av. Petrolera Km. 5</t>
  </si>
  <si>
    <t>POINT (-66.1243 -17.4604)</t>
  </si>
  <si>
    <t>Unidad Educativa Rene Barrientos Ortuño</t>
  </si>
  <si>
    <t>Uspha Uspha</t>
  </si>
  <si>
    <t>Uspa Uspa</t>
  </si>
  <si>
    <t>POINT (-66.1101 -17.477)</t>
  </si>
  <si>
    <t>Colegio San Antonio De Pucara</t>
  </si>
  <si>
    <t>El Samaritano</t>
  </si>
  <si>
    <t>Pucara</t>
  </si>
  <si>
    <t>POINT (-66.1666 -17.4545)</t>
  </si>
  <si>
    <t>Colegio Laura Vicuña</t>
  </si>
  <si>
    <t>Barrio Bolivar</t>
  </si>
  <si>
    <t>Itocta</t>
  </si>
  <si>
    <t>POINT (-66.1918 -17.4425)</t>
  </si>
  <si>
    <t>Escuela Ceferino Namuncura</t>
  </si>
  <si>
    <t>Sind. Agr. Alba Rancho</t>
  </si>
  <si>
    <t>Alba Rancho</t>
  </si>
  <si>
    <t>POINT (-66.2296 -17.4422)</t>
  </si>
  <si>
    <t>Unidad Educativa Demetrio Canelas</t>
  </si>
  <si>
    <t>Sind. Agr. Maica Central</t>
  </si>
  <si>
    <t>La Maica</t>
  </si>
  <si>
    <t>POINT (-66.2023 -17.4231)</t>
  </si>
  <si>
    <t>Escuela 6 de Agosto</t>
  </si>
  <si>
    <t>Villa Mejillones</t>
  </si>
  <si>
    <t>Chaqui Mayu Zona Sud</t>
  </si>
  <si>
    <t>POINT (-66.1732 -17.4853)</t>
  </si>
  <si>
    <t>Colegio Irlandes</t>
  </si>
  <si>
    <t>Irlandes</t>
  </si>
  <si>
    <t>Av. 23 de Marzo</t>
  </si>
  <si>
    <t>POINT (-66.1373 -17.376)</t>
  </si>
  <si>
    <t>Escuela Eusebio Tudela</t>
  </si>
  <si>
    <t>Urb. Fortaleza El Paraiso</t>
  </si>
  <si>
    <t>Villa Primero de Mayo</t>
  </si>
  <si>
    <t>POINT (-66.2106 -17.4457)</t>
  </si>
  <si>
    <t>Escuela Ricardo Prudencio</t>
  </si>
  <si>
    <t>San Juan Bautista</t>
  </si>
  <si>
    <t>Av. Suecia Este</t>
  </si>
  <si>
    <t>POINT (-66.1401 -17.421)</t>
  </si>
  <si>
    <t>U.E. Humberto Portocarrero</t>
  </si>
  <si>
    <t>La Cabaña</t>
  </si>
  <si>
    <t>Zona Pampa San Miguel, AV. Portocarrero</t>
  </si>
  <si>
    <t>POINT (-66.140883 -17.453514)</t>
  </si>
  <si>
    <t>(Cárcel) Penitenciaria San Sebastian  Varones</t>
  </si>
  <si>
    <t>Plaz. San Sebastián Acera Norte</t>
  </si>
  <si>
    <t>POINT (-66.1599 -17.3979)</t>
  </si>
  <si>
    <t>(Cárcel) Penitenciaria San Antonio</t>
  </si>
  <si>
    <t>Av. Ayacucho Frente a La Terminal</t>
  </si>
  <si>
    <t>POINT (-66.157 -17.4032)</t>
  </si>
  <si>
    <t>Unidad Educativa Bolivia (La Maica)</t>
  </si>
  <si>
    <t>La Maica Central</t>
  </si>
  <si>
    <t>POINT (-66.2188 -17.4146)</t>
  </si>
  <si>
    <t>Unidad Educativa Nueva Esperanza</t>
  </si>
  <si>
    <t>Barrio Popular Japon</t>
  </si>
  <si>
    <t>Villa Israel</t>
  </si>
  <si>
    <t>POINT (-66.178647 -17.48697)</t>
  </si>
  <si>
    <t>Colegio San Francisco (Villa Pagador)</t>
  </si>
  <si>
    <t>S.P.R. Nor Este</t>
  </si>
  <si>
    <t>Villa Sebastian Pagador C/Riobamba y Morochata</t>
  </si>
  <si>
    <t>POINT (-66.1156 -17.435)</t>
  </si>
  <si>
    <t>Escuela Carlos Medinaceli</t>
  </si>
  <si>
    <t>B. Ferroviario Tamborada</t>
  </si>
  <si>
    <t>La Encañada Integral</t>
  </si>
  <si>
    <t>POINT (-66.1459 -17.448)</t>
  </si>
  <si>
    <t>Colegio Luis Quintin Vila</t>
  </si>
  <si>
    <t>Barrio Quechisla</t>
  </si>
  <si>
    <t>Av. Tunupa y Yuracare Lado Casa Municipal N° 3</t>
  </si>
  <si>
    <t>POINT (-66.1864 -17.3754)</t>
  </si>
  <si>
    <t>Liceo Elena Arze De Arze</t>
  </si>
  <si>
    <t>Calle Adela Zamudio entre Pulacayo</t>
  </si>
  <si>
    <t>POINT (-66.1644 -17.3703)</t>
  </si>
  <si>
    <t>Unidad Educativa Nueva Vera Cruz</t>
  </si>
  <si>
    <t>Villa Nueva Sta. Vera Cruz</t>
  </si>
  <si>
    <t>San Simon entre Av. Paris</t>
  </si>
  <si>
    <t>POINT (-66.1176 -17.4627)</t>
  </si>
  <si>
    <t>Unidad Educativa Santiago</t>
  </si>
  <si>
    <t>Los Ceibos</t>
  </si>
  <si>
    <t>Achandara y Calle Imnominada</t>
  </si>
  <si>
    <t>POINT (-66.1651 -17.3495)</t>
  </si>
  <si>
    <t>Unidad Educativa Barbara Lamas</t>
  </si>
  <si>
    <t>Lomas de Santa Barbara</t>
  </si>
  <si>
    <t>En Tako Loma</t>
  </si>
  <si>
    <t>POINT (-66.1053 -17.4627)</t>
  </si>
  <si>
    <t>Universidad Ucatec (Ex Ceivo)</t>
  </si>
  <si>
    <t>Mesadilla</t>
  </si>
  <si>
    <t>Mariano Borda entre Guillermo Arnez</t>
  </si>
  <si>
    <t>POINT (-66.1368 -17.3711)</t>
  </si>
  <si>
    <t>Colegio Santo Domingo Savio</t>
  </si>
  <si>
    <t>Av.Panamericana  Calle M.Salcedo  y Manuel Via</t>
  </si>
  <si>
    <t>POINT (-66.1592 -17.4209)</t>
  </si>
  <si>
    <t>Centro Educativo San Francisco De Asis</t>
  </si>
  <si>
    <t>Jorge Wilsterman</t>
  </si>
  <si>
    <t>Viloma entre Villar</t>
  </si>
  <si>
    <t>POINT (-66.1678 -17.4135)</t>
  </si>
  <si>
    <t>Unidad Educativa de La Fuerza Aerea</t>
  </si>
  <si>
    <t>Fuerza Aerea</t>
  </si>
  <si>
    <t>Av de La Fuerza Aerea  entre Calle Cap. Luis Garcia y Moto Mendez</t>
  </si>
  <si>
    <t>POINT (-66.1674 -17.4214)</t>
  </si>
  <si>
    <t>Colegio Buenas Nuevas C</t>
  </si>
  <si>
    <t>Av. Suecia Acera  Norte Cerca al Pje 16</t>
  </si>
  <si>
    <t>POINT (-66.1461 -17.419)</t>
  </si>
  <si>
    <t>Unidad Educativa Alto Cochabamba</t>
  </si>
  <si>
    <t>Villa Alto Cochabamba</t>
  </si>
  <si>
    <t>Sobre La Calle Membrillo entre La C. Vid y Versalles</t>
  </si>
  <si>
    <t>POINT (-66.1448 -17.4233)</t>
  </si>
  <si>
    <t>Unidad Educativa Garibaldi</t>
  </si>
  <si>
    <t>Entre La Calle Hugo Almaraz y Rafael</t>
  </si>
  <si>
    <t>POINT (-66.1906 -17.3546)</t>
  </si>
  <si>
    <t>Colegio Tecnico Humanistico Abaroa</t>
  </si>
  <si>
    <t>Barrio Judicial</t>
  </si>
  <si>
    <t>Entre Av. Chaco  y Cap. R. Zubieta Cerca  Av Andres de Santa Cruz</t>
  </si>
  <si>
    <t>POINT (-66.1801 -17.3979)</t>
  </si>
  <si>
    <t>Unidad Educativa Felix Capriles</t>
  </si>
  <si>
    <t>B. Huanuni Chimba Grande</t>
  </si>
  <si>
    <t>Av. Amalia Vila  de La Tapia  entre Calle L.Bazoberri y C. Guzman de Rojas</t>
  </si>
  <si>
    <t>POINT (-66.1825 -17.4084)</t>
  </si>
  <si>
    <t>Unidad Educativa Nataniel Aguirre</t>
  </si>
  <si>
    <t>Juan de La Rosa</t>
  </si>
  <si>
    <t>Av Benemeritos del Chaco  y Calle Walter Rocha</t>
  </si>
  <si>
    <t>POINT (-66.1689 -17.3989)</t>
  </si>
  <si>
    <t>Escuela Fiscal Juan XXIII A</t>
  </si>
  <si>
    <t>Av. Guido Brault Omi y Mons. Francisco Cano</t>
  </si>
  <si>
    <t>POINT (-66.2021 -17.3898)</t>
  </si>
  <si>
    <t>Unidad Educativa Jose Ignacio Sanjines</t>
  </si>
  <si>
    <t>Villa Los Alamos</t>
  </si>
  <si>
    <t>Final D¨ Orbigni  Oeste Serca a La Laguna Coña Coña</t>
  </si>
  <si>
    <t>POINT (-66.2064 -17.3853)</t>
  </si>
  <si>
    <t>Unidad Educativa Rene Crespo</t>
  </si>
  <si>
    <t>Villa Cosmos</t>
  </si>
  <si>
    <t>Av. Federico Escobar y Av Independencia</t>
  </si>
  <si>
    <t>POINT (-66.151 -17.4262)</t>
  </si>
  <si>
    <t>Unidad Educativa Maria Josefa Mujia</t>
  </si>
  <si>
    <t>Villa Salvador Alto Ticti</t>
  </si>
  <si>
    <t>Cerro Ticti Sobre La Calle Abelia y Papayo</t>
  </si>
  <si>
    <t>POINT (-66.1433 -17.4271)</t>
  </si>
  <si>
    <t>Colegio Venjamnin</t>
  </si>
  <si>
    <t>Villa Venezuela</t>
  </si>
  <si>
    <t>Av.Los Angeles entre La C.Lope de Mendieta y Dinisio Bobadilla</t>
  </si>
  <si>
    <t>POINT (-66.1235 -17.4255)</t>
  </si>
  <si>
    <t>Unidad Educativa Atiy</t>
  </si>
  <si>
    <t>Buena Vista de Oropeza</t>
  </si>
  <si>
    <t>Por San Isidro</t>
  </si>
  <si>
    <t>POINT (-66.1521 -17.4636)</t>
  </si>
  <si>
    <t>Escuela Central Taquiña A</t>
  </si>
  <si>
    <t>POINT (-66.1783 -17.3438)</t>
  </si>
  <si>
    <t>Unidad Educativa Rosendo Peña</t>
  </si>
  <si>
    <t>Urb. Pil Sarcobamba</t>
  </si>
  <si>
    <t>OTB Urbanización PIL Sarcobamba Calle Luis Zegarra entre Luis Montaño y Jorge Udaeta</t>
  </si>
  <si>
    <t>POINT (-66.1924 -17.3799)</t>
  </si>
  <si>
    <t>Unidad Educativa Dionisio Morales Choque</t>
  </si>
  <si>
    <t>Villa Rosario La Tamborada</t>
  </si>
  <si>
    <t>Cerca al Rio La Angostura  Por El Bosquesillo</t>
  </si>
  <si>
    <t>POINT (-66.1243 -17.4652)</t>
  </si>
  <si>
    <t>U. E. San Nicolas Club de Leones</t>
  </si>
  <si>
    <t>Villa San Nicolas</t>
  </si>
  <si>
    <t>San Nicolas Detrás de San Isidro</t>
  </si>
  <si>
    <t>POINT (-66.1535 -17.4825)</t>
  </si>
  <si>
    <t>Unidad Educativa Stefano Hotellier</t>
  </si>
  <si>
    <t>Agromin La Tamborada</t>
  </si>
  <si>
    <t>Al Oeste de San Isidro</t>
  </si>
  <si>
    <t>POINT (-66.1399 -17.4697)</t>
  </si>
  <si>
    <t>Unidad Educativa 14 de Septiembre</t>
  </si>
  <si>
    <t>Magisterio Rural Sarco</t>
  </si>
  <si>
    <t>Calle Francisco Suarez entre Rigoberto Sains y Cesar Achaval</t>
  </si>
  <si>
    <t>POINT (-66.1802 -17.3675)</t>
  </si>
  <si>
    <t>Unidad Educativa Facundo Quiroga</t>
  </si>
  <si>
    <t>Barrio Ferroviario</t>
  </si>
  <si>
    <t>Calle 23 de Marzo, Chiriguano, Urpi y Arawuaqui</t>
  </si>
  <si>
    <t>POINT (-66.1895 -17.3743)</t>
  </si>
  <si>
    <t>Unidad Educativa 9 de Marzo</t>
  </si>
  <si>
    <t>Urb. Trafalgar</t>
  </si>
  <si>
    <t>Urbanizacion Trafalga C/ Prov. Hernando Siles y Prov. Tobina y Azurduy</t>
  </si>
  <si>
    <t>POINT (-66.1055 -17.4467)</t>
  </si>
  <si>
    <t>Unidad Educativa Juan Jose Torrez</t>
  </si>
  <si>
    <t>Alto Sebastian Pagador</t>
  </si>
  <si>
    <t>Villa Sebastian Pagador C/ La Joya y C/ Bella Vista</t>
  </si>
  <si>
    <t>POINT (-66.1148 -17.4477)</t>
  </si>
  <si>
    <t>Unidad Educativa San Miguel Alta Tension</t>
  </si>
  <si>
    <t>Alto V. Hermoso 5 de Octubre</t>
  </si>
  <si>
    <t>Villa San Miguel Alta Tension Calle 3 y Calle 24 Final</t>
  </si>
  <si>
    <t>POINT (-66.1322 -17.4388)</t>
  </si>
  <si>
    <t>Unidad Educativa Verdad y Vida</t>
  </si>
  <si>
    <t>San Francisco</t>
  </si>
  <si>
    <t>Zona Uspha Ushpa Calle Jerusalen entre Av Civica</t>
  </si>
  <si>
    <t>POINT (-66.1066 -17.4747)</t>
  </si>
  <si>
    <t>Unidad Educativa Siglo XX   Gabriela Mistral</t>
  </si>
  <si>
    <t>Valle Hermoso Norte, C/ Pedro Toledo y Av. Los Angeles</t>
  </si>
  <si>
    <t>POINT (-66.122 -17.4333)</t>
  </si>
  <si>
    <t>Unidad Educativa America Del Sur   Mejillones A</t>
  </si>
  <si>
    <t>Barrio Minero, Av Siglo Xx entre 10 de Noviembre</t>
  </si>
  <si>
    <t>POINT (-66.1379 -17.422)</t>
  </si>
  <si>
    <t>Unidad Educativa Santa Cruz   Eduardo Ocampo Moscoso</t>
  </si>
  <si>
    <t>Comunidad de Villa Santa Cruz, Pasaje Cañoto y Mairano</t>
  </si>
  <si>
    <t>POINT (-66.1505 -17.4148)</t>
  </si>
  <si>
    <t>Unidad Educativa 26 de Octubre</t>
  </si>
  <si>
    <t>Magisterio La Rinconada</t>
  </si>
  <si>
    <t>Barrio Magisterio, Calle Colibri y Divino Maestro entre Av Huayacan y Av. Ruiseñor</t>
  </si>
  <si>
    <t>POINT (-66.1212 -17.4209)</t>
  </si>
  <si>
    <t>Unidad Educativa Hno Pacifico Feletti</t>
  </si>
  <si>
    <t>Eduardo Avaroa</t>
  </si>
  <si>
    <t>Villa 1º de Mayo, Frente a La Plza Eduardo Avaroa</t>
  </si>
  <si>
    <t>POINT (-66.2098 -17.4678)</t>
  </si>
  <si>
    <t>U.E. ADRA Juan XXIII</t>
  </si>
  <si>
    <t>Calle Agramont E Inominada</t>
  </si>
  <si>
    <t>POINT (-66.2021 -17.3855)</t>
  </si>
  <si>
    <t>Unidad Educativa Voces Libres</t>
  </si>
  <si>
    <t>Central Milenio</t>
  </si>
  <si>
    <t>Kara Kara</t>
  </si>
  <si>
    <t>POINT (-66.1322 -17.474)</t>
  </si>
  <si>
    <t>Unidad Educativa Antonio Diez</t>
  </si>
  <si>
    <t>Sind. Agr. Sivingani El Rincon</t>
  </si>
  <si>
    <t>POINT (-66.1793 -17.4718)</t>
  </si>
  <si>
    <t>Unidad Educativa Prof. Oscar Rojas Caballero</t>
  </si>
  <si>
    <t>Pampa Ticti Sud</t>
  </si>
  <si>
    <t>Rio Yacuma y Prolongacion  Rio Caine</t>
  </si>
  <si>
    <t>POINT (-66.1514 -17.435)</t>
  </si>
  <si>
    <t>U.E. Madre De La Divina Providencia</t>
  </si>
  <si>
    <t>Villa Armonia</t>
  </si>
  <si>
    <t>Otb Villa Armonia, Av. Rio Bermejo Esq. Santa Catalina</t>
  </si>
  <si>
    <t>POINT (-66.1498 -17.4395)</t>
  </si>
  <si>
    <t>U.E. Nacional San Isidro</t>
  </si>
  <si>
    <t>Alto Bella Vista</t>
  </si>
  <si>
    <t>Zona Alto Buena Vista Otb Kasa Wasa, Av. La Corona Imperial</t>
  </si>
  <si>
    <t>POINT (-66.1512 -17.4689)</t>
  </si>
  <si>
    <t>U.E. Israel</t>
  </si>
  <si>
    <t>El Paraiso</t>
  </si>
  <si>
    <t>Zona Villa Israel, Calle Innominada</t>
  </si>
  <si>
    <t>POINT (-66.1784 -17.49)</t>
  </si>
  <si>
    <t>Hogar Comunitario Disneylandia</t>
  </si>
  <si>
    <t>San Isidro 24 de Junio</t>
  </si>
  <si>
    <t>Zona Sud, Calle Innominada, Lado Modulo Policial</t>
  </si>
  <si>
    <t>POINT (-66.1573 -17.4552)</t>
  </si>
  <si>
    <t>U. E. Isaac Attie</t>
  </si>
  <si>
    <t>Calle Aniceto Padilla Nº E-228 entre Av. Gualberto Villarroel y Av. Santa Cruz</t>
  </si>
  <si>
    <t>POINT (-66.158643 -17.378091)</t>
  </si>
  <si>
    <t>U. E. España</t>
  </si>
  <si>
    <t>Plaza  Virrey Toledo, Calle Francisco Toledo Nº 1313 entre calle Francisco Viedma y calle Garcilazo de la Vega</t>
  </si>
  <si>
    <t>POINT (-66.168721 -17.391151)</t>
  </si>
  <si>
    <t>U. E. San Agustín</t>
  </si>
  <si>
    <t>Aranjuez</t>
  </si>
  <si>
    <t>Av. América Nro.1359 entre Av. Gral. Galindo y calle Benjamín Guzmán</t>
  </si>
  <si>
    <t>POINT (-66.143776 -17.373356)</t>
  </si>
  <si>
    <t>U. E. San José</t>
  </si>
  <si>
    <t>Villa Busch Norte</t>
  </si>
  <si>
    <t>Calle Antonio Gonzales Nº 3141 entre calle Montero y calle A. Palmero</t>
  </si>
  <si>
    <t>POINT (-66.19305 -17.389791)</t>
  </si>
  <si>
    <t>U. E. Oscar Alfaro</t>
  </si>
  <si>
    <t>Calle Jack London entre calle Francisco Bedregal y Av. Miguel de Cervantes</t>
  </si>
  <si>
    <t>POINT (-66.158582 -17.360479)</t>
  </si>
  <si>
    <t>U. E. Jorge Vásquez</t>
  </si>
  <si>
    <t>Av. Juan de la Rosa esq. Av. Beijing</t>
  </si>
  <si>
    <t>POINT (-66.181015 -17.373906)</t>
  </si>
  <si>
    <t>Sede Social Sindicato Agrario Taquiña</t>
  </si>
  <si>
    <t>Av. 2 de Agosto esquina Av. Segunda Circunvalación</t>
  </si>
  <si>
    <t>POINT (-66.178682 -17.34225)</t>
  </si>
  <si>
    <t>U. E. Peniel</t>
  </si>
  <si>
    <t>Pasaje Vinces y Pasaje Julo, entre Av. Humberto Asin Rivero y Calle Saucari</t>
  </si>
  <si>
    <t>POINT (-66.117405 -17.439464)</t>
  </si>
  <si>
    <t>U. E. San Miguel Arcángel</t>
  </si>
  <si>
    <t>Barrio V. San Miguel</t>
  </si>
  <si>
    <t>Calle innominada entre Calles Vicente Caballero y José María de Lara</t>
  </si>
  <si>
    <t>POINT (-66.139736 -17.439328)</t>
  </si>
  <si>
    <t>U. E. Túpac Katari</t>
  </si>
  <si>
    <t>Chaska Rumi Trifon Velasco</t>
  </si>
  <si>
    <t>Av. Petrolera Calle innominada, zona Ticti Sur Chaskarumi</t>
  </si>
  <si>
    <t>POINT (-66.135852 -17.437137)</t>
  </si>
  <si>
    <t>U. E. Vikinga Boliviana</t>
  </si>
  <si>
    <t>Villa Progreso</t>
  </si>
  <si>
    <t>C/ Molino entre C/ Llalliy Pacha y Yawar Mallku</t>
  </si>
  <si>
    <t>POINT (-66.146727 -17.415824)</t>
  </si>
  <si>
    <t>U. E. San Francisco Javier</t>
  </si>
  <si>
    <t>Zona Alto Buena Vista OTB ISIDRO</t>
  </si>
  <si>
    <t>POINT (-66.150582 -17.469251)</t>
  </si>
  <si>
    <t>U. E. El Mirador</t>
  </si>
  <si>
    <t>Alto Mirador</t>
  </si>
  <si>
    <t>Zona 5 Alto Mirador, Barrio Primero de Mayo, calle innominada</t>
  </si>
  <si>
    <t>POINT (-66.209187 -17.472443)</t>
  </si>
  <si>
    <t>U. E. 21 de Septiembre</t>
  </si>
  <si>
    <t>21 de Septiembre</t>
  </si>
  <si>
    <t>Municipio de Cochabamba Av. 21 de Septiembre</t>
  </si>
  <si>
    <t>POINT (-66.181012 -17.482205)</t>
  </si>
  <si>
    <t>U. E. Nuestra Señora de la Merced A</t>
  </si>
  <si>
    <t>Pampa Grande</t>
  </si>
  <si>
    <t>Av. Capitán Víctor Ustariz entre calle Sir Roonald Ross y Calle Antenor de la VÍa Garcia</t>
  </si>
  <si>
    <t>POINT (-66.207304 -17.397455)</t>
  </si>
  <si>
    <t>U. E. Nilo Soruco Arancibia</t>
  </si>
  <si>
    <t>Calle Mons. Ángel Maria Zeballos entre Av. Villavicencio y Av. Melchor Pérez de Olguín</t>
  </si>
  <si>
    <t>POINT (-66.18245 -17.397715)</t>
  </si>
  <si>
    <t>U. E. Alcides Arguedas A.</t>
  </si>
  <si>
    <t>Av. La Tamborada entre Av. Final Panamericana y calle María Auxiliadora</t>
  </si>
  <si>
    <t>POINT (-66.161219 -17.439902)</t>
  </si>
  <si>
    <t>U. E. Santa Mónica</t>
  </si>
  <si>
    <t>Ticti Norte</t>
  </si>
  <si>
    <t>Calle Achanq'ara entre las calles Chariña y Qoyllur, OTB Ticti Norte</t>
  </si>
  <si>
    <t>POINT (-66.168953 -17.348139)</t>
  </si>
  <si>
    <t>U. E. Juancito Pinto B</t>
  </si>
  <si>
    <t>Villa Flores</t>
  </si>
  <si>
    <t>OTB. Villa Flores, C/Mancomunidad K’ara  K’ara</t>
  </si>
  <si>
    <t>POINT (-66.119958 -17.476937)</t>
  </si>
  <si>
    <t>U. E. 8 de Mayo</t>
  </si>
  <si>
    <t>Calle Ecuador entre C/ Junín y Amiraya</t>
  </si>
  <si>
    <t>POINT (-66.161026 -17.390503)</t>
  </si>
  <si>
    <t>U. E. Francisco Javier Baldivieso Luna</t>
  </si>
  <si>
    <t>Nueva Esperanza Kiñi Loma</t>
  </si>
  <si>
    <t>Av. Petrolera Km 8.5, OTB Kiñi Lama- Nueva Esperanza</t>
  </si>
  <si>
    <t>POINT (-66.113129 -17.466683)</t>
  </si>
  <si>
    <t>U. E. San Vicente de Paul</t>
  </si>
  <si>
    <t>Juan Pablo II</t>
  </si>
  <si>
    <t>Av. Petrolera Km 10, barrio San Juan - Zona Uspha Uspha</t>
  </si>
  <si>
    <t>POINT (-66.100886 -17.480595)</t>
  </si>
  <si>
    <t>U. E. San Andrés</t>
  </si>
  <si>
    <t>Villa San Andres</t>
  </si>
  <si>
    <t>Av. Uncía entre la calle la Joya y Av. Pisiga OTB. Villa San Andrés</t>
  </si>
  <si>
    <t>POINT (-66.11302 -17.457485)</t>
  </si>
  <si>
    <t>U. E. Cochabamba</t>
  </si>
  <si>
    <t>Calle Jordán Nº 236, entre calle Junín y Hamiraya</t>
  </si>
  <si>
    <t>POINT (-66.159833 -17.395751)</t>
  </si>
  <si>
    <t>U. E. Bolivia Japón Tarde</t>
  </si>
  <si>
    <t>Calle Santa Lucia entre Av. Santo Domingo y calle Nuestra Sra. de Lourdes, frente a la Cancha de la OTB</t>
  </si>
  <si>
    <t>POINT (-66.157721 -17.428363)</t>
  </si>
  <si>
    <t>U. E. Pentecostal de Bolivia</t>
  </si>
  <si>
    <t>Av. Machacamarca entre Av. Humberto Asin Rivero y calle San Felipe de Austria</t>
  </si>
  <si>
    <t>POINT (-66.117217 -17.439697)</t>
  </si>
  <si>
    <t>Sede Social de OTB Cerro San Miguel  Alto</t>
  </si>
  <si>
    <t>Calle Ayllu esquina calle Bonifacio Chuquimanawi, OTB Cerro San Miguel</t>
  </si>
  <si>
    <t>POINT (-66.148027 -17.404477)</t>
  </si>
  <si>
    <t>U. E. El Molino</t>
  </si>
  <si>
    <t>C/Pedro de Toledo esquina calle Montevideo (Zona El Molino Av. Petrolera Km 4 1/2)</t>
  </si>
  <si>
    <t>POINT (-66.136044 -17.443417)</t>
  </si>
  <si>
    <t>U. E. Canaán</t>
  </si>
  <si>
    <t>Municipio Cochabamba Av. Pedro de Toledo entre Calle Juan de la Cruz Monje y Huanchaca</t>
  </si>
  <si>
    <t>POINT (-66.123194 -17.439799)</t>
  </si>
  <si>
    <t>U. E. Luz y Verdad</t>
  </si>
  <si>
    <t>Candelaria Sud Fa</t>
  </si>
  <si>
    <t>Av. Tamborada frente a las canchas de Costanera Sud, puente La Encañada</t>
  </si>
  <si>
    <t>POINT (-66.153174 -17.443461)</t>
  </si>
  <si>
    <t>U. E. Padre Luis Diez del Pozo</t>
  </si>
  <si>
    <t>Sind. Agr. Tamborada  A</t>
  </si>
  <si>
    <t>Av. Zofraco, desvío por el camino a Pucarita Chica, Zona Tamborada "A"</t>
  </si>
  <si>
    <t>POINT (-66.196199 -17.443437)</t>
  </si>
  <si>
    <t>U. E. Ave María</t>
  </si>
  <si>
    <t>C/ Hans Greter Nº 1646 Julio Kanaudt y Av. Pdte. Manuel Isidoro Belzu</t>
  </si>
  <si>
    <t>POINT (-66.13866 -17.397765)</t>
  </si>
  <si>
    <t>U.E. Genoveva Ríos</t>
  </si>
  <si>
    <t>Moises Asbun</t>
  </si>
  <si>
    <t>Calle Los Robles entre Av. Segunda Circunvalación y Calle Sófocles</t>
  </si>
  <si>
    <t>POINT (-66.154277 -17.35683)</t>
  </si>
  <si>
    <t>U. E. John Dewey</t>
  </si>
  <si>
    <t>Calampampa Mayorazgo</t>
  </si>
  <si>
    <t>C/ Eduardo Laredo esquina, C/ Mercedes Anaya y Av. Simón López</t>
  </si>
  <si>
    <t>POINT (-66.173878 -17.364903)</t>
  </si>
  <si>
    <t>U. E. Patria Nueva</t>
  </si>
  <si>
    <t>Zona Sud Barrio 1ro. De Mayo OTB El Palmar, C/ Salinas de Garci Mendoza</t>
  </si>
  <si>
    <t>POINT (-66.206 -17.465193)</t>
  </si>
  <si>
    <t>U. E. Tiquirani</t>
  </si>
  <si>
    <t>Sind. Agr. Pampas San Miguel</t>
  </si>
  <si>
    <t>OTB Tiquirani, zona Pampa San Miguel, Calle Cerro Bravo</t>
  </si>
  <si>
    <t>POINT (-66.135813 -17.463887)</t>
  </si>
  <si>
    <t>U.E. Marina Nuñez del Prado</t>
  </si>
  <si>
    <t>Alto Mirador Ticti Sud</t>
  </si>
  <si>
    <t>OTB Alto Mirador Ticti Sud situada al sur del centro de la ciudad de Cochabamba</t>
  </si>
  <si>
    <t>POINT (-66.136751 -17.431528)</t>
  </si>
  <si>
    <t>U.E. Prof. Jaime Alfonso Escalante Gutierrez</t>
  </si>
  <si>
    <t>Las delicias</t>
  </si>
  <si>
    <t>Barrio Magisterio Las Delicias</t>
  </si>
  <si>
    <t>POINT (-66.147522 -17.45265)</t>
  </si>
  <si>
    <t>U.E. Ana María Romero de Campero</t>
  </si>
  <si>
    <t>Villa Victoria</t>
  </si>
  <si>
    <t>POINT (-66.168816 -17.475456)</t>
  </si>
  <si>
    <t>U. E. Saúl Mendoza</t>
  </si>
  <si>
    <t>OTB Villa Buch Sud-Calle Juan Muñoz Reyes esquina Ernesto Mach</t>
  </si>
  <si>
    <t>POINT (-66.193972 -17.397724)</t>
  </si>
  <si>
    <t>U. E. Bolivia Holanda</t>
  </si>
  <si>
    <t>Union Kasa Huasa</t>
  </si>
  <si>
    <t>OTB Unión Kasa Huasa</t>
  </si>
  <si>
    <t>POINT (-66.147394 -17.474947)</t>
  </si>
  <si>
    <t>U. E. Libertad</t>
  </si>
  <si>
    <t>Villa Urkupiña</t>
  </si>
  <si>
    <t>OTB Villa Urkupiña, Av. Jujuy</t>
  </si>
  <si>
    <t>POINT (-66.1143 -17.426065)</t>
  </si>
  <si>
    <t>U. E. Juan Lechin Oquendo</t>
  </si>
  <si>
    <t>Central Itocta</t>
  </si>
  <si>
    <t>Av. Pampa Aullagas Esq. Calle Paria</t>
  </si>
  <si>
    <t>POINT (-66.117014 -17.452202)</t>
  </si>
  <si>
    <t>Sede Social Alto Higuerani</t>
  </si>
  <si>
    <t>Sind. Agr. Higuerani</t>
  </si>
  <si>
    <t>Junta Vecinal Alto Higuerani al sudoeste del municipio de Cochabamba</t>
  </si>
  <si>
    <t>POINT (-66.240434 -17.475543)</t>
  </si>
  <si>
    <t>U. E. Rey de Reyes</t>
  </si>
  <si>
    <t>Carlos III</t>
  </si>
  <si>
    <t>Parque Ex Combatientes Nro 2022 entre San Loranzo</t>
  </si>
  <si>
    <t>POINT (-66.175332 -17.384716)</t>
  </si>
  <si>
    <t>U. E. Adventista Cochabamba</t>
  </si>
  <si>
    <t>Adela Zamudio</t>
  </si>
  <si>
    <t>Calle Adela Zamudio y pasaje de la Tapia</t>
  </si>
  <si>
    <t>POINT (-66.163505 -17.373513)</t>
  </si>
  <si>
    <t>Colegio Despertad Montessori (Secundario)</t>
  </si>
  <si>
    <t>Av. Martín de la Rocha y Av. Calancha</t>
  </si>
  <si>
    <t>POINT (-66.166218 -17.382687)</t>
  </si>
  <si>
    <t>U. E. Lía Rivera de Guzmán</t>
  </si>
  <si>
    <t>Av. Los Tajibos y Av. Circunvalación</t>
  </si>
  <si>
    <t>POINT (-66.148284 -17.365706)</t>
  </si>
  <si>
    <t>kinder Antofagasta</t>
  </si>
  <si>
    <t>Calle 12 de Junio esq. 30 de Abril</t>
  </si>
  <si>
    <t>POINT (-66.184902 -17.387102)</t>
  </si>
  <si>
    <t>Centro de Educación Alternativa Don Bosco C</t>
  </si>
  <si>
    <t>Calle Francisco Pizarro esq. Calle Nueva Granada</t>
  </si>
  <si>
    <t>POINT (-66.17398 -17.391404)</t>
  </si>
  <si>
    <t>U.E. Mariscal Otto Felipe Braum</t>
  </si>
  <si>
    <t>B. Policial</t>
  </si>
  <si>
    <t>Calle Eucalipto y Av. Circunvalación</t>
  </si>
  <si>
    <t>POINT (-66.186162 -17.350123)</t>
  </si>
  <si>
    <t>kinder Branko Petricevic B</t>
  </si>
  <si>
    <t>C. Yuracare entre Av. Thunupa y C. Chiriguano</t>
  </si>
  <si>
    <t>POINT (-66.188421 -17.373521)</t>
  </si>
  <si>
    <t>Colegio Evangelico Emanuel</t>
  </si>
  <si>
    <t>Sebastian Barba de Padilla</t>
  </si>
  <si>
    <t>C. Baptista entre C. La Paz y C. J. de la Reza</t>
  </si>
  <si>
    <t>POINT (-66.15876 -17.386423)</t>
  </si>
  <si>
    <t>U. E. Ayni Pacha</t>
  </si>
  <si>
    <t>Alalay Alto Mirador</t>
  </si>
  <si>
    <t>C. Santa Elena entre Av. Pisiga y C. Innominada – OTB Alalay Alto Mirador</t>
  </si>
  <si>
    <t>POINT (-66.1106 -17.454544)</t>
  </si>
  <si>
    <t>Universidad Latinoamericana</t>
  </si>
  <si>
    <t>C. Uruguay entre C. 16 de Julio y Av. Oquendo</t>
  </si>
  <si>
    <t>POINT (-66.14945 -17.397733)</t>
  </si>
  <si>
    <t>Kinder San Joaquín</t>
  </si>
  <si>
    <t>C. Viloma entre C. Colomi y Av. De la Fuerza Aerea</t>
  </si>
  <si>
    <t>POINT (-66.16573 -17.415105)</t>
  </si>
  <si>
    <t>U. E. Guillermo Urquidi</t>
  </si>
  <si>
    <t>Av. Humboldt entre Av. Victor Ustariz y Av. Blanco Galindo</t>
  </si>
  <si>
    <t>POINT (-66.16828 -17.395665)</t>
  </si>
  <si>
    <t>U.E. Mariano Ricardo Terrazas</t>
  </si>
  <si>
    <t>Zona Norte del Distrito 10, Calle La Paz esq. Baptista</t>
  </si>
  <si>
    <t>POINT (-66.159156 -17.386049)</t>
  </si>
  <si>
    <t>U.E. Alejo Calatayud</t>
  </si>
  <si>
    <t>Taquiña Norte</t>
  </si>
  <si>
    <t>Ubicado en la zona Taquiña, OTB. Taquiña Norte, final Av. Centenario frente a la parada de trufis línea N° 40 casi fábrica de cerveza Taquiña.</t>
  </si>
  <si>
    <t>POINT (-66.185128 -17.330295)</t>
  </si>
  <si>
    <t>U.E. Octavio Campero Echazu</t>
  </si>
  <si>
    <t>Sind. Agr. Caico</t>
  </si>
  <si>
    <t>Ubicado en la OTB Azirumarca, zona Sud Oeste del municipio de Cochabamba.</t>
  </si>
  <si>
    <t>POINT (-66.2242 -17.458793)</t>
  </si>
  <si>
    <t>U.E. La Frontera</t>
  </si>
  <si>
    <t>La Frontera</t>
  </si>
  <si>
    <t>Pucara Grande zona Oeste Distrito N° 9 Sub Distrito 36, zona sud, de Villa Israel al sud “Junta vecinal la Frontera”</t>
  </si>
  <si>
    <t>POINT (-66.179038 -17.501583)</t>
  </si>
  <si>
    <t>U.E. Alto Florida</t>
  </si>
  <si>
    <t>Villa Alto Florida</t>
  </si>
  <si>
    <t>O.T.B.  Villa Alto Florida, zona Sud</t>
  </si>
  <si>
    <t>POINT (-66.190805 -17.490281)</t>
  </si>
  <si>
    <t>Sede Social Barrio Colquiri</t>
  </si>
  <si>
    <t>Barrio Colquiri</t>
  </si>
  <si>
    <t>Barrio Colquiri Norte, Av. Sinchi Roq’a entre Calle Inka Roq’a y Calle Yawar Wacajj</t>
  </si>
  <si>
    <t>POINT (-66.181809 -17.356715)</t>
  </si>
  <si>
    <t>U.E. Pedro Poveda</t>
  </si>
  <si>
    <t>Bajo Aranjuez</t>
  </si>
  <si>
    <t>Zona Tupuraya Av. América -Plaza Tarija acera Sudoeste N° 1287</t>
  </si>
  <si>
    <t>POINT (-66.14343 -17.374023)</t>
  </si>
  <si>
    <t>Tirani</t>
  </si>
  <si>
    <t>U.E. José Carlos Carrillo</t>
  </si>
  <si>
    <t>Sindicato Agrario Tirani</t>
  </si>
  <si>
    <t>Comunidad Tirani - Final Av. Atahuallpa segunda circunvalación</t>
  </si>
  <si>
    <t>POINT (-66.157 -17.344445)</t>
  </si>
  <si>
    <t>Campero</t>
  </si>
  <si>
    <t>Aiquile</t>
  </si>
  <si>
    <t>Escuela Simon Rodriguez</t>
  </si>
  <si>
    <t>Zona 4367</t>
  </si>
  <si>
    <t>POINT (-65.1838 -18.2007)</t>
  </si>
  <si>
    <t>Escuela Manuel De Ugarte</t>
  </si>
  <si>
    <t>POINT (-65.1826 -18.2004)</t>
  </si>
  <si>
    <t>Escuela 20 de Diciembre</t>
  </si>
  <si>
    <t>Rural</t>
  </si>
  <si>
    <t>POINT (-65.179 -18.2033)</t>
  </si>
  <si>
    <t>U.E. San Adalberto Fe y Alegría</t>
  </si>
  <si>
    <t>Zona Cementerio Calle Sucre Final</t>
  </si>
  <si>
    <t>POINT (-65.180212 -18.204917)</t>
  </si>
  <si>
    <t>U.E. Simón Bolivar</t>
  </si>
  <si>
    <t>Calle Sucre a lado del Cementerio General</t>
  </si>
  <si>
    <t>POINT (-65.176451 -18.20271)</t>
  </si>
  <si>
    <t>U.E. Jose Nabor Quintana Navia</t>
  </si>
  <si>
    <t>Calle Cochabamba frente a la capilla Virgen de Guadalupe</t>
  </si>
  <si>
    <t>POINT (-65.18704 -18.214297)</t>
  </si>
  <si>
    <t>El Cercado</t>
  </si>
  <si>
    <t>Nucleo Escolar El Cercado</t>
  </si>
  <si>
    <t>Zona 4369</t>
  </si>
  <si>
    <t>POINT (-65.1779 -18.1024)</t>
  </si>
  <si>
    <t>Tipajara</t>
  </si>
  <si>
    <t>Nucleo Educativo Tipajara</t>
  </si>
  <si>
    <t>POINT (-65.2803 -18.1344)</t>
  </si>
  <si>
    <t>Novillero</t>
  </si>
  <si>
    <t>Unidad Educativa Novillero</t>
  </si>
  <si>
    <t>POINT (-65.2346 -18.3009)</t>
  </si>
  <si>
    <t>Villa Granado</t>
  </si>
  <si>
    <t>Nucleo Escolar Villa Granado</t>
  </si>
  <si>
    <t>Zona 4368</t>
  </si>
  <si>
    <t>POINT (-65.0377 -18.2092)</t>
  </si>
  <si>
    <t>Estanzuela</t>
  </si>
  <si>
    <t>Unidad Educativa Estanzuela</t>
  </si>
  <si>
    <t>POINT (-64.8749 -18.3307)</t>
  </si>
  <si>
    <t>Quiroga</t>
  </si>
  <si>
    <t>Unidad Educativa Quiroga</t>
  </si>
  <si>
    <t>Zona 4366</t>
  </si>
  <si>
    <t>POINT (-65.2155 -18.4253)</t>
  </si>
  <si>
    <t>Lagarpampa</t>
  </si>
  <si>
    <t>Unidad Educativa Lagarpampa</t>
  </si>
  <si>
    <t>POINT (-64.9896 -18.4521)</t>
  </si>
  <si>
    <t>Eje Pampa</t>
  </si>
  <si>
    <t>Unidad Educativa Eje Pampa</t>
  </si>
  <si>
    <t>POINT (-65.1709 -18.5394)</t>
  </si>
  <si>
    <t>Ch'aquimayu</t>
  </si>
  <si>
    <t>Unidad Educativa Chaqui Mayu</t>
  </si>
  <si>
    <t>Ch Aquimayu</t>
  </si>
  <si>
    <t>POINT (-65.2821 -18.2657)</t>
  </si>
  <si>
    <t>Panamá</t>
  </si>
  <si>
    <t>Unidad Educativa Panama</t>
  </si>
  <si>
    <t>POINT (-65.1087 -18.309)</t>
  </si>
  <si>
    <t>Qhewiñal</t>
  </si>
  <si>
    <t>Unidad Educativa Kewiñal</t>
  </si>
  <si>
    <t>POINT (-65.3171 -18.3735)</t>
  </si>
  <si>
    <t>Laime</t>
  </si>
  <si>
    <t>Unidad Educativa Laime</t>
  </si>
  <si>
    <t>POINT (-65.096 -18.4501)</t>
  </si>
  <si>
    <t>Molle Pampa  A</t>
  </si>
  <si>
    <t>U.E. Molle Pampa</t>
  </si>
  <si>
    <t>Comunidad Molle Pampa</t>
  </si>
  <si>
    <t>POINT (-64.934665 -18.426058)</t>
  </si>
  <si>
    <t>San Antonio</t>
  </si>
  <si>
    <t>U.E. San Antonio</t>
  </si>
  <si>
    <t>Comunidad San Antonio</t>
  </si>
  <si>
    <t>POINT (-64.976231 -18.171989)</t>
  </si>
  <si>
    <t>Tipa Pampa</t>
  </si>
  <si>
    <t>U. E. Tipa Pampa</t>
  </si>
  <si>
    <t>Comunidad Tipa Pampa, carretera Aiquile a Sucre</t>
  </si>
  <si>
    <t>POINT (-65.228 -18.334)</t>
  </si>
  <si>
    <t>Jarca Mayu</t>
  </si>
  <si>
    <t>U.E. Jarka Mayu</t>
  </si>
  <si>
    <t>Comunidad Jarca Mayu</t>
  </si>
  <si>
    <t>POINT (-65.263293 -18.237276)</t>
  </si>
  <si>
    <t>Tabla Mayu</t>
  </si>
  <si>
    <t>U.E. Tabla Mayu</t>
  </si>
  <si>
    <t>Comunidad de Tabla Mayu</t>
  </si>
  <si>
    <t>POINT (-65.16325 -18.328139)</t>
  </si>
  <si>
    <t>Marquilla</t>
  </si>
  <si>
    <t>U.E. Marquilla</t>
  </si>
  <si>
    <t>Comunidad de Marquilla</t>
  </si>
  <si>
    <t>POINT (-65.148339 -18.156664)</t>
  </si>
  <si>
    <t>Higus Pampa</t>
  </si>
  <si>
    <t>U.E. Higus Pampa</t>
  </si>
  <si>
    <t>Comunidad de Higus Pampa</t>
  </si>
  <si>
    <t>POINT (-65.009231 -18.25273)</t>
  </si>
  <si>
    <t>Pasorapa</t>
  </si>
  <si>
    <t>Colegio Tte.Cnel. Nataniel Verduguez</t>
  </si>
  <si>
    <t>Zona 4370</t>
  </si>
  <si>
    <t>POINT (-64.676 -18.3163)</t>
  </si>
  <si>
    <t>Quinori</t>
  </si>
  <si>
    <t>Escuela Central Quinori</t>
  </si>
  <si>
    <t>Zona 4371</t>
  </si>
  <si>
    <t>POINT (-64.3966 -18.5031)</t>
  </si>
  <si>
    <t>Seibas</t>
  </si>
  <si>
    <t>Unidad Educativa Seibas</t>
  </si>
  <si>
    <t>POINT (-64.5739 -18.4938)</t>
  </si>
  <si>
    <t>Pampas</t>
  </si>
  <si>
    <t>Unidad Educativa Pampas</t>
  </si>
  <si>
    <t>POINT (-64.5128 -18.4025)</t>
  </si>
  <si>
    <t>Bañado Redondo</t>
  </si>
  <si>
    <t>U.E. Redondo</t>
  </si>
  <si>
    <t>Entrada a la comunidad Bañado Redondo</t>
  </si>
  <si>
    <t>POINT (-64.3148 -18.5003)</t>
  </si>
  <si>
    <t>Yajo Pampa</t>
  </si>
  <si>
    <t>Sede Sindical Yajo Pampa</t>
  </si>
  <si>
    <t>Comunidad Yajo Pampa, camino Moro Moro</t>
  </si>
  <si>
    <t>POINT (-64.5593 -18.1366)</t>
  </si>
  <si>
    <t>Omereque</t>
  </si>
  <si>
    <t>Unidad Educativa Omereque</t>
  </si>
  <si>
    <t>Zona 4377</t>
  </si>
  <si>
    <t>POINT (-64.9078 -18.1062)</t>
  </si>
  <si>
    <t>Huanacuni Chico</t>
  </si>
  <si>
    <t>Unidad Educativa Huanacuni Grande</t>
  </si>
  <si>
    <t>Zona 4372</t>
  </si>
  <si>
    <t>POINT (-64.9884 -17.9292)</t>
  </si>
  <si>
    <t>Peña Colorada</t>
  </si>
  <si>
    <t>Escuela Central Peña Colorada</t>
  </si>
  <si>
    <t>Zona 4373</t>
  </si>
  <si>
    <t>POINT (-64.8705 -18.172)</t>
  </si>
  <si>
    <t>Perereta</t>
  </si>
  <si>
    <t>Unidad Educativa Perereta</t>
  </si>
  <si>
    <t>Zona 4375</t>
  </si>
  <si>
    <t>POINT (-64.8208 -18.132)</t>
  </si>
  <si>
    <t>Chari Chari</t>
  </si>
  <si>
    <t>Escuela Seccional Chari Chari</t>
  </si>
  <si>
    <t>Zona 4378</t>
  </si>
  <si>
    <t>POINT (-65.0182 -18.0252)</t>
  </si>
  <si>
    <t>Perez</t>
  </si>
  <si>
    <t>Escuela Seccional Perez</t>
  </si>
  <si>
    <t>POINT (-64.7667 -18.1136)</t>
  </si>
  <si>
    <t>Ayopaya</t>
  </si>
  <si>
    <t>Independencia</t>
  </si>
  <si>
    <t>U.E. Jose Miguel Lanza</t>
  </si>
  <si>
    <t>Zona 4379</t>
  </si>
  <si>
    <t>Diagonal de La Unidad Educativa Jose Miguel Lanza</t>
  </si>
  <si>
    <t>POINT (-66.8212 -17.0819)</t>
  </si>
  <si>
    <t>Tapaza</t>
  </si>
  <si>
    <t>Unidad Educativa Tapaza</t>
  </si>
  <si>
    <t>POINT (-66.745 -17.1788)</t>
  </si>
  <si>
    <t>Machaca</t>
  </si>
  <si>
    <t>Unidad Educativa Machaca</t>
  </si>
  <si>
    <t>POINT (-66.8674 -17.1232)</t>
  </si>
  <si>
    <t>Calchani</t>
  </si>
  <si>
    <t>Escuela Mariano Baptista (Calchani)</t>
  </si>
  <si>
    <t>Zona 4381</t>
  </si>
  <si>
    <t>POINT (-66.6902 -17.3246)</t>
  </si>
  <si>
    <t>Icoya Kami</t>
  </si>
  <si>
    <t>Colegio Simon Bolivar Fe y Alegria</t>
  </si>
  <si>
    <t>Zona 4380</t>
  </si>
  <si>
    <t>POINT (-66.8146 -17.3846)</t>
  </si>
  <si>
    <t>Pocanche</t>
  </si>
  <si>
    <t>U.E. Julian Apaza de Pocanchi</t>
  </si>
  <si>
    <t>POINT (-66.835316 -16.934219)</t>
  </si>
  <si>
    <t>Sisi Palermo</t>
  </si>
  <si>
    <t>Unidad Educativa Sisi Palermo</t>
  </si>
  <si>
    <t>POINT (-66.837 -17.2046)</t>
  </si>
  <si>
    <t>Chamacoma</t>
  </si>
  <si>
    <t xml:space="preserve"> U.E. Chamacoma</t>
  </si>
  <si>
    <t>POINT (-66.704231 -17.393743)</t>
  </si>
  <si>
    <t>Tiquirpaya</t>
  </si>
  <si>
    <t>Unidad Educativa Sabino Wallku</t>
  </si>
  <si>
    <t>POINT (-66.7306 -17.1167)</t>
  </si>
  <si>
    <t>Villa Pucara</t>
  </si>
  <si>
    <t>Unidad Educativa Villa Pucara</t>
  </si>
  <si>
    <t>POINT (-66.9632 -16.9919)</t>
  </si>
  <si>
    <t>Charahuaytu</t>
  </si>
  <si>
    <t>Unidad Educativa Charahuaytu</t>
  </si>
  <si>
    <t>POINT (-66.7977 -17.2641)</t>
  </si>
  <si>
    <t>Chaupisuyo  A</t>
  </si>
  <si>
    <t>Unidad Educativa Chapisuyo A</t>
  </si>
  <si>
    <t>Chaupisuyo A</t>
  </si>
  <si>
    <t>POINT (-66.6299 -17.3594)</t>
  </si>
  <si>
    <t>Cotani</t>
  </si>
  <si>
    <t>U. E. Cotani</t>
  </si>
  <si>
    <t>Comunidad Cotani, al sur del municipio de Independencia.</t>
  </si>
  <si>
    <t>POINT (-66.712 -17.259)</t>
  </si>
  <si>
    <t>Ascasive Alto</t>
  </si>
  <si>
    <t>U. E. Ascasivi</t>
  </si>
  <si>
    <t>Comunidad Serro Blanco, Ascasive Alto, sobre camino vecinal</t>
  </si>
  <si>
    <t>POINT (-66.718 -17.333)</t>
  </si>
  <si>
    <t>Llajma Alto Chamacoma</t>
  </si>
  <si>
    <t>U. E. Llajma</t>
  </si>
  <si>
    <t>Comunidad Llajma Alto Chamacoma, sobre el camino vecinal</t>
  </si>
  <si>
    <t>POINT (-66.671 -17.369)</t>
  </si>
  <si>
    <t>Cuesta K'uchu</t>
  </si>
  <si>
    <t>U. E. Cuesta Cuchu</t>
  </si>
  <si>
    <t>Comunidad Cuesta K'uchu, sobre camino vecinal a Cuesta Cuchu</t>
  </si>
  <si>
    <t>POINT (-66.633 -17.399)</t>
  </si>
  <si>
    <t>Colaya</t>
  </si>
  <si>
    <t>U. E. Qhulaya</t>
  </si>
  <si>
    <t>Comunidad Colaya, sobre camino vecinal</t>
  </si>
  <si>
    <t>POINT (-66.732 -17.357)</t>
  </si>
  <si>
    <t>Lirimani</t>
  </si>
  <si>
    <t>U. E. Lirimani</t>
  </si>
  <si>
    <t>Comunidad Lirimani, al sur del municipio Independencia.</t>
  </si>
  <si>
    <t>POINT (-66.867 -17.265)</t>
  </si>
  <si>
    <t>Carhuani</t>
  </si>
  <si>
    <t>U.E. Karhuani</t>
  </si>
  <si>
    <t>Se encuentra al norte del municipio de Independecia comunidad Carhuani</t>
  </si>
  <si>
    <t>POINT (-66.903511 -16.865244)</t>
  </si>
  <si>
    <t>Comunidad Chinosive</t>
  </si>
  <si>
    <t>U.E. Marcelo Quiroga Santa Cruz</t>
  </si>
  <si>
    <t>Ubicado sobre la carretera principal de Cochabamba a Independencia ingreso por Pongo K’asa, cruce Tapacari, localidad Chinosive (Lip’ichi).</t>
  </si>
  <si>
    <t>POINT (-66.787092 -17.417968)</t>
  </si>
  <si>
    <t>Comunidad de Villa Hermosa</t>
  </si>
  <si>
    <t>U.E. Constantino Velasco</t>
  </si>
  <si>
    <t>Ubicado sobre la carretera principal de Cochabamba a Independencia ingreso por Pongo K’asa, cruce a Kami, localidad Villa Hermosa.</t>
  </si>
  <si>
    <t>POINT (-66.805859 -17.369592)</t>
  </si>
  <si>
    <t>Morochata</t>
  </si>
  <si>
    <t>Escuela Mariano Baptista  Morochata</t>
  </si>
  <si>
    <t>Zona 4382</t>
  </si>
  <si>
    <t>POINT (-66.5339 -17.2317)</t>
  </si>
  <si>
    <t>Piusillas</t>
  </si>
  <si>
    <t>Colegio Rene Barrientos Ortuño  Piusilla</t>
  </si>
  <si>
    <t>POINT (-66.4938 -17.2304)</t>
  </si>
  <si>
    <t>Chinchiri</t>
  </si>
  <si>
    <t>Escuela Gildaro Antezana Rojas</t>
  </si>
  <si>
    <t>Zona 4386</t>
  </si>
  <si>
    <t>POINT (-66.6097 -17.1844)</t>
  </si>
  <si>
    <t>Punacachi</t>
  </si>
  <si>
    <t>Escuela Julio Espinoza Canelas Punacachi</t>
  </si>
  <si>
    <t>Zona 4384</t>
  </si>
  <si>
    <t>POINT (-66.6113 -17.2512)</t>
  </si>
  <si>
    <t>Yayani</t>
  </si>
  <si>
    <t>Escuela Hilarion Grageda   Yayani</t>
  </si>
  <si>
    <t>Zona 4385</t>
  </si>
  <si>
    <t>POINT (-66.6564 -17.2117)</t>
  </si>
  <si>
    <t>Chaupisuyo  B</t>
  </si>
  <si>
    <t>Escuela 26 de Mayo   Chaupisuyo B</t>
  </si>
  <si>
    <t>Chaupisuyo B</t>
  </si>
  <si>
    <t>POINT (-66.5517 -17.3095)</t>
  </si>
  <si>
    <t>Pucarani Grande</t>
  </si>
  <si>
    <t>Unidad Educativa Pucarani Grande</t>
  </si>
  <si>
    <t>Zona 4387</t>
  </si>
  <si>
    <t>POINT (-66.6624 -17.0858)</t>
  </si>
  <si>
    <t>Iglesiani</t>
  </si>
  <si>
    <t>Unidad Educativa Iglesiani</t>
  </si>
  <si>
    <t>POINT (-66.5036 -17.3101)</t>
  </si>
  <si>
    <t>Humamarca</t>
  </si>
  <si>
    <t>Unidad Educativa Humamarca</t>
  </si>
  <si>
    <t>Comunidad de Humamarca, sobre camino vecinal</t>
  </si>
  <si>
    <t>POINT (-66.5562 -17.102)</t>
  </si>
  <si>
    <t>Lachiraya</t>
  </si>
  <si>
    <t>U. E. Raymundo Herman Pint</t>
  </si>
  <si>
    <t>Comunidad Lachiraya, al oeste del municipio de Morochata.</t>
  </si>
  <si>
    <t>POINT (-66.589944 -17.20845)</t>
  </si>
  <si>
    <t>Sauce Rancho</t>
  </si>
  <si>
    <t>U. E. Sauce Rancho</t>
  </si>
  <si>
    <t>Comunidad Sauce Rancho, sobre el camino a Chacamayu</t>
  </si>
  <si>
    <t>POINT (-66.531 -17.152)</t>
  </si>
  <si>
    <t>Tuiruni Grande</t>
  </si>
  <si>
    <t>U. E. Tuiruni</t>
  </si>
  <si>
    <t>comunidad Tuiruni Grande, sobre camino vecinal</t>
  </si>
  <si>
    <t>POINT (-66.609103 -17.124252)</t>
  </si>
  <si>
    <t>Cocapata</t>
  </si>
  <si>
    <t>Colegio Secundario Cocapata</t>
  </si>
  <si>
    <t>Zona 4392</t>
  </si>
  <si>
    <t>POINT (-66.6698 -16.7972)</t>
  </si>
  <si>
    <t>Icari</t>
  </si>
  <si>
    <t>Unidad Educativa Icari</t>
  </si>
  <si>
    <t>Zona 4393</t>
  </si>
  <si>
    <t>POINT (-66.3422 -17.0204)</t>
  </si>
  <si>
    <t>Viscachas</t>
  </si>
  <si>
    <t>Sede Sub   Central Viscachas</t>
  </si>
  <si>
    <t>POINT (-66.4576 -17.1074)</t>
  </si>
  <si>
    <t>Calientes</t>
  </si>
  <si>
    <t>Escuela Pedro Domingo Murillo  Calientes</t>
  </si>
  <si>
    <t>POINT (-66.5527 -17.0123)</t>
  </si>
  <si>
    <t>El Choro</t>
  </si>
  <si>
    <t>Escuela 15 de Febrero (El Choro)</t>
  </si>
  <si>
    <t>Zona 4402</t>
  </si>
  <si>
    <t>POINT (-66.6511 -16.7941)</t>
  </si>
  <si>
    <t>Tunari</t>
  </si>
  <si>
    <t>U.E. Tunari</t>
  </si>
  <si>
    <t>Comunidad Tunari</t>
  </si>
  <si>
    <t>POINT (-66.739353 -16.932606)</t>
  </si>
  <si>
    <t>Villa Vinto</t>
  </si>
  <si>
    <t>Escuela Oscar Alfaro   Villa Vinto</t>
  </si>
  <si>
    <t>Zona 4397</t>
  </si>
  <si>
    <t>POINT (-66.4675 -16.8468)</t>
  </si>
  <si>
    <t>Chillavi</t>
  </si>
  <si>
    <t>Nucleo German Busch (Chillavi)</t>
  </si>
  <si>
    <t>POINT (-66.5988 -16.8523)</t>
  </si>
  <si>
    <t>Falsuri</t>
  </si>
  <si>
    <t>Escuela Choquecamata (Falsuri)</t>
  </si>
  <si>
    <t>Zona 4391</t>
  </si>
  <si>
    <t>POINT (-66.6307 -16.8387)</t>
  </si>
  <si>
    <t>Rinconada</t>
  </si>
  <si>
    <t>Nucleo Escolar Pedro Laime Chuspi</t>
  </si>
  <si>
    <t>POINT (-66.6773 -16.8596)</t>
  </si>
  <si>
    <t>Chiaraje</t>
  </si>
  <si>
    <t>Unidad Educativa Chiaraje</t>
  </si>
  <si>
    <t>POINT (-66.3867 -17.0523)</t>
  </si>
  <si>
    <t>Machacayma</t>
  </si>
  <si>
    <t>Escuela Seccional Machacayma</t>
  </si>
  <si>
    <t>POINT (-66.4086 -16.9002)</t>
  </si>
  <si>
    <t>Maravillas</t>
  </si>
  <si>
    <t>Unidad Educativa Maravillas</t>
  </si>
  <si>
    <t>Zona 4395</t>
  </si>
  <si>
    <t>POINT (-66.7146 -16.6008)</t>
  </si>
  <si>
    <t>El Chorito</t>
  </si>
  <si>
    <t>Unidad Educativa El Chorito</t>
  </si>
  <si>
    <t>POINT (-66.6049 -16.9428)</t>
  </si>
  <si>
    <t>Colorado</t>
  </si>
  <si>
    <t>Unidad Educativa Colorado</t>
  </si>
  <si>
    <t>Zona 4399</t>
  </si>
  <si>
    <t>POINT (-66.8797 -15.8841)</t>
  </si>
  <si>
    <t>Totorani</t>
  </si>
  <si>
    <t>Unidad Educativa Totorani</t>
  </si>
  <si>
    <t>POINT (-66.3917 -17.0137)</t>
  </si>
  <si>
    <t>Sequerancho</t>
  </si>
  <si>
    <t>U.E. Seque Rancho</t>
  </si>
  <si>
    <t>Zona 4396</t>
  </si>
  <si>
    <t>Comunidad Sequerancho</t>
  </si>
  <si>
    <t>POINT (-66.7842 -16.4755)</t>
  </si>
  <si>
    <t>Tocorani</t>
  </si>
  <si>
    <t>U.E. Tocorani</t>
  </si>
  <si>
    <t>Comunidad Tocorani</t>
  </si>
  <si>
    <t>POINT (-66.544416 -16.73331)</t>
  </si>
  <si>
    <t>Muñoz Cueva</t>
  </si>
  <si>
    <t>U.E. Muñoz Cueva</t>
  </si>
  <si>
    <t>Sindicato Muñoz Cueva</t>
  </si>
  <si>
    <t>POINT (-66.519857 -16.84187)</t>
  </si>
  <si>
    <t>La aguada</t>
  </si>
  <si>
    <t>U.E. Juan Arrutia</t>
  </si>
  <si>
    <t>Sindicato Agrario Campesino La Aguada  al sur del municipio de Cocapata</t>
  </si>
  <si>
    <t>POINT (-66.688506 -16.994075)</t>
  </si>
  <si>
    <t>Lagunillas</t>
  </si>
  <si>
    <t>U.E. Lagunillas</t>
  </si>
  <si>
    <t>Zona 4401</t>
  </si>
  <si>
    <t>NorEste de la Capital del Municipio de Cocapata.</t>
  </si>
  <si>
    <t>POINT (-66.587475 -16.711164)</t>
  </si>
  <si>
    <t>Huajchamayu</t>
  </si>
  <si>
    <t>U.E. Huajchamayu</t>
  </si>
  <si>
    <t>Huajchamayu camino a Lagunillas</t>
  </si>
  <si>
    <t>POINT (-66.609447 -16.775708)</t>
  </si>
  <si>
    <t>Esteban Arze</t>
  </si>
  <si>
    <t>Tarata</t>
  </si>
  <si>
    <t>Colegio My. Victor Ustariz</t>
  </si>
  <si>
    <t>Zona 4407</t>
  </si>
  <si>
    <t>POINT (-66.0244 -17.6089)</t>
  </si>
  <si>
    <t>Escuela Rene Barrientos O.</t>
  </si>
  <si>
    <t>POINT (-66.024 -17.6132)</t>
  </si>
  <si>
    <t>Escuela Esteban Arze</t>
  </si>
  <si>
    <t>POINT (-66.0237 -17.6107)</t>
  </si>
  <si>
    <t>Huayculi</t>
  </si>
  <si>
    <t>Unidad Educativa Huayculi</t>
  </si>
  <si>
    <t>Zona 4403</t>
  </si>
  <si>
    <t>POINT (-65.9796 -17.6419)</t>
  </si>
  <si>
    <t>Huasa Rancho</t>
  </si>
  <si>
    <t>Unidad Educativa Huasa Rancho</t>
  </si>
  <si>
    <t>Zona 4404</t>
  </si>
  <si>
    <t>POINT (-65.9671 -17.6152)</t>
  </si>
  <si>
    <t>Izata</t>
  </si>
  <si>
    <t>Escuela Luis Terrazas</t>
  </si>
  <si>
    <t>Zona 4405</t>
  </si>
  <si>
    <t>POINT (-66.0742 -17.7543)</t>
  </si>
  <si>
    <t>Huerta Mayu</t>
  </si>
  <si>
    <t>Unidad Educativa Huerta Mayu</t>
  </si>
  <si>
    <t>Zona 4406</t>
  </si>
  <si>
    <t>POINT (-66.1138 -17.638)</t>
  </si>
  <si>
    <t>Anzaldo</t>
  </si>
  <si>
    <t>U. E. San José de Calasanz</t>
  </si>
  <si>
    <t>Zona 4410</t>
  </si>
  <si>
    <t>Calle Esteban Arce s/n</t>
  </si>
  <si>
    <t>POINT (-65.933288 -17.782359)</t>
  </si>
  <si>
    <t>Paccha Pata</t>
  </si>
  <si>
    <t>U.E. Esteban Andia Escobar</t>
  </si>
  <si>
    <t>Zona 4411</t>
  </si>
  <si>
    <t>POINT (-65.9457 -17.7033)</t>
  </si>
  <si>
    <t>La Viña</t>
  </si>
  <si>
    <t>U.E. La Viña</t>
  </si>
  <si>
    <t>Zona 4409</t>
  </si>
  <si>
    <t>POINT (-65.8564 -17.969)</t>
  </si>
  <si>
    <t>Quiriria</t>
  </si>
  <si>
    <t>U. E. Arturo Sarmiento de Quiriria</t>
  </si>
  <si>
    <t>Zona 4408</t>
  </si>
  <si>
    <t>POINT (-65.945 -17.8995)</t>
  </si>
  <si>
    <t>Alfamayu</t>
  </si>
  <si>
    <t>Unidad Educativa Alfamayu</t>
  </si>
  <si>
    <t>POINT (-65.9385 -17.8642)</t>
  </si>
  <si>
    <t>Thago Kasa</t>
  </si>
  <si>
    <t>U. E. Thaqu K'asa</t>
  </si>
  <si>
    <t>Thago K'asa</t>
  </si>
  <si>
    <t>POINT (-65.8291 -17.8914)</t>
  </si>
  <si>
    <t>Phinquina</t>
  </si>
  <si>
    <t>U.E. Phinquina</t>
  </si>
  <si>
    <t>Sindicato Agrario Phinquina, ubicado a lado Noroeste de la localidad de Anzaldo del Municipio de Anzaldo.</t>
  </si>
  <si>
    <t>POINT (-65.983496 -17.775562)</t>
  </si>
  <si>
    <t>Arbieto</t>
  </si>
  <si>
    <t>Centro Educativo German Busch   Arbieto</t>
  </si>
  <si>
    <t>Zona 4414</t>
  </si>
  <si>
    <t>POINT (-66.0172 -17.5855)</t>
  </si>
  <si>
    <t>Mamanaca</t>
  </si>
  <si>
    <t>Unidad Educativa 6 de Junio   Mamanaca</t>
  </si>
  <si>
    <t>Zona 4413</t>
  </si>
  <si>
    <t>POINT (-66.0526 -17.5838)</t>
  </si>
  <si>
    <t>Unidad Educativa Antonio Arnez  Aranjuez</t>
  </si>
  <si>
    <t>Zona 4412</t>
  </si>
  <si>
    <t>POINT (-65.9816 -17.593)</t>
  </si>
  <si>
    <t>Arpita</t>
  </si>
  <si>
    <t>Escuela Seccional Arpita</t>
  </si>
  <si>
    <t>Zona 4421</t>
  </si>
  <si>
    <t>POINT (-66.0729 -17.5672)</t>
  </si>
  <si>
    <t>Llave Mayu</t>
  </si>
  <si>
    <t>Unidad Educativa Carlos Canelas</t>
  </si>
  <si>
    <t>Camino a Punata Pasado La Tranca</t>
  </si>
  <si>
    <t>POINT (-66.095682 -17.489639)</t>
  </si>
  <si>
    <t>T'ajra</t>
  </si>
  <si>
    <t>U.E. Betty Barrientos</t>
  </si>
  <si>
    <t>Carretera a Tarata-Cliza Punata - Comunidad T'ajra</t>
  </si>
  <si>
    <t>POINT (-66.116101 -17.533121)</t>
  </si>
  <si>
    <t>Angostura</t>
  </si>
  <si>
    <t>U. E. Casimiro López Terrazas</t>
  </si>
  <si>
    <t>Zona 4420</t>
  </si>
  <si>
    <t>POINT (-66.088 -17.512)</t>
  </si>
  <si>
    <t>Sacabamba</t>
  </si>
  <si>
    <t>Escuela Eliseo Torrico   Sacabamba</t>
  </si>
  <si>
    <t>Zona 4424</t>
  </si>
  <si>
    <t>POINT (-65.7757 -17.817)</t>
  </si>
  <si>
    <t>Challaque</t>
  </si>
  <si>
    <t>Escuela Seccional Challaque</t>
  </si>
  <si>
    <t>Zona 4423</t>
  </si>
  <si>
    <t>POINT (-65.7569 -17.8316)</t>
  </si>
  <si>
    <t>Matarani</t>
  </si>
  <si>
    <t>Nucleo Matarani</t>
  </si>
  <si>
    <t>Zona 4425</t>
  </si>
  <si>
    <t>POINT (-65.8014 -17.8031)</t>
  </si>
  <si>
    <t>Quekoma</t>
  </si>
  <si>
    <t>Nucleo Escolar Quekoma</t>
  </si>
  <si>
    <t>Zona 4429</t>
  </si>
  <si>
    <t>POINT (-65.8236 -17.7026)</t>
  </si>
  <si>
    <t>Apillapa</t>
  </si>
  <si>
    <t>Unidad Educativa Apillapa</t>
  </si>
  <si>
    <t>Zona 4426</t>
  </si>
  <si>
    <t>POINT (-65.8515 -17.7623)</t>
  </si>
  <si>
    <t>Arani</t>
  </si>
  <si>
    <t>Zona 4434</t>
  </si>
  <si>
    <t>POINT (-65.7754 -17.5734)</t>
  </si>
  <si>
    <t>U.E. Arani</t>
  </si>
  <si>
    <t>Arani, C/ Gualberto Villarroel "Juan B" y Pereira</t>
  </si>
  <si>
    <t>POINT (-65.7734 -17.5731)</t>
  </si>
  <si>
    <t>(Cárcel) Penitenciaria Arani</t>
  </si>
  <si>
    <t>Calle Obispo de la Fuente/calle Jose Manuel Pando</t>
  </si>
  <si>
    <t>POINT (-65.770415 -17.573328)</t>
  </si>
  <si>
    <t>Collpaciaco</t>
  </si>
  <si>
    <t>Unidad Educativa Collpaciaco</t>
  </si>
  <si>
    <t>Zona 4432</t>
  </si>
  <si>
    <t>POINT (-65.7607 -17.6012)</t>
  </si>
  <si>
    <t>Pocoata</t>
  </si>
  <si>
    <t>Escuela Mixta Pocoata</t>
  </si>
  <si>
    <t>Zona 4430</t>
  </si>
  <si>
    <t>POINT (-65.7265 -17.61)</t>
  </si>
  <si>
    <t>Serrano</t>
  </si>
  <si>
    <t>U.E. Serrano</t>
  </si>
  <si>
    <t>Zona 4431</t>
  </si>
  <si>
    <t>Sindicato Agrarario Serrano - Carretera Troncal Cochabamba Mizque</t>
  </si>
  <si>
    <t>POINT (-65.686005 -17.549167)</t>
  </si>
  <si>
    <t>Vacas</t>
  </si>
  <si>
    <t>Escuela Experimental Vacas</t>
  </si>
  <si>
    <t>Zona 4435</t>
  </si>
  <si>
    <t>POINT (-65.5817 -17.5754)</t>
  </si>
  <si>
    <t>Rodeo  A</t>
  </si>
  <si>
    <t>Escuela Seccional Rodeo A</t>
  </si>
  <si>
    <t>Zona 4436</t>
  </si>
  <si>
    <t>Rodeo A</t>
  </si>
  <si>
    <t>POINT (-65.6371 -17.6303)</t>
  </si>
  <si>
    <t>Leguajes  Totorapampa</t>
  </si>
  <si>
    <t>Unidad Educativa Totorapampa</t>
  </si>
  <si>
    <t>Leguajes -Totorapampa</t>
  </si>
  <si>
    <t>POINT (-65.5509 -17.6785)</t>
  </si>
  <si>
    <t>Cañadas</t>
  </si>
  <si>
    <t>U.E. David Morato Cañadas</t>
  </si>
  <si>
    <t>POINT (-65.6414 -17.5341)</t>
  </si>
  <si>
    <t>Arque</t>
  </si>
  <si>
    <t>Escuela Nataniel Aguirre</t>
  </si>
  <si>
    <t>Zona 4438</t>
  </si>
  <si>
    <t>POINT (-66.4043 -17.8204)</t>
  </si>
  <si>
    <t>Pongo Kasa</t>
  </si>
  <si>
    <t>Escuela Juana Azurduy   Pongo K'Asa</t>
  </si>
  <si>
    <t>Zona 4440</t>
  </si>
  <si>
    <t>POINT (-66.5501 -17.7105)</t>
  </si>
  <si>
    <t>Ovejeria Larama</t>
  </si>
  <si>
    <t>Escuela E Internado Dario Antezana V.</t>
  </si>
  <si>
    <t>POINT (-66.29 -17.949)</t>
  </si>
  <si>
    <t>Colcha</t>
  </si>
  <si>
    <t>U.E. San Pedro</t>
  </si>
  <si>
    <t>Zona 4439</t>
  </si>
  <si>
    <t>Comunidad Nueva Colcha, sobre camino vecinal</t>
  </si>
  <si>
    <t>POINT (-66.4192 -17.8567)</t>
  </si>
  <si>
    <t>Tujsuma</t>
  </si>
  <si>
    <t>Escuela Marcelo Quiroga Santa Cruz</t>
  </si>
  <si>
    <t>POINT (-66.3986 -17.9045)</t>
  </si>
  <si>
    <t>Tarujayña</t>
  </si>
  <si>
    <t>Unidad Escolar Tupac Katari   Tarujayña</t>
  </si>
  <si>
    <t>Comunidad Tarujayña, sobre camino vecinal</t>
  </si>
  <si>
    <t>POINT (-66.474 -17.6746)</t>
  </si>
  <si>
    <t>Huaycha</t>
  </si>
  <si>
    <t>U.E. Julio Dario Dazzi</t>
  </si>
  <si>
    <t>POINT (-66.3241 -17.8941)</t>
  </si>
  <si>
    <t>Changolla</t>
  </si>
  <si>
    <t>Unidad Educativa Changolla</t>
  </si>
  <si>
    <t>POINT (-66.4685 -17.7748)</t>
  </si>
  <si>
    <t>K'utimarca</t>
  </si>
  <si>
    <t>U.E. Dña. Adela Zamudio</t>
  </si>
  <si>
    <t>POINT (-66.46829 -17.714052)</t>
  </si>
  <si>
    <t>Tacopaya</t>
  </si>
  <si>
    <t>U.E. Adolfo Mercado</t>
  </si>
  <si>
    <t>Zona 4441</t>
  </si>
  <si>
    <t>POINT (-66.5361 -17.836)</t>
  </si>
  <si>
    <t>San Miguel de Aquerani</t>
  </si>
  <si>
    <t>Unidad Educativa Aniceto Arce</t>
  </si>
  <si>
    <t>Zona 4442</t>
  </si>
  <si>
    <t>POINT (-66.597 -17.7686)</t>
  </si>
  <si>
    <t>Ventilla</t>
  </si>
  <si>
    <t>Escuela Seccional Rene Barrientos</t>
  </si>
  <si>
    <t>Zona 4443</t>
  </si>
  <si>
    <t>POINT (-66.671 -17.7972)</t>
  </si>
  <si>
    <t>Comunidad  Micayani Grande</t>
  </si>
  <si>
    <t>U.E. Genoveva Rios</t>
  </si>
  <si>
    <t>Michayani Grande</t>
  </si>
  <si>
    <t>POINT (-66.7012 -17.8612)</t>
  </si>
  <si>
    <t>Totora Pampa</t>
  </si>
  <si>
    <t>Escuela Elizardo Perez (Totorapampa)</t>
  </si>
  <si>
    <t>POINT (-66.6155 -17.884)</t>
  </si>
  <si>
    <t>Tujuta</t>
  </si>
  <si>
    <t>Escuela Martin Cardenas (Tujuta)</t>
  </si>
  <si>
    <t>POINT (-66.74 -17.7119)</t>
  </si>
  <si>
    <t>Aguas Calientes</t>
  </si>
  <si>
    <t>Escuela Vicente Donoso (Aguas Calientes)</t>
  </si>
  <si>
    <t>POINT (-66.6142 -17.8214)</t>
  </si>
  <si>
    <t>Auqui Pampa</t>
  </si>
  <si>
    <t>Unidad Educativa Auquipampa</t>
  </si>
  <si>
    <t>POINT (-66.5374 -17.7828)</t>
  </si>
  <si>
    <t>Chiquiruyo</t>
  </si>
  <si>
    <t>U.E. Tupac Katari</t>
  </si>
  <si>
    <t>Comunidad Chiquiruyo, sobre camino vecinal</t>
  </si>
  <si>
    <t>POINT (-66.721634 -17.757418)</t>
  </si>
  <si>
    <t>Yarviri Grande</t>
  </si>
  <si>
    <t>U. E. 12 de Abril</t>
  </si>
  <si>
    <t>Comunidad Yarviri Grande, Sub Central Palca Mayu</t>
  </si>
  <si>
    <t>POINT (-66.59478 -17.827389)</t>
  </si>
  <si>
    <t>Capinota</t>
  </si>
  <si>
    <t>Escuela Victor Barrientos</t>
  </si>
  <si>
    <t>Zona 4449</t>
  </si>
  <si>
    <t>POINT (-66.2647 -17.714)</t>
  </si>
  <si>
    <t>Unidad Educativa Juana Azurduy De Padilla</t>
  </si>
  <si>
    <t>POINT (-66.2648 -17.7137)</t>
  </si>
  <si>
    <t>U. E. Oscar Unzaga De La Vega</t>
  </si>
  <si>
    <t>Ubicado a Norte de la localidad de Capinota</t>
  </si>
  <si>
    <t>POINT (-66.261086 -17.696583)</t>
  </si>
  <si>
    <t>U.E. Rodolfo Montaño Valderrama</t>
  </si>
  <si>
    <t>Av. Busch esq. Pasaje Oruro</t>
  </si>
  <si>
    <t>POINT (-66.265557 -17.70823)</t>
  </si>
  <si>
    <t>Irpa Irpa</t>
  </si>
  <si>
    <t>Unidad Educativa Custodio Ayaviri</t>
  </si>
  <si>
    <t>Zona 4448</t>
  </si>
  <si>
    <t>Av. Coboce</t>
  </si>
  <si>
    <t>POINT (-66.2849 -17.7218)</t>
  </si>
  <si>
    <t>U.E. Jaime Mendez Quiroga</t>
  </si>
  <si>
    <t>OTB Yuruni 2, Calle del Estudiante</t>
  </si>
  <si>
    <t>POINT (-66.289684 -17.718471)</t>
  </si>
  <si>
    <t>Charamoco</t>
  </si>
  <si>
    <t>Unidad Educativa Gustavo Garcia (Charamo)</t>
  </si>
  <si>
    <t>Zona 4445</t>
  </si>
  <si>
    <t>POINT (-66.2914 -17.6135)</t>
  </si>
  <si>
    <t>Apillapampa</t>
  </si>
  <si>
    <t>Escuela Apillapampa</t>
  </si>
  <si>
    <t>Zona 4451</t>
  </si>
  <si>
    <t>POINT (-66.255 -17.8623)</t>
  </si>
  <si>
    <t>Hornoma</t>
  </si>
  <si>
    <t>Nucleo Central Hornoma</t>
  </si>
  <si>
    <t>Zona 4447</t>
  </si>
  <si>
    <t>POINT (-66.2013 -17.8866)</t>
  </si>
  <si>
    <t>Mollini</t>
  </si>
  <si>
    <t>Escuela Central Marcavi</t>
  </si>
  <si>
    <t>POINT (-66.1949 -17.6857)</t>
  </si>
  <si>
    <t>Tocohalla</t>
  </si>
  <si>
    <t>Unidad Educativa Tokoalla</t>
  </si>
  <si>
    <t>Zona 4446</t>
  </si>
  <si>
    <t>POINT (-66.130232 -17.860533)</t>
  </si>
  <si>
    <t>Yatamoco</t>
  </si>
  <si>
    <t>Unidad Educativa Yatamoco</t>
  </si>
  <si>
    <t>POINT (-66.2712 -17.7329)</t>
  </si>
  <si>
    <t>Playa Ancha</t>
  </si>
  <si>
    <t>U. E. Playa Ancha</t>
  </si>
  <si>
    <t>Zona 4444</t>
  </si>
  <si>
    <t>Comunidad Playa Ancha, camino a Santibanez a 9 km de Capinota</t>
  </si>
  <si>
    <t>POINT (-66.242402 -17.649308)</t>
  </si>
  <si>
    <t>Santivañez</t>
  </si>
  <si>
    <t>Escuela Prudencio Arauco (Santivañez)</t>
  </si>
  <si>
    <t>Zona 4456</t>
  </si>
  <si>
    <t>POINT (-66.2481 -17.5487)</t>
  </si>
  <si>
    <t>Chojtama</t>
  </si>
  <si>
    <t>Sede Social Chojtama</t>
  </si>
  <si>
    <t>Zona 4455</t>
  </si>
  <si>
    <t>POINT (-66.270376 -17.546826)</t>
  </si>
  <si>
    <t>Huayñacota</t>
  </si>
  <si>
    <t>U. E. Castor Zambrana Huayñacota</t>
  </si>
  <si>
    <t>Zona 4453</t>
  </si>
  <si>
    <t>POINT (-66.1891 -17.5453)</t>
  </si>
  <si>
    <t>Rocha Rancho</t>
  </si>
  <si>
    <t>Unidad Educativa Rocha Rancho</t>
  </si>
  <si>
    <t>POINT (-66.140106 -17.550201)</t>
  </si>
  <si>
    <t>Calera</t>
  </si>
  <si>
    <t>Sub Central Enrique Encinas (Ex Calera)</t>
  </si>
  <si>
    <t>Zona 4454</t>
  </si>
  <si>
    <t>POINT (-66.2163 -17.578)</t>
  </si>
  <si>
    <t>Pampa Churihua</t>
  </si>
  <si>
    <t>Unidad Educativa Pampa Churihua</t>
  </si>
  <si>
    <t>POINT (-66.1468 -17.6176)</t>
  </si>
  <si>
    <t>Caporaya</t>
  </si>
  <si>
    <t>Unidad Educativa Caporaya</t>
  </si>
  <si>
    <t>POINT (-66.2822 -17.5035)</t>
  </si>
  <si>
    <t>Poquera</t>
  </si>
  <si>
    <t>Unidad Educativa Jose Rivera</t>
  </si>
  <si>
    <t>POINT (-66.2628 -17.6153)</t>
  </si>
  <si>
    <t>Sicaya</t>
  </si>
  <si>
    <t>Nucleo Humanistico Sicaya</t>
  </si>
  <si>
    <t>Zona 4457</t>
  </si>
  <si>
    <t>POINT (-66.3328 -17.8005)</t>
  </si>
  <si>
    <t>Orcoma</t>
  </si>
  <si>
    <t>U. E. Orcoma</t>
  </si>
  <si>
    <t>Zona 4460</t>
  </si>
  <si>
    <t>Comunidad Orcoma. Zona Central de la Población Orcoma</t>
  </si>
  <si>
    <t>POINT (-66.355109 -17.749111)</t>
  </si>
  <si>
    <t>Germán Jordán</t>
  </si>
  <si>
    <t>Cliza</t>
  </si>
  <si>
    <t>Colegio Juan de Dios Balderrama</t>
  </si>
  <si>
    <t>Zona 4465</t>
  </si>
  <si>
    <t>Calle Walter Rosales</t>
  </si>
  <si>
    <t>POINT (-65.9337 -17.5912)</t>
  </si>
  <si>
    <t>Escuela Sucre</t>
  </si>
  <si>
    <t>POINT (-65.9311 -17.594)</t>
  </si>
  <si>
    <t>U.E. Perez Rancho</t>
  </si>
  <si>
    <t>Perez Rancho</t>
  </si>
  <si>
    <t>POINT (-65.931011 -17.57149)</t>
  </si>
  <si>
    <t>U.E. El Porvenir</t>
  </si>
  <si>
    <t>El Porvenir</t>
  </si>
  <si>
    <t>POINT (-65.942632 -17.561304)</t>
  </si>
  <si>
    <t>Chullpas</t>
  </si>
  <si>
    <t>Unidad Educativa Chullpas</t>
  </si>
  <si>
    <t>Zona 4461</t>
  </si>
  <si>
    <t>POINT (-65.9477 -17.6072)</t>
  </si>
  <si>
    <t>Huasacalle</t>
  </si>
  <si>
    <t>Unidad Educativa Huasacalle</t>
  </si>
  <si>
    <t>POINT (-65.9095 -17.5931)</t>
  </si>
  <si>
    <t>Ucureña</t>
  </si>
  <si>
    <t>Colegio Nacional Mixto Ucureña</t>
  </si>
  <si>
    <t>POINT (-65.9067 -17.5809)</t>
  </si>
  <si>
    <t>Santa Lucia</t>
  </si>
  <si>
    <t>Unidad Educativa Santa Lucia</t>
  </si>
  <si>
    <t>POINT (-65.9582 -17.5862)</t>
  </si>
  <si>
    <t>San Isidro</t>
  </si>
  <si>
    <t>Escuela San Isidro</t>
  </si>
  <si>
    <t>Zona 4464</t>
  </si>
  <si>
    <t>Comunidad San Isidro. al oeste del municipio de Cliza</t>
  </si>
  <si>
    <t>POINT (-65.9716 -17.5631)</t>
  </si>
  <si>
    <t>Villa El Carmen</t>
  </si>
  <si>
    <t>U. E. Villa El Carmen</t>
  </si>
  <si>
    <t>OTB Villa El Carmen, carretera de Cliza a Tarata, Av. Libertadores</t>
  </si>
  <si>
    <t>POINT (-65.952 -17.597)</t>
  </si>
  <si>
    <t>Toco</t>
  </si>
  <si>
    <t>Colegio Ambrosini</t>
  </si>
  <si>
    <t>Zona 4466</t>
  </si>
  <si>
    <t>POINT (-65.9278 -17.6297)</t>
  </si>
  <si>
    <t>Siches</t>
  </si>
  <si>
    <t>Unidad Educativa Siches</t>
  </si>
  <si>
    <t>POINT (-65.9456 -17.668)</t>
  </si>
  <si>
    <t>Ana Rancho</t>
  </si>
  <si>
    <t>U.E. Ana Rancho</t>
  </si>
  <si>
    <t>POINT (-65.9102 -17.6111)</t>
  </si>
  <si>
    <t>Chullpa Loma</t>
  </si>
  <si>
    <t>U.E. Chullpa Loma</t>
  </si>
  <si>
    <t>POINT (-65.9116 -17.6387)</t>
  </si>
  <si>
    <t>Tolata</t>
  </si>
  <si>
    <t>Colegio Victor Rosales</t>
  </si>
  <si>
    <t>Zona 4468</t>
  </si>
  <si>
    <t>POINT (-65.9641 -17.5331)</t>
  </si>
  <si>
    <t>Carcaje</t>
  </si>
  <si>
    <t>Escuela Santa Maria (Carcaje)</t>
  </si>
  <si>
    <t>POINT (-66.0082 -17.5455)</t>
  </si>
  <si>
    <t>Junta Vecinal de la Comunidad de Complejo Carcaje</t>
  </si>
  <si>
    <t>U. E. Complejo Carcaje</t>
  </si>
  <si>
    <t>Carretera Antigua Cochabamba - Santa Cruz Km 19.5</t>
  </si>
  <si>
    <t>POINT (-66.060536 -17.542128)</t>
  </si>
  <si>
    <t>Quillacollo</t>
  </si>
  <si>
    <t>Colegio Cristina Prada</t>
  </si>
  <si>
    <t>Villa Moderna</t>
  </si>
  <si>
    <t>23 de Marzo S/N y Carmela Cerruto</t>
  </si>
  <si>
    <t>POINT (-66.279 -17.3927)</t>
  </si>
  <si>
    <t>Colegio Franz Tamayo</t>
  </si>
  <si>
    <t>Av. Suarez Miranda Nro 515</t>
  </si>
  <si>
    <t>POINT (-66.2808 -17.3883)</t>
  </si>
  <si>
    <t>Unidad Educativa Nestor Adriazola (Ex Colegio Nacional Calama)</t>
  </si>
  <si>
    <t>Constantino Morales</t>
  </si>
  <si>
    <t>Av. Constantino Morales y Av. Blanco Galindonro 13</t>
  </si>
  <si>
    <t>POINT (-66.2849 -17.394)</t>
  </si>
  <si>
    <t>Escuela 12 de Septiembre</t>
  </si>
  <si>
    <t>Villa Providencia Norte</t>
  </si>
  <si>
    <t>General Camacho Final Sud</t>
  </si>
  <si>
    <t>POINT (-66.2793 -17.4117)</t>
  </si>
  <si>
    <t>Escuela Arturo Quitón</t>
  </si>
  <si>
    <t>Chojñacollo</t>
  </si>
  <si>
    <t>Calle Final Antofagasta</t>
  </si>
  <si>
    <t>POINT (-66.2757 -17.364)</t>
  </si>
  <si>
    <t>Escuela Simón Bolivar</t>
  </si>
  <si>
    <t>Lanza</t>
  </si>
  <si>
    <t>General Pando Pacheco y Ballivian</t>
  </si>
  <si>
    <t>POINT (-66.2792 -17.3952)</t>
  </si>
  <si>
    <t>Instituto Particular Quillacollo</t>
  </si>
  <si>
    <t>Central W</t>
  </si>
  <si>
    <t>POINT (-66.2836 -17.3955)</t>
  </si>
  <si>
    <t>Liceo América</t>
  </si>
  <si>
    <t>Avaroa y Adyacentes</t>
  </si>
  <si>
    <t>Cleomedes Blanco y Atacama</t>
  </si>
  <si>
    <t>POINT (-66.2817 -17.3989)</t>
  </si>
  <si>
    <t>Escuela Tomas Bata</t>
  </si>
  <si>
    <t>Barrio Manaco</t>
  </si>
  <si>
    <t>Calle 12 de Enero</t>
  </si>
  <si>
    <t>POINT (-66.2806 -17.4022)</t>
  </si>
  <si>
    <t>Escuela Fidelia C. De Sanchez</t>
  </si>
  <si>
    <t>Pacheco</t>
  </si>
  <si>
    <t>Calle 6 de Agosto y Cleomedes Blanco</t>
  </si>
  <si>
    <t>POINT (-66.2806 -17.3987)</t>
  </si>
  <si>
    <t>Unidad Educativa Villa De Urkupiña</t>
  </si>
  <si>
    <t>7 de Mayo</t>
  </si>
  <si>
    <t>Final Sud Av. Martin Cardenas Calvario</t>
  </si>
  <si>
    <t>POINT (-66.2897 -17.4193)</t>
  </si>
  <si>
    <t>Unidad Educativa Villa Moderna</t>
  </si>
  <si>
    <t>Waldo Ballivian</t>
  </si>
  <si>
    <t>Waldo Ballivian Esquina Rafael Pabon</t>
  </si>
  <si>
    <t>POINT (-66.2822 -17.3884)</t>
  </si>
  <si>
    <t>Unidad Educativa Ironcollo</t>
  </si>
  <si>
    <t>Santa Rosa</t>
  </si>
  <si>
    <t>Ironcollo</t>
  </si>
  <si>
    <t>POINT (-66.287 -17.3617)</t>
  </si>
  <si>
    <t>Unidad Educativa Marquina</t>
  </si>
  <si>
    <t>Zona 4472</t>
  </si>
  <si>
    <t>POINT (-66.289 -17.3396)</t>
  </si>
  <si>
    <t>(Cárcel) Penal San Pablo</t>
  </si>
  <si>
    <t>9 de Diciembre</t>
  </si>
  <si>
    <t>Penal de San Pablo</t>
  </si>
  <si>
    <t>POINT (-66.2821 -17.3999)</t>
  </si>
  <si>
    <t>Unidad Educativa Heroinas</t>
  </si>
  <si>
    <t>C/ Ayacucho entre General Camacho  y Pacheco</t>
  </si>
  <si>
    <t>POINT (-66.2793 -17.4006)</t>
  </si>
  <si>
    <t>Teofilo Vargas Candia B</t>
  </si>
  <si>
    <t>Antofagasta Central</t>
  </si>
  <si>
    <t>POINT (-66.2761 -17.3861)</t>
  </si>
  <si>
    <t>Unidad Educativa Martin Cardenas</t>
  </si>
  <si>
    <t>Santa Rita</t>
  </si>
  <si>
    <t>Barrio Fabril Esmeralda</t>
  </si>
  <si>
    <t>POINT (-66.2957 -17.388)</t>
  </si>
  <si>
    <t>Unidad Educativa Flora Salinas Hinojosa   Amalia Echalar</t>
  </si>
  <si>
    <t>Luis Uria y 23 de Marzo</t>
  </si>
  <si>
    <t>POINT (-66.2793 -17.3918)</t>
  </si>
  <si>
    <t>U.E. 21 de Septiembre</t>
  </si>
  <si>
    <t>Villa Maria</t>
  </si>
  <si>
    <t>OTB Aasana Villa Maria, Calle 13, al frente de la Plaza</t>
  </si>
  <si>
    <t>POINT (-66.262 -17.3831)</t>
  </si>
  <si>
    <t>U.E. 1ro. de Mayo</t>
  </si>
  <si>
    <t>1ro de Mayo</t>
  </si>
  <si>
    <t>Calle 1ro. De Mayo  entre calle 21 de Septiembre y  Calle Thomas Bata</t>
  </si>
  <si>
    <t>POINT (-66.290296 -17.396949)</t>
  </si>
  <si>
    <t>U.E. 12 de Enero B</t>
  </si>
  <si>
    <t>Barrio Santo Domingo</t>
  </si>
  <si>
    <t>Av. Gral. Camacho  entre Calle 10 y Av. Fructuoso Mercado</t>
  </si>
  <si>
    <t>POINT (-66.279522 -17.407546)</t>
  </si>
  <si>
    <t>U.E. Villa Asunción</t>
  </si>
  <si>
    <t>Asuncion</t>
  </si>
  <si>
    <t>Villa Asunción, lado Centro de Salud</t>
  </si>
  <si>
    <t>POINT (-66.295068 -17.407904)</t>
  </si>
  <si>
    <t>U. E. Tunari</t>
  </si>
  <si>
    <t>Barrio Tunari</t>
  </si>
  <si>
    <t>C/ 23 de Marzo entre Nueva Luz, OTB Tunari</t>
  </si>
  <si>
    <t>POINT (-66.28339 -17.355509)</t>
  </si>
  <si>
    <t>U. E. San Martín de Porres</t>
  </si>
  <si>
    <t>Barrio Manaco, Calle 12 de Enero entre Av. Martín Cárdenas y Av. Virgen de Urkupiña</t>
  </si>
  <si>
    <t>POINT (-66.280817 -17.40269)</t>
  </si>
  <si>
    <t>U. E. Nuestra Señora de Urkupiña</t>
  </si>
  <si>
    <t>Nataniel Aguirre</t>
  </si>
  <si>
    <t>Calle Ricardo Soruco entre Walter Moreno y Nataniel Aguirre</t>
  </si>
  <si>
    <t>POINT (-66.27646 -17.396684)</t>
  </si>
  <si>
    <t>U.E. Rene Crespo Rico</t>
  </si>
  <si>
    <t>Quillacollo, Calle final Antofagasta</t>
  </si>
  <si>
    <t>POINT (-66.27661 -17.366067)</t>
  </si>
  <si>
    <t>Unidad Educativa Marquina (Secundaria)</t>
  </si>
  <si>
    <t>Zona Marquina a 6 km de Quillacollo camino a Morochata</t>
  </si>
  <si>
    <t>POINT (-66.291533 -17.342501)</t>
  </si>
  <si>
    <t>U.E. San Martín de Porres Tarde</t>
  </si>
  <si>
    <t>Francisco Anaya</t>
  </si>
  <si>
    <t>Calle s/n Av.Albina Patiño</t>
  </si>
  <si>
    <t>POINT (-66.291101 -17.394215)</t>
  </si>
  <si>
    <t>U.E. 23 de Marzo</t>
  </si>
  <si>
    <t>Huachirancho   Zona Ironcollo</t>
  </si>
  <si>
    <t>Calle Huachirancho</t>
  </si>
  <si>
    <t>POINT (-66.281379 -17.358321)</t>
  </si>
  <si>
    <t>U.E. Cerro Cota</t>
  </si>
  <si>
    <t>Colquiri</t>
  </si>
  <si>
    <t>Ubicado en el cerro la cota OTB, La Cota zona calvario.</t>
  </si>
  <si>
    <t>POINT (-66.299937 -17.420831)</t>
  </si>
  <si>
    <t>Illataco</t>
  </si>
  <si>
    <t>U. E. Jose Miguel Lanza (Illataco)</t>
  </si>
  <si>
    <t>Junta Vecinal Paucarpata</t>
  </si>
  <si>
    <t>5 Km. de Quillacollo al Norte</t>
  </si>
  <si>
    <t>POINT (-66.3003 -17.3675)</t>
  </si>
  <si>
    <t>Piñami</t>
  </si>
  <si>
    <t>Escuela Felix Martinez</t>
  </si>
  <si>
    <t>Siglo XX</t>
  </si>
  <si>
    <t>Av. Blanco Galindo Km 10 y Medio</t>
  </si>
  <si>
    <t>POINT (-66.2527 -17.3877)</t>
  </si>
  <si>
    <t>Centro Integral Niño Jesus Fe y Alegria</t>
  </si>
  <si>
    <t>Calle 4 y Miraflores</t>
  </si>
  <si>
    <t>POINT (-66.254936 -17.387804)</t>
  </si>
  <si>
    <t>U.E. Oscar Alfaro</t>
  </si>
  <si>
    <t>Pandoja</t>
  </si>
  <si>
    <t>Pantoja Baja, Parada Linea P</t>
  </si>
  <si>
    <t>POINT (-66.259036 -17.364498)</t>
  </si>
  <si>
    <t>U.E. Pocpocollo</t>
  </si>
  <si>
    <t>Pocpocollo</t>
  </si>
  <si>
    <t>Comunidad Pocpocollo</t>
  </si>
  <si>
    <t>POINT (-66.255147 -17.373754)</t>
  </si>
  <si>
    <t>Paucarpata</t>
  </si>
  <si>
    <t>Normal Simón Rodríguez (Ex Nucleo Escolar Paucarpata)</t>
  </si>
  <si>
    <t>4 Km. de Quillacollo al Norte</t>
  </si>
  <si>
    <t>POINT (-66.297 -17.3632)</t>
  </si>
  <si>
    <t>Cotapachi</t>
  </si>
  <si>
    <t>U. E. Mcal. José Ballivian</t>
  </si>
  <si>
    <t>Ceibo</t>
  </si>
  <si>
    <t>Barrio Saavedra, Av. Capitán Victor Ustáriz entre Av. Circunvalación (Cotapachi)</t>
  </si>
  <si>
    <t>POINT (-66.265554 -17.397433)</t>
  </si>
  <si>
    <t>U. E. Milivoy Eterovic Matenda</t>
  </si>
  <si>
    <t>Km 12 y 1/2 Av. Blanco Galindo y Av. Cochabamba a 150 Mts. Rio Wayculi</t>
  </si>
  <si>
    <t>POINT (-66.2693 -17.3938)</t>
  </si>
  <si>
    <t>Colegio Nacional Calama (Nueva Infraestructura)</t>
  </si>
  <si>
    <t>Nombre 1</t>
  </si>
  <si>
    <t>Avenida Ferroviaria Sud</t>
  </si>
  <si>
    <t>POINT (-66.272 -17.4118)</t>
  </si>
  <si>
    <t>U.E. Cotapachi</t>
  </si>
  <si>
    <t>Zona 4471</t>
  </si>
  <si>
    <t>Carretera Quillacollo a Cochabamba Sindicato Agrario Cotapachi</t>
  </si>
  <si>
    <t>POINT (-66.27453 -17.439098)</t>
  </si>
  <si>
    <t>El Paso</t>
  </si>
  <si>
    <t>Unidad Educativa El Paso</t>
  </si>
  <si>
    <t>Aransaya</t>
  </si>
  <si>
    <t>POINT (-66.2668 -17.3385)</t>
  </si>
  <si>
    <t>Unidad Educativa Maria Auxiliadora</t>
  </si>
  <si>
    <t>Apote Central</t>
  </si>
  <si>
    <t>De Quillacollo a 17 Km. entre El Paso y Tiquipaya</t>
  </si>
  <si>
    <t>POINT (-66.243 -17.3294)</t>
  </si>
  <si>
    <t>Instituto Tecnologico El Paso</t>
  </si>
  <si>
    <t>Llauquenquiri</t>
  </si>
  <si>
    <t>Avenida Elias Meneces</t>
  </si>
  <si>
    <t>POINT (-66.2566 -17.3497)</t>
  </si>
  <si>
    <t>U. E. El Paso  A</t>
  </si>
  <si>
    <t>Zona Central El Paso</t>
  </si>
  <si>
    <t>POINT (-66.267885 -17.338628)</t>
  </si>
  <si>
    <t>U.E. Molle Molle</t>
  </si>
  <si>
    <t>Molle Molle</t>
  </si>
  <si>
    <t>Comunidad Molle Molle</t>
  </si>
  <si>
    <t>POINT (-66.264365 -17.318452)</t>
  </si>
  <si>
    <t>U.E. Santiago Apóstol</t>
  </si>
  <si>
    <t>Urinsaya</t>
  </si>
  <si>
    <t>Zona Candelaria Urinzaya, El Paso</t>
  </si>
  <si>
    <t>POINT (-66.262933 -17.335113)</t>
  </si>
  <si>
    <t>Bella Vista</t>
  </si>
  <si>
    <t>Unidad Educativa Bella Vista</t>
  </si>
  <si>
    <t>Bella Vista 7 Km de Quillacollo Camino a Morochata</t>
  </si>
  <si>
    <t>POINT (-66.283 -17.3294)</t>
  </si>
  <si>
    <t>Misicuni</t>
  </si>
  <si>
    <t>U. E. Rene Barrienos Ortuño (Misicuni)</t>
  </si>
  <si>
    <t>Comunidad Campesina Uyuni</t>
  </si>
  <si>
    <t>POINT (-66.3227 -17.1173)</t>
  </si>
  <si>
    <t>Centro Internado Misicuni</t>
  </si>
  <si>
    <t>Subcentral  Agraria Pata Pampa</t>
  </si>
  <si>
    <t>POINT (-66.3219 -17.1265)</t>
  </si>
  <si>
    <t>Liriuni</t>
  </si>
  <si>
    <t>Unidad Educativa Liriuni</t>
  </si>
  <si>
    <t>Zona 4473</t>
  </si>
  <si>
    <t>POINT (-66.2998 -17.2848)</t>
  </si>
  <si>
    <t>Potrero</t>
  </si>
  <si>
    <t>U. E. Potrero</t>
  </si>
  <si>
    <t>Comunidad Potrero, al norte del municipio Quillacollo sobre el camino vecinal</t>
  </si>
  <si>
    <t>POINT (-66.302063 -17.326364)</t>
  </si>
  <si>
    <t>Sipesipe</t>
  </si>
  <si>
    <t>Sipe Sipe</t>
  </si>
  <si>
    <t>Escuela Sucre (Sipe Sipe)</t>
  </si>
  <si>
    <t>Sipe Sipe Casco Viejo</t>
  </si>
  <si>
    <t>POINT (-66.3571 -17.4548)</t>
  </si>
  <si>
    <t>Unidad Educativa Andres Uzeda Ocampo</t>
  </si>
  <si>
    <t>POINT (-66.3586 -17.4543)</t>
  </si>
  <si>
    <t>U.E. Daniel Albornoz I</t>
  </si>
  <si>
    <t>Montecanto</t>
  </si>
  <si>
    <t>OTB Monte Canto, Calle 2</t>
  </si>
  <si>
    <t>POINT (-66.361946 -17.458944)</t>
  </si>
  <si>
    <t>Suticollo</t>
  </si>
  <si>
    <t>Unidad Educativa Suticollo</t>
  </si>
  <si>
    <t>Pueblo Nuevo</t>
  </si>
  <si>
    <t>POINT (-66.3357 -17.4668)</t>
  </si>
  <si>
    <t>Viloma</t>
  </si>
  <si>
    <t>Unidad Educativa Viloma</t>
  </si>
  <si>
    <t>Zona 4476</t>
  </si>
  <si>
    <t>POINT (-66.3753 -17.4124)</t>
  </si>
  <si>
    <t>Unidad Educativa Sauce Rancho</t>
  </si>
  <si>
    <t>POINT (-66.3294 -17.4262)</t>
  </si>
  <si>
    <t>U. E. German Busch</t>
  </si>
  <si>
    <t>Payacollo</t>
  </si>
  <si>
    <t>Comunidad Payacollo, carretera Oruro - Cochabamba Km 21 1/2 aprox. C/ 2 DE Septiembre</t>
  </si>
  <si>
    <t>POINT (-66.326937 -17.432191)</t>
  </si>
  <si>
    <t>U. E. Isidoro Carrasco Olguín</t>
  </si>
  <si>
    <t>Caramarca Otavi</t>
  </si>
  <si>
    <t>OTB Comunidad Caramarca Otavi, carretera Cochabamba - Oruro</t>
  </si>
  <si>
    <t>POINT (-66.31985 -17.415205)</t>
  </si>
  <si>
    <t>Itapaya</t>
  </si>
  <si>
    <t>Esc. Rene Barrientos Ortuño (Itapaya)</t>
  </si>
  <si>
    <t>POINT (-66.3264 -17.58)</t>
  </si>
  <si>
    <t>Parotani</t>
  </si>
  <si>
    <t>Unidad Educativa Eduardo Abaroa</t>
  </si>
  <si>
    <t>Al Lado de La Escuela Carlos Quiton, Barrio 14 de Septiembre</t>
  </si>
  <si>
    <t>POINT (-66.3469 -17.5672)</t>
  </si>
  <si>
    <t>Mallco Rancho</t>
  </si>
  <si>
    <t>Escuela Bolviana Americana</t>
  </si>
  <si>
    <t>Mallcorancho</t>
  </si>
  <si>
    <t>POINT (-66.364 -17.4197)</t>
  </si>
  <si>
    <t>U. E. Cohachaca Chico</t>
  </si>
  <si>
    <t>Coachaca Chico</t>
  </si>
  <si>
    <t>OTB Coacha Chico, Distrito Mallcorancho</t>
  </si>
  <si>
    <t>POINT (-66.340414 -17.412503)</t>
  </si>
  <si>
    <t>Uchu Uchu</t>
  </si>
  <si>
    <t>Unidad Educativa Uchu Uchu</t>
  </si>
  <si>
    <t>Sub Central Uchu Uchu</t>
  </si>
  <si>
    <t>POINT (-66.4711 -17.3755)</t>
  </si>
  <si>
    <t>Caramarca</t>
  </si>
  <si>
    <t>Unidad Educativa Caramarca Collpa</t>
  </si>
  <si>
    <t>Collpa Central</t>
  </si>
  <si>
    <t>Comunidad Caramarca, Acera Este de La Plaza de Collpa Caramarca</t>
  </si>
  <si>
    <t>POINT (-66.305 -17.4525)</t>
  </si>
  <si>
    <t>Mallco Chapi</t>
  </si>
  <si>
    <t>Unidad Educativa 3 de Abril</t>
  </si>
  <si>
    <t>Mallcochapi</t>
  </si>
  <si>
    <t>POINT (-66.3355 -17.4215)</t>
  </si>
  <si>
    <t>Siqui Siquia</t>
  </si>
  <si>
    <t>Unidad Educativa Toribio Claure</t>
  </si>
  <si>
    <t>Siquisiquia</t>
  </si>
  <si>
    <t>Comunidad Siqui Siquia</t>
  </si>
  <si>
    <t>POINT (-66.3767 -17.4404)</t>
  </si>
  <si>
    <t>Caviloma</t>
  </si>
  <si>
    <t>Unidad Educativa  Caviloma</t>
  </si>
  <si>
    <t>Comunidad Caviloma</t>
  </si>
  <si>
    <t>POINT (-66.3457 -17.438)</t>
  </si>
  <si>
    <t>Viloma Cala Cala</t>
  </si>
  <si>
    <t>U. E. Viloma Cala Cala</t>
  </si>
  <si>
    <t>Comunidad Viloma Cala Cala</t>
  </si>
  <si>
    <t>POINT (-66.387126 -17.426157)</t>
  </si>
  <si>
    <t>Tiquipaya</t>
  </si>
  <si>
    <t>Colegio San Miguel (Tiquipaya)</t>
  </si>
  <si>
    <t>Zona 4477</t>
  </si>
  <si>
    <t>POINT (-66.2195 -17.3365)</t>
  </si>
  <si>
    <t>Colegio Simon Bolivar (Tiquipaya)</t>
  </si>
  <si>
    <t>POINT (-66.2203 -17.3362)</t>
  </si>
  <si>
    <t>U.E. La Floresta</t>
  </si>
  <si>
    <t>Av. Cochabamba final</t>
  </si>
  <si>
    <t>POINT (-66.229166 -17.335248)</t>
  </si>
  <si>
    <t>U.E. Monseñor Salomón Romero</t>
  </si>
  <si>
    <t>Entre Calle Julio Rodriguez y calle San Miguel</t>
  </si>
  <si>
    <t>POINT (-66.215778 -17.342158)</t>
  </si>
  <si>
    <t>U.E. Encanto Pampa</t>
  </si>
  <si>
    <t>Encanto Pampa Calle 10 de Noviembre</t>
  </si>
  <si>
    <t>POINT (-66.223141 -17.323963)</t>
  </si>
  <si>
    <t>Trojes</t>
  </si>
  <si>
    <t>Escuela Toribio Claure</t>
  </si>
  <si>
    <t>POINT (-66.2043 -17.3447)</t>
  </si>
  <si>
    <t>Unidad Educativa Jesus Maestro</t>
  </si>
  <si>
    <t>Zona Chiquicollo, Villa Satelite</t>
  </si>
  <si>
    <t>POINT (-66.1934 -17.3333)</t>
  </si>
  <si>
    <t>U.E. Técnico Humanístico San Gabriel</t>
  </si>
  <si>
    <t>OTB Kanarancho</t>
  </si>
  <si>
    <t>POINT (-66.20484 -17.350049)</t>
  </si>
  <si>
    <t>Cuatro Esquinas (Tiquipaya)</t>
  </si>
  <si>
    <t>U.E. Santa María Magdalena Postel</t>
  </si>
  <si>
    <t>OTB Cuatro Esquinas, Av. 23 de Septiembre</t>
  </si>
  <si>
    <t>POINT (-66.2331 -17.3599)</t>
  </si>
  <si>
    <t>Chapisirca</t>
  </si>
  <si>
    <t>Nucleo Educativo Chapisirca</t>
  </si>
  <si>
    <t>Zona 4478</t>
  </si>
  <si>
    <t>POINT (-66.1443 -17.1481)</t>
  </si>
  <si>
    <t>Ciudad del Niño</t>
  </si>
  <si>
    <t>Unidad Educativa Libertad</t>
  </si>
  <si>
    <t>C/ Porvenir y C/ Mejillones</t>
  </si>
  <si>
    <t>POINT (-66.1932 -17.346)</t>
  </si>
  <si>
    <t>U.E. Técnico Humanístico San Rafael</t>
  </si>
  <si>
    <t>Av. Los Molles lado Sud Posgrado Agronomia UMSS.</t>
  </si>
  <si>
    <t>POINT (-66.196663 -17.343841)</t>
  </si>
  <si>
    <t>U. E. Constantino I</t>
  </si>
  <si>
    <t>C/ Mejillones entre Av. Circunvalación Beijing y C/ Cochabamba</t>
  </si>
  <si>
    <t>POINT (-66.19375 -17.346365)</t>
  </si>
  <si>
    <t>Rumi Mayu (Tiquipaya)</t>
  </si>
  <si>
    <t>Escuela Eugenia Ravasco</t>
  </si>
  <si>
    <t>POINT (-66.2074 -17.3625)</t>
  </si>
  <si>
    <t>Linde   Chiquicollo</t>
  </si>
  <si>
    <t>Escuela Isaac Attie</t>
  </si>
  <si>
    <t>Linde - Chiquicollo</t>
  </si>
  <si>
    <t>POINT (-66.1954 -17.3695)</t>
  </si>
  <si>
    <t>Aldeas S.O.S</t>
  </si>
  <si>
    <t>POINT (-66.193337 -17.351131)</t>
  </si>
  <si>
    <t>U. E. Titos Linde</t>
  </si>
  <si>
    <t>Av. Malteria C/ Innominada a una cuadra y media del Instituto Oncológico Nacional, Linde S/N</t>
  </si>
  <si>
    <t>POINT (-66.199856 -17.354266)</t>
  </si>
  <si>
    <t>Callaj Chullpa (Tiquipaya)</t>
  </si>
  <si>
    <t>Unidad Educativa Nuestra Sra. De Altagracia</t>
  </si>
  <si>
    <t>Avenida Callajchullpa O Don Bosco</t>
  </si>
  <si>
    <t>POINT (-66.2435 -17.353)</t>
  </si>
  <si>
    <t>Waripucara</t>
  </si>
  <si>
    <t>Escuela Seccional Waripucara</t>
  </si>
  <si>
    <t>POINT (-66.2721 -17.0279)</t>
  </si>
  <si>
    <t>Unidad Educativa Montecillo</t>
  </si>
  <si>
    <t>POINT (-66.3439 -16.9731)</t>
  </si>
  <si>
    <t>Rumy Corral</t>
  </si>
  <si>
    <t>U.E. Rumy Corral</t>
  </si>
  <si>
    <t>Comunidad Rumy Corral Centro</t>
  </si>
  <si>
    <t>POINT (-66.203 -17.1245)</t>
  </si>
  <si>
    <t>4 Esquinas</t>
  </si>
  <si>
    <t>U.E. Cuatro Esquinas</t>
  </si>
  <si>
    <t>Comunidad 4 Esquinas, al norte del municipio de Tiquipaya</t>
  </si>
  <si>
    <t>POINT (-66.244469 -17.19689)</t>
  </si>
  <si>
    <t>Vinto</t>
  </si>
  <si>
    <t>Escuela Melchor Cuadros</t>
  </si>
  <si>
    <t>Lazarte</t>
  </si>
  <si>
    <t>POINT (-66.3169 -17.3958)</t>
  </si>
  <si>
    <t>Escuela Martín Cardenas</t>
  </si>
  <si>
    <t>Martin Cardenas</t>
  </si>
  <si>
    <t>POINT (-66.3142 -17.4019)</t>
  </si>
  <si>
    <t>Unidad Educativa Sagrada Familia</t>
  </si>
  <si>
    <t>POINT (-66.3198 -17.3918)</t>
  </si>
  <si>
    <t>Unidad Educativa David Arzabe</t>
  </si>
  <si>
    <t>POINT (-66.3144 -17.4001)</t>
  </si>
  <si>
    <t>U.E. Avelino Mérida Zubieta</t>
  </si>
  <si>
    <t>Campos Verdes</t>
  </si>
  <si>
    <t>Calle Colombia entre Calle Brasil y calle Venezuela</t>
  </si>
  <si>
    <t>POINT (-66.318822 -17.389424)</t>
  </si>
  <si>
    <t>U.E. 5 de Septiembre</t>
  </si>
  <si>
    <t>Nombre 4</t>
  </si>
  <si>
    <t>OTB 21 de Septiembre - Calle Tte. Benavides</t>
  </si>
  <si>
    <t>POINT (-66.310582 -17.390709)</t>
  </si>
  <si>
    <t>U.E. Soledad Rivas</t>
  </si>
  <si>
    <t>OTB Cercado-Vinto, una cuadra al oeste del seminario de Vinto</t>
  </si>
  <si>
    <t>POINT (-66.307762 -17.406514)</t>
  </si>
  <si>
    <t>U.E. Bartolina Sisa</t>
  </si>
  <si>
    <t>Calle Innominada</t>
  </si>
  <si>
    <t>POINT (-66.32532 -17.404693)</t>
  </si>
  <si>
    <t>U. E. Carmen Rosa Salguero</t>
  </si>
  <si>
    <t>Miguel Mercado</t>
  </si>
  <si>
    <t>Calle Miguel Mercado Moreira esq. Circunvalación</t>
  </si>
  <si>
    <t>POINT (-66.30561 -17.399562)</t>
  </si>
  <si>
    <t>U. E. María Ayma</t>
  </si>
  <si>
    <t>Carretera a Machajmarca</t>
  </si>
  <si>
    <t>POINT (-66.33229 -17.396596)</t>
  </si>
  <si>
    <t>U. E. Nuestra Señora del Rosario</t>
  </si>
  <si>
    <t>Bolivar</t>
  </si>
  <si>
    <t>Pasaje Bolívar</t>
  </si>
  <si>
    <t>POINT (-66.31612 -17.393028)</t>
  </si>
  <si>
    <t>Machac Marca</t>
  </si>
  <si>
    <t>Unidad Educativa Reino Unido</t>
  </si>
  <si>
    <t>POINT (-66.3387 -17.3836)</t>
  </si>
  <si>
    <t>La Chulla</t>
  </si>
  <si>
    <t>Escuela Ismael Montes</t>
  </si>
  <si>
    <t>Zona 4481</t>
  </si>
  <si>
    <t>POINT (-66.308766 -17.378427)</t>
  </si>
  <si>
    <t>Anocaraire</t>
  </si>
  <si>
    <t>Unidad Educativa Anocaraire</t>
  </si>
  <si>
    <t>Zona 4482</t>
  </si>
  <si>
    <t>POINT (-66.326955 -17.370235)</t>
  </si>
  <si>
    <t>U.E. Álvaro García Linera</t>
  </si>
  <si>
    <t>Calle Integración</t>
  </si>
  <si>
    <t>POINT (-66.3298 -17.380653)</t>
  </si>
  <si>
    <t>U.E. Simón I. Patiño</t>
  </si>
  <si>
    <t>Avenida Pairumani</t>
  </si>
  <si>
    <t>POINT (-66.32391 -17.358455)</t>
  </si>
  <si>
    <t>U. E. Combuyo</t>
  </si>
  <si>
    <t>Calle de Combuyo</t>
  </si>
  <si>
    <t>POINT (-66.34056 -17.362714)</t>
  </si>
  <si>
    <t>Keraya</t>
  </si>
  <si>
    <t>Unidad Educativa Keraya</t>
  </si>
  <si>
    <t>Zona 4479</t>
  </si>
  <si>
    <t>POINT (-66.456889 -17.298183)</t>
  </si>
  <si>
    <t>Thiomoko</t>
  </si>
  <si>
    <t>Nucleo Escolar Simon Bolivar (Thiomoko)</t>
  </si>
  <si>
    <t>Comunidad Thiomoko</t>
  </si>
  <si>
    <t>POINT (-66.3459 -17.3972)</t>
  </si>
  <si>
    <t>Llave Grande</t>
  </si>
  <si>
    <t>U.E. La Llave</t>
  </si>
  <si>
    <t>Comunidad Llave Grande</t>
  </si>
  <si>
    <t>POINT (-66.3852 -17.3443)</t>
  </si>
  <si>
    <t>Vilomilla</t>
  </si>
  <si>
    <t>U.E. Vilomilla</t>
  </si>
  <si>
    <t>POINT (-66.368952 -17.406983)</t>
  </si>
  <si>
    <t>Colcapirhua</t>
  </si>
  <si>
    <t>Unidad Educativa Daniel Salamanca</t>
  </si>
  <si>
    <t>Zona 4485</t>
  </si>
  <si>
    <t>POINT (-66.2415 -17.3878)</t>
  </si>
  <si>
    <t>Unidad Educativa San Lorenzo</t>
  </si>
  <si>
    <t>Plaza 15 de Abril</t>
  </si>
  <si>
    <t>POINT (-66.2411 -17.3888)</t>
  </si>
  <si>
    <t>U.E. 27 de Mayo</t>
  </si>
  <si>
    <t>Av. Elias Meneses entre Agapito Gamboa y Pasaje Innominada</t>
  </si>
  <si>
    <t>POINT (-66.249885 -17.392367)</t>
  </si>
  <si>
    <t>San Jose (Cuatro Esquinas)</t>
  </si>
  <si>
    <t>Unidad Educativa San José de Kami</t>
  </si>
  <si>
    <t>Zona 4487</t>
  </si>
  <si>
    <t>Av. La Paz Frente Posta Sanitaria - Collpapampa</t>
  </si>
  <si>
    <t>POINT (-66.2354 -17.3674)</t>
  </si>
  <si>
    <t>U. E. Nuestra Señora de La Paz</t>
  </si>
  <si>
    <t>Av. La Paz San José Cuatro Esquinas</t>
  </si>
  <si>
    <t>POINT (-66.23674 -17.366996)</t>
  </si>
  <si>
    <t>Callaj Chullpa (Colcapirhua)</t>
  </si>
  <si>
    <t>Sede Social Callaj Chullpa (Colcapirhua)</t>
  </si>
  <si>
    <t>POINT (-66.2432 -17.3534)</t>
  </si>
  <si>
    <t>Sumunpaya</t>
  </si>
  <si>
    <t>Colegio Max Fernandez</t>
  </si>
  <si>
    <t>Zona 4484</t>
  </si>
  <si>
    <t>POINT (-66.2313 -17.3958)</t>
  </si>
  <si>
    <t>Unidad Educativa Simon Bolivar (Sumunpaya)</t>
  </si>
  <si>
    <t>Zona 4483</t>
  </si>
  <si>
    <t>Zona Sumunpuya Sud, Av Simon Bolivar, Av Blanco Galindo Km 8.5</t>
  </si>
  <si>
    <t>POINT (-66.2351 -17.4028)</t>
  </si>
  <si>
    <t>Rumi Mayu (Colcapirhua)</t>
  </si>
  <si>
    <t>Sede Social de La O.T.B. Martin Cardenas (Ex Complejo El Carmen)</t>
  </si>
  <si>
    <t>Zona 4486</t>
  </si>
  <si>
    <t>POINT (-66.2127 -17.3792)</t>
  </si>
  <si>
    <t>Santa Rosa (Colcapirhua)</t>
  </si>
  <si>
    <t>Unidad Educativa El Sausalito</t>
  </si>
  <si>
    <t>POINT (-66.2135 -17.3868)</t>
  </si>
  <si>
    <t>Unidad Educativa La Sagrada Familia</t>
  </si>
  <si>
    <t>Av. 16 de Julio</t>
  </si>
  <si>
    <t>POINT (-66.2224 -17.3827)</t>
  </si>
  <si>
    <t>U.E. San Miguel</t>
  </si>
  <si>
    <t>Av. Ustariz S/N,  entre calles Excombatientes y Caritas Km. 6 1/2 Carretera antigua a Quillacollo</t>
  </si>
  <si>
    <t>POINT (-66.214436 -17.396473)</t>
  </si>
  <si>
    <t>Colegio Padre Andrés Cuschieri</t>
  </si>
  <si>
    <t>Calle Kanaut S/N, entre Av. 27 de Julio</t>
  </si>
  <si>
    <t>POINT (-66.216429 -17.379705)</t>
  </si>
  <si>
    <t>La Florida</t>
  </si>
  <si>
    <t>Escuela Jesus Lara</t>
  </si>
  <si>
    <t>POINT (-66.2262 -17.3932)</t>
  </si>
  <si>
    <t>U. E. Prof. Benedicto Durán Ortíz</t>
  </si>
  <si>
    <t>POINT (-66.2259 -17.3868)</t>
  </si>
  <si>
    <t>Esquilan Grande</t>
  </si>
  <si>
    <t>U.E. San Crispin</t>
  </si>
  <si>
    <t>Calle final Sucre del Municipio de Colcapirhua</t>
  </si>
  <si>
    <t>POINT (-66.247586 -17.417135)</t>
  </si>
  <si>
    <t>Chapare</t>
  </si>
  <si>
    <t>Sacaba</t>
  </si>
  <si>
    <t>Escuela Natalio Arauco</t>
  </si>
  <si>
    <t>Zona 4491</t>
  </si>
  <si>
    <t>Av. Mons Roberto Nicoli</t>
  </si>
  <si>
    <t>POINT (-66.0459 -17.4015)</t>
  </si>
  <si>
    <t>Liceo De Señoritas Sacaba</t>
  </si>
  <si>
    <t>Av. Gualberto Villarroel Esq. I. Cespedes</t>
  </si>
  <si>
    <t>POINT (-66.0449 -17.404)</t>
  </si>
  <si>
    <t>Escuela Man Cesped</t>
  </si>
  <si>
    <t>Calle Porvenir Esquina Independencia</t>
  </si>
  <si>
    <t>POINT (-66.0382 -17.4071)</t>
  </si>
  <si>
    <t>Escuela German Busch</t>
  </si>
  <si>
    <t>Calle Colon 132 entre Independencia y Bolivar</t>
  </si>
  <si>
    <t>POINT (-66.0383 -17.4043)</t>
  </si>
  <si>
    <t>(Cárcel) Penitenciaria San Pedro (Sacaba)</t>
  </si>
  <si>
    <t>La Tapia y Porvenir</t>
  </si>
  <si>
    <t>POINT (-66.0413 -17.4059)</t>
  </si>
  <si>
    <t>Unidad Educativa Boliviano Británico</t>
  </si>
  <si>
    <t>Zona 4490</t>
  </si>
  <si>
    <t>A 100 Mts de La Caretera Cbba Sta Cruz Antes de Llegar a Plaza de Villa Obrajes</t>
  </si>
  <si>
    <t>POINT (-66.0232 -17.4027)</t>
  </si>
  <si>
    <t>Unidad Educativa Ulincate</t>
  </si>
  <si>
    <t>Ulincate Baja Km. 35 Carretera Cbba Santa Cruz</t>
  </si>
  <si>
    <t>POINT (-66.0056 -17.4085)</t>
  </si>
  <si>
    <t>Instituto Tecnico Sacaba (ITSA)</t>
  </si>
  <si>
    <t>Ismael Cespedes entre Porverir y Av. Circunvalacion</t>
  </si>
  <si>
    <t>POINT (-66.0456 -17.4071)</t>
  </si>
  <si>
    <t>Unidad Educativa 27 de Agosto</t>
  </si>
  <si>
    <t>Zona 4488</t>
  </si>
  <si>
    <t>Tuscapujio Bajo</t>
  </si>
  <si>
    <t>POINT (-66.0553 -17.4145)</t>
  </si>
  <si>
    <t>Unidad Educativa Entre Rios</t>
  </si>
  <si>
    <t>Zona 4492</t>
  </si>
  <si>
    <t>Av, Gualverto Villarroel Entrada a Sacaba Camino Antiguo</t>
  </si>
  <si>
    <t>POINT (-66.06 -17.4021)</t>
  </si>
  <si>
    <t>Unidad Educativa Republica de Italia</t>
  </si>
  <si>
    <t>Monseñor Roberto Nicoli (Villazon) E Ismael Cespedes</t>
  </si>
  <si>
    <t>POINT (-66.0449 -17.4026)</t>
  </si>
  <si>
    <t>U.E. Antofagasta</t>
  </si>
  <si>
    <t>Comunidad Sacaba, OTB Antofagasta Av. Santa Cruz, Esquina Av. Porvenir, Entre la Av. Sucre</t>
  </si>
  <si>
    <t>POINT (-66.032285 -17.408166)</t>
  </si>
  <si>
    <t>U.E. Villa Clotilde</t>
  </si>
  <si>
    <t>Comunidad Villa Clotilde, camino a Sacaba-Colomi</t>
  </si>
  <si>
    <t>POINT (-65.99239 -17.412014)</t>
  </si>
  <si>
    <t>U. E. Roberto Nicoli Parietti</t>
  </si>
  <si>
    <t>Calle Beni  entre Calle  Tarija y Calle Innominada</t>
  </si>
  <si>
    <t>POINT (-66.031528 -17.400205)</t>
  </si>
  <si>
    <t>U.E. El Moro</t>
  </si>
  <si>
    <t>Av. 9 de Abril entre Calle 2 de Agosto y Calle Beni</t>
  </si>
  <si>
    <t>POINT (-66.031523 -17.400197)</t>
  </si>
  <si>
    <t>Canal Pata Alta - Sacaba</t>
  </si>
  <si>
    <t>POINT (-66.036878 -17.418444)</t>
  </si>
  <si>
    <t>U. E. 27 de Mayo</t>
  </si>
  <si>
    <t>Comunidad Sacaba - Sindicato Agrario Tuscapujio Alto</t>
  </si>
  <si>
    <t>POINT (-66.050686 -17.424991)</t>
  </si>
  <si>
    <t>U.E. República del Ecuador</t>
  </si>
  <si>
    <t>Zona 4489</t>
  </si>
  <si>
    <t>Sur de la capital del municipio, camino antiguo a Sacaba Km. 6 1/2, Av. Octava</t>
  </si>
  <si>
    <t>POINT (-66.09482 -17.413412)</t>
  </si>
  <si>
    <t>U.E. José Nicolás Maldonado</t>
  </si>
  <si>
    <t>Av. Monseñor Roberto Nicoli entre Ismael Céspedes y Demetrio Canelas</t>
  </si>
  <si>
    <t>POINT (-66.04503 -17.401963)</t>
  </si>
  <si>
    <t>U.E. Chimboco</t>
  </si>
  <si>
    <t>Ubicado en la OTB. Chimboco frente a la cancha de futbol a lado Este del Instituto Tecnológico Berto Nicoli, zona Norte de Sacaba.</t>
  </si>
  <si>
    <t>POINT (-66.04033 -17.386895)</t>
  </si>
  <si>
    <t>El Castillo</t>
  </si>
  <si>
    <t>Escuela Jesus Terceros</t>
  </si>
  <si>
    <t>Zona 4493</t>
  </si>
  <si>
    <t>Calle Argentina Nro 270 Urbanizacion San Pedro</t>
  </si>
  <si>
    <t>POINT (-66.1203 -17.3859)</t>
  </si>
  <si>
    <t>Quintanilla</t>
  </si>
  <si>
    <t>Colegio Quintanilla</t>
  </si>
  <si>
    <t>Av. Villazon y Av. Maximiliano Kolbe</t>
  </si>
  <si>
    <t>POINT (-66.1099 -17.3848)</t>
  </si>
  <si>
    <t>(Cárcel) Penitenciaria El Abra</t>
  </si>
  <si>
    <t>El Abra</t>
  </si>
  <si>
    <t>POINT (-66.1157 -17.4049)</t>
  </si>
  <si>
    <t>Unidad Educativa Israelí El Abra</t>
  </si>
  <si>
    <t>Camino Antiguo a Sacaba Km. 6 1/2</t>
  </si>
  <si>
    <t>POINT (-66.101 -17.4037)</t>
  </si>
  <si>
    <t>Unidad Educativa del Valle</t>
  </si>
  <si>
    <t>Av. Villazon  entre Av. Maximiliano Kolbe</t>
  </si>
  <si>
    <t>POINT (-66.1094 -17.3827)</t>
  </si>
  <si>
    <t>Unidad Educativa Kanata</t>
  </si>
  <si>
    <t>Avenida Villazon Km. 6 1/2</t>
  </si>
  <si>
    <t>POINT (-66.1015 -17.3859)</t>
  </si>
  <si>
    <t>U.E. Puntiti Chico</t>
  </si>
  <si>
    <t>Av. Circunvalación , Km 5 frente a la Pizzería</t>
  </si>
  <si>
    <t>POINT (-66.100451 -17.374983)</t>
  </si>
  <si>
    <t>U.E. José Vía García</t>
  </si>
  <si>
    <t>Comunidad Pucara</t>
  </si>
  <si>
    <t>POINT (-66.081393 -17.368127)</t>
  </si>
  <si>
    <t>U.E. Villa Animas</t>
  </si>
  <si>
    <t>Av. Circunvalación Km 4, al Norte OTB Arco Punku</t>
  </si>
  <si>
    <t>POINT (-66.100472 -17.365852)</t>
  </si>
  <si>
    <t>Pacata</t>
  </si>
  <si>
    <t>Colegio Puerto Mejillones</t>
  </si>
  <si>
    <t>Zona 4494</t>
  </si>
  <si>
    <t>Jose Merida y Senobio Gallardo</t>
  </si>
  <si>
    <t>POINT (-66.1301 -17.3722)</t>
  </si>
  <si>
    <t>Unidad Educativa Villa Graciela</t>
  </si>
  <si>
    <t>POINT (-66.1309 -17.3724)</t>
  </si>
  <si>
    <t>Colegio Señor De Mayo</t>
  </si>
  <si>
    <t>Av. Circunvalacion Beijing y M. Castelu</t>
  </si>
  <si>
    <t>POINT (-66.118 -17.3735)</t>
  </si>
  <si>
    <t>Unidad Educativa René Barrientos Ortuño</t>
  </si>
  <si>
    <t>Giego Mosquera y Juan Sandoval</t>
  </si>
  <si>
    <t>POINT (-66.119 -17.3767)</t>
  </si>
  <si>
    <t>U.E. Marcelo Quiroga Santa Cruz (Pacata)</t>
  </si>
  <si>
    <t>Diego Mosquera y Julian Quiroga</t>
  </si>
  <si>
    <t>POINT (-66.1184 -17.3762)</t>
  </si>
  <si>
    <t>Unidad Educativa Edmundo Bojanowski</t>
  </si>
  <si>
    <t>Final Calle 4 y Pasage Hermana Joela</t>
  </si>
  <si>
    <t>POINT (-66.1239 -17.3707)</t>
  </si>
  <si>
    <t>Puntiti</t>
  </si>
  <si>
    <t>Colegio Boliviano Japones</t>
  </si>
  <si>
    <t>POINT (-66.0935 -17.3792)</t>
  </si>
  <si>
    <t>Esmeralda</t>
  </si>
  <si>
    <t>Escuela Guadalupe</t>
  </si>
  <si>
    <t>Guadalupe</t>
  </si>
  <si>
    <t>POINT (-66.077 -17.3837)</t>
  </si>
  <si>
    <t>Unidad Educativa Hernán Rivero Fiorilo</t>
  </si>
  <si>
    <t>Av. Chapare y Av. Octava</t>
  </si>
  <si>
    <t>POINT (-66.0792 -17.404)</t>
  </si>
  <si>
    <t>Unidad Educativa Ceilab</t>
  </si>
  <si>
    <t>Urb. Lab, Zona Inkarancho</t>
  </si>
  <si>
    <t>POINT (-66.073 -17.3894)</t>
  </si>
  <si>
    <t>U.E. Mariscal Antonio Jose de Sucre</t>
  </si>
  <si>
    <t>Av.Chapare Km 9,5 OTB Inca Rancho</t>
  </si>
  <si>
    <t>POINT (-66.073949 -17.393433)</t>
  </si>
  <si>
    <t>Huayllani</t>
  </si>
  <si>
    <t>Escuela Carlos Peredo Sandoval</t>
  </si>
  <si>
    <t>Antes de Llegar a La Tranca Huayllani</t>
  </si>
  <si>
    <t>POINT (-66.0591 -17.3939)</t>
  </si>
  <si>
    <t>Larati</t>
  </si>
  <si>
    <t>Unidad Educativa Larati</t>
  </si>
  <si>
    <t>Zona 4498</t>
  </si>
  <si>
    <t>POINT (-66.0126 -17.3438)</t>
  </si>
  <si>
    <t>Lava Lava</t>
  </si>
  <si>
    <t>Escuela 6 de Junio   Tacopoca</t>
  </si>
  <si>
    <t>POINT (-66.0266 -17.4119)</t>
  </si>
  <si>
    <t>U.E. Hugo Chavez Frias</t>
  </si>
  <si>
    <t>Zona OTB Bonanza, en la paralela de la Av. Sucre</t>
  </si>
  <si>
    <t>POINT (-65.997035 -17.422291)</t>
  </si>
  <si>
    <t>U. E. Plurinacional</t>
  </si>
  <si>
    <t>Calle Litoral Nº 7, Zona Buena Vista Baja, Camino Laphia</t>
  </si>
  <si>
    <t>POINT (-66.018051 -17.441158)</t>
  </si>
  <si>
    <t>Palca</t>
  </si>
  <si>
    <t>Unidad Educativa Pampilla</t>
  </si>
  <si>
    <t>Zona 4499</t>
  </si>
  <si>
    <t>Comunidad Palca, camino Sacaba-Palca</t>
  </si>
  <si>
    <t>POINT (-66.0752 -17.1892)</t>
  </si>
  <si>
    <t>Chiñata</t>
  </si>
  <si>
    <t>Colegio Franz Tamayo (Chiñata)</t>
  </si>
  <si>
    <t>POINT (-65.9809 -17.4305)</t>
  </si>
  <si>
    <t>U.E. Franz Famayo</t>
  </si>
  <si>
    <t>Zona 4496</t>
  </si>
  <si>
    <t>POINT (-65.98115 -17.401799)</t>
  </si>
  <si>
    <t>Ucuchi</t>
  </si>
  <si>
    <t>Escuela Rene Barrientos Ortuño (Ucuchi)</t>
  </si>
  <si>
    <t>Zona 4495</t>
  </si>
  <si>
    <t>POINT (-65.9234 -17.415)</t>
  </si>
  <si>
    <t>Melga</t>
  </si>
  <si>
    <t>Colegio Rene Fernandez Becerra</t>
  </si>
  <si>
    <t>Camino a Santa Cruz y Melga</t>
  </si>
  <si>
    <t>POINT (-65.9148 -17.4262)</t>
  </si>
  <si>
    <t>Aguirre</t>
  </si>
  <si>
    <t>Colegio Nataniel Aguirre</t>
  </si>
  <si>
    <t>Zona 4497</t>
  </si>
  <si>
    <t>POINT (-65.83 -17.3727)</t>
  </si>
  <si>
    <t>Chacacollo</t>
  </si>
  <si>
    <t>Escuela Copacabana</t>
  </si>
  <si>
    <t>POINT (-66.0975 -17.3915)</t>
  </si>
  <si>
    <t>Korihuma</t>
  </si>
  <si>
    <t>U.E. Nuevo Amanecer</t>
  </si>
  <si>
    <t>Comunidad Korihuma</t>
  </si>
  <si>
    <t>POINT (-66.0347 -17.4529)</t>
  </si>
  <si>
    <t>Tutimayu</t>
  </si>
  <si>
    <t>U.E. Tutimayu</t>
  </si>
  <si>
    <t>Comunidad Tutimayu</t>
  </si>
  <si>
    <t>POINT (-65.9518 -17.4168)</t>
  </si>
  <si>
    <t>Tacolama Alta</t>
  </si>
  <si>
    <t>U.E. Emiliano Villazón</t>
  </si>
  <si>
    <t>Comunidad Tacolama Alta, Av. Monseñor Alcocer Norte</t>
  </si>
  <si>
    <t>POINT (-66.03288 -17.388623)</t>
  </si>
  <si>
    <t>Sapanani</t>
  </si>
  <si>
    <t>U.E. 2 de Agosto</t>
  </si>
  <si>
    <t>Sindicato Sapanani, Al norte del Municipio Sacaba</t>
  </si>
  <si>
    <t>POINT (-66.055795 -17.341328)</t>
  </si>
  <si>
    <t>Challviri</t>
  </si>
  <si>
    <t>U. E. Challviri</t>
  </si>
  <si>
    <t>Zona 4514</t>
  </si>
  <si>
    <t>Comunidad Challviri - Al norte del municipio de Sacaba</t>
  </si>
  <si>
    <t>POINT (-66.10763 -17.132403)</t>
  </si>
  <si>
    <t>Colomi</t>
  </si>
  <si>
    <t>U.E. Samuel Fina Savio</t>
  </si>
  <si>
    <t>Zona 4501</t>
  </si>
  <si>
    <t>POINT (-65.8643 -17.3404)</t>
  </si>
  <si>
    <t>U.E. Sócrates Villazón</t>
  </si>
  <si>
    <t>Esta ubicado a lado Oeste de la plaza Central de la localidad Colomi</t>
  </si>
  <si>
    <t>POINT (-65.870138 -17.339893)</t>
  </si>
  <si>
    <t>U.E. Carmela Albornoz</t>
  </si>
  <si>
    <t>Calle Avaroa</t>
  </si>
  <si>
    <t>POINT (-65.86434 -17.340012)</t>
  </si>
  <si>
    <t>Candelaria</t>
  </si>
  <si>
    <t>U.E. Candelaria</t>
  </si>
  <si>
    <t>Zona 4503</t>
  </si>
  <si>
    <t>POINT (-65.925156 -17.274653)</t>
  </si>
  <si>
    <t>Tablas Monte</t>
  </si>
  <si>
    <t>U.E. Tablas Monte</t>
  </si>
  <si>
    <t>Zona 4506</t>
  </si>
  <si>
    <t>POINT (-65.996944 -17.084687)</t>
  </si>
  <si>
    <t>Miguelito</t>
  </si>
  <si>
    <t>POINT (-65.769518 -17.178579)</t>
  </si>
  <si>
    <t>Corani Pampa</t>
  </si>
  <si>
    <t>U.E. Corani Pampa</t>
  </si>
  <si>
    <t>Zona 4505</t>
  </si>
  <si>
    <t>POINT (-65.9321 -17.1237)</t>
  </si>
  <si>
    <t>Paracti (Colomi)</t>
  </si>
  <si>
    <t>Unidad Educativa Paracti (Colomi)</t>
  </si>
  <si>
    <t>Paracti</t>
  </si>
  <si>
    <t>POINT (-65.825552 -17.207903)</t>
  </si>
  <si>
    <t>Puca Mayu (Colomi)</t>
  </si>
  <si>
    <t>U.E. Simón Rodriguez (Colomi)</t>
  </si>
  <si>
    <t>Puca Mayu</t>
  </si>
  <si>
    <t>POINT (-65.901648 -17.019898)</t>
  </si>
  <si>
    <t>Rosario</t>
  </si>
  <si>
    <t>U.E. Rosario</t>
  </si>
  <si>
    <t>POINT (-65.8809 -17.3185)</t>
  </si>
  <si>
    <t>Pico Central</t>
  </si>
  <si>
    <t>U.E. Pico Central</t>
  </si>
  <si>
    <t>Zona 4504</t>
  </si>
  <si>
    <t>Sindicato Agrarario Pico Central - Oeste del Municipio del Colomi</t>
  </si>
  <si>
    <t>POINT (-65.960099 -17.325928)</t>
  </si>
  <si>
    <t>Villa Tunari</t>
  </si>
  <si>
    <t>Escuela San Antonio de Villa Tunari</t>
  </si>
  <si>
    <t>Otb Bugambillas</t>
  </si>
  <si>
    <t>POINT (-65.4174 -16.9728)</t>
  </si>
  <si>
    <t>Colegio Francisco Vignaud</t>
  </si>
  <si>
    <t>Zona Central</t>
  </si>
  <si>
    <t>POINT (-65.4247 -16.9751)</t>
  </si>
  <si>
    <t>Cristal Mayu</t>
  </si>
  <si>
    <t>Escuela Cristal Mayu</t>
  </si>
  <si>
    <t>Zona 4508</t>
  </si>
  <si>
    <t>POINT (-65.644 -17.0062)</t>
  </si>
  <si>
    <t>Jatun Pampa</t>
  </si>
  <si>
    <t>Unidad Educativa Jatun Pampa</t>
  </si>
  <si>
    <t>POINT (-65.568 -17.0037)</t>
  </si>
  <si>
    <t>Paractito</t>
  </si>
  <si>
    <t>Unidad Educativa Paractito</t>
  </si>
  <si>
    <t>POINT (-65.4659 -17.0317)</t>
  </si>
  <si>
    <t>Eterazama</t>
  </si>
  <si>
    <t>Unidad Educativa Mixta Eterazama</t>
  </si>
  <si>
    <t>Zona 4512</t>
  </si>
  <si>
    <t>POINT (-65.5211 -16.8331)</t>
  </si>
  <si>
    <t>U.E.T.H. Mariscal Sucre</t>
  </si>
  <si>
    <t>Entre Calle el Deber y Los Andes (entrada por la Av. La Resistencia)</t>
  </si>
  <si>
    <t>POINT (-65.515717 -16.836053)</t>
  </si>
  <si>
    <t>San Jose (Villa Tunari)</t>
  </si>
  <si>
    <t>Escuela San Jose (V. Tunari)</t>
  </si>
  <si>
    <t>San Jose</t>
  </si>
  <si>
    <t>POINT (-65.4656 -16.8102)</t>
  </si>
  <si>
    <t>Samuzabeti</t>
  </si>
  <si>
    <t>Escuela Samuzabeti</t>
  </si>
  <si>
    <t>Samzabeti</t>
  </si>
  <si>
    <t>POINT (-65.5726 -16.8163)</t>
  </si>
  <si>
    <t>Chipiriri</t>
  </si>
  <si>
    <t>Colegio Fe y Alegria</t>
  </si>
  <si>
    <t>Zona 4510</t>
  </si>
  <si>
    <t>POINT (-65.4011 -16.9142)</t>
  </si>
  <si>
    <t>Escuela 27 de Mayo</t>
  </si>
  <si>
    <t>Especial</t>
  </si>
  <si>
    <t>POINT (-65.3082 -16.7482)</t>
  </si>
  <si>
    <t>Unidad Educativa San Francisco Km 21</t>
  </si>
  <si>
    <t>San Francisco Km 21</t>
  </si>
  <si>
    <t>POINT (-65.3349 -16.7669)</t>
  </si>
  <si>
    <t>Isinuta</t>
  </si>
  <si>
    <t>Escuela Elizardo Perez</t>
  </si>
  <si>
    <t>Zona 4513</t>
  </si>
  <si>
    <t>POINT (-65.6441 -16.7314)</t>
  </si>
  <si>
    <t>Villa 14 de Septiembre</t>
  </si>
  <si>
    <t>Escuela Villa 14 de Septiembre</t>
  </si>
  <si>
    <t>Zona 4511</t>
  </si>
  <si>
    <t>POINT (-65.350327 -16.847783)</t>
  </si>
  <si>
    <t>U. E. 14 de Septiembre</t>
  </si>
  <si>
    <t>POINT (-65.35089 -16.843635)</t>
  </si>
  <si>
    <t>San Gabriel</t>
  </si>
  <si>
    <t>Escuela La Estrella (San Gabriel)</t>
  </si>
  <si>
    <t>POINT (-65.6271 -16.6753)</t>
  </si>
  <si>
    <t>La Estrella</t>
  </si>
  <si>
    <t>Escuela La Estrella</t>
  </si>
  <si>
    <t>POINT (-65.495 -16.724)</t>
  </si>
  <si>
    <t>Moleto Icoya</t>
  </si>
  <si>
    <t>Unidad Educativa Moleto Icoya (V.Tunari)</t>
  </si>
  <si>
    <t>Moleto</t>
  </si>
  <si>
    <t>POINT (-65.8701 -16.4746)</t>
  </si>
  <si>
    <t>Nueva Aroma</t>
  </si>
  <si>
    <t>Nucleo Escolar Nueva Aroma</t>
  </si>
  <si>
    <t>POINT (-65.8259 -16.5624)</t>
  </si>
  <si>
    <t>Villa Bolivar</t>
  </si>
  <si>
    <t>Colegio Mixto Tecnico Hum. Villa Bolivar</t>
  </si>
  <si>
    <t>POINT (-65.7408 -16.6312)</t>
  </si>
  <si>
    <t>Paraiso Todo Santos</t>
  </si>
  <si>
    <t>Unidad Educativa Paraiso Todo Santos</t>
  </si>
  <si>
    <t>Paraiso</t>
  </si>
  <si>
    <t>POINT (-65.2959 -16.9063)</t>
  </si>
  <si>
    <t>Puca Mayu (Villa Tunari)</t>
  </si>
  <si>
    <t>U.E. Simón Rodriguez (Villa Tunari)</t>
  </si>
  <si>
    <t>Puca Mayu(Villa Tunari)</t>
  </si>
  <si>
    <t>POINT (-65.901707 -17.019722)</t>
  </si>
  <si>
    <t>Paracti (Villa Tunari)</t>
  </si>
  <si>
    <t>Unidad Educativa Paracti (Villa Tunari)</t>
  </si>
  <si>
    <t>Paracti(Villa Tunari)</t>
  </si>
  <si>
    <t>Nueva Tacopaya</t>
  </si>
  <si>
    <t>Colegio Nueva Tacopaya</t>
  </si>
  <si>
    <t>POINT (-65.6765 -16.5682)</t>
  </si>
  <si>
    <t>San José de Angosta</t>
  </si>
  <si>
    <t>Unidad Educativa San Jose de Angosta</t>
  </si>
  <si>
    <t>POINT (-65.9069 -16.4265)</t>
  </si>
  <si>
    <t>Santa Rosa de la Boca</t>
  </si>
  <si>
    <t>U. E. Santa Rosa de La Boca</t>
  </si>
  <si>
    <t>Santa Rosa de La Boca</t>
  </si>
  <si>
    <t>POINT (-64.7572 -15.9393)</t>
  </si>
  <si>
    <t>Independencia (Villa Tunari)</t>
  </si>
  <si>
    <t>U. E. Independencia (Villa Tunari)</t>
  </si>
  <si>
    <t>Independencia(Villa Tunari)</t>
  </si>
  <si>
    <t>POINT (-65.8023 -16.4636)</t>
  </si>
  <si>
    <t>Norte Galilea</t>
  </si>
  <si>
    <t>Unidad Educativa Villa Nueva</t>
  </si>
  <si>
    <t>POINT (-65.3399 -16.6569)</t>
  </si>
  <si>
    <t>Tocopilla</t>
  </si>
  <si>
    <t>Unidad Educativa Tocopilla</t>
  </si>
  <si>
    <t>POINT (-65.2642 -16.8106)</t>
  </si>
  <si>
    <t>Primero de Mayo</t>
  </si>
  <si>
    <t>Unidad Educativa 1ro de Mayo</t>
  </si>
  <si>
    <t>POINT (-65.4292 -16.6472)</t>
  </si>
  <si>
    <t>Uncia</t>
  </si>
  <si>
    <t>Unidad Educativa Uncia</t>
  </si>
  <si>
    <t>POINT (-65.7351 -16.5245)</t>
  </si>
  <si>
    <t>San Benito</t>
  </si>
  <si>
    <t>U.E. San Benito</t>
  </si>
  <si>
    <t>POINT (-65.5033 -16.5327)</t>
  </si>
  <si>
    <t>Yuracare Limo del Isiboro</t>
  </si>
  <si>
    <t>U.E. Limo</t>
  </si>
  <si>
    <t>Comunidad Indígena Limo del Isiboro, Isinuta</t>
  </si>
  <si>
    <t>POINT (-65.6856 -16.6962)</t>
  </si>
  <si>
    <t>Puerto Patiño</t>
  </si>
  <si>
    <t>U.E. Puerto Patiño</t>
  </si>
  <si>
    <t>Sindicato Agrario Puerto Patiño</t>
  </si>
  <si>
    <t>POINT (-65.6933 -16.6823)</t>
  </si>
  <si>
    <t>16 de Julio Capihuara</t>
  </si>
  <si>
    <t>U.E. Rodolfo Illanes</t>
  </si>
  <si>
    <t>Comunidad 16 de Julio Capihuara</t>
  </si>
  <si>
    <t>POINT (-65.606277 -16.984781)</t>
  </si>
  <si>
    <t>René Barrientos Ortuño</t>
  </si>
  <si>
    <t>POINT (-65.512726 -16.955805)</t>
  </si>
  <si>
    <t>Avispas</t>
  </si>
  <si>
    <t>U.E. Avispas</t>
  </si>
  <si>
    <t>Carretera  Cochabamba a Santa Cruz KM/144 Sindicato Avispas</t>
  </si>
  <si>
    <t>POINT (-65.542803 -17.016914)</t>
  </si>
  <si>
    <t>Ibarecito</t>
  </si>
  <si>
    <t>U.E. Ibarecito</t>
  </si>
  <si>
    <t>Al nor este del municipio Villa Tunari Comunidad Indigena Yuracare Ibarecito</t>
  </si>
  <si>
    <t>POINT (-65.184844 -16.779084)</t>
  </si>
  <si>
    <t>Padresama</t>
  </si>
  <si>
    <t>U. E. Padresama</t>
  </si>
  <si>
    <t>Se encuentra sobre la carretera cochamaba a Santa Cruz km 150, sindicato agrario Padresama</t>
  </si>
  <si>
    <t>POINT (-65.49526 -17.026174)</t>
  </si>
  <si>
    <t>Tapacarí</t>
  </si>
  <si>
    <t>Tapacari</t>
  </si>
  <si>
    <t>Unidad Educativa Sucre</t>
  </si>
  <si>
    <t>Zona 4519</t>
  </si>
  <si>
    <t>POINT (-66.6253 -17.5135)</t>
  </si>
  <si>
    <t>Tunas Vinto</t>
  </si>
  <si>
    <t>U.E. Tunas Vinto</t>
  </si>
  <si>
    <t>Zona 4522</t>
  </si>
  <si>
    <t>Tunas Vinto-Apharumiri</t>
  </si>
  <si>
    <t>POINT (-66.5467 -17.5313)</t>
  </si>
  <si>
    <t>La Ramada</t>
  </si>
  <si>
    <t>Unidad Educativa Ramadas</t>
  </si>
  <si>
    <t>Zona 4517</t>
  </si>
  <si>
    <t>POINT (-66.475 -17.5517)</t>
  </si>
  <si>
    <t>Chullpa Kasa</t>
  </si>
  <si>
    <t>Unidad Educativa Chullpa K'Asa</t>
  </si>
  <si>
    <t>Zona 4521</t>
  </si>
  <si>
    <t>POINT (-66.4384 -17.6297)</t>
  </si>
  <si>
    <t>Llavini</t>
  </si>
  <si>
    <t>Unidad Educativa Llavini</t>
  </si>
  <si>
    <t>Zona 4516</t>
  </si>
  <si>
    <t>POINT (-66.4101 -17.6659)</t>
  </si>
  <si>
    <t>Leque</t>
  </si>
  <si>
    <t>Unidad Educativa Norberto Jimenez</t>
  </si>
  <si>
    <t>Zona 4520</t>
  </si>
  <si>
    <t>POINT (-66.8142 -17.5046)</t>
  </si>
  <si>
    <t>Challa</t>
  </si>
  <si>
    <t>U.E. Lacuyo</t>
  </si>
  <si>
    <t>Zona 4518</t>
  </si>
  <si>
    <t>POINT (-66.6877 -17.6341)</t>
  </si>
  <si>
    <t>Confital</t>
  </si>
  <si>
    <t>Nucleo Escolar Confital</t>
  </si>
  <si>
    <t>POINT (-66.7297 -17.6788)</t>
  </si>
  <si>
    <t>Kalliri</t>
  </si>
  <si>
    <t>Sede Comunal Kalliri</t>
  </si>
  <si>
    <t>Calliri</t>
  </si>
  <si>
    <t>POINT (-66.4806 -17.5347)</t>
  </si>
  <si>
    <t>Charapaya</t>
  </si>
  <si>
    <t>Nucleo Escolar Charapaya</t>
  </si>
  <si>
    <t>POINT (-66.7551 -17.3679)</t>
  </si>
  <si>
    <t>Waca Playa</t>
  </si>
  <si>
    <t>Unidad Educativa Waca Playa</t>
  </si>
  <si>
    <t>Chorojo</t>
  </si>
  <si>
    <t>POINT (-66.489 -17.4582)</t>
  </si>
  <si>
    <t>Japo Kasa</t>
  </si>
  <si>
    <t>Unidad Educativa Japo K'Asa</t>
  </si>
  <si>
    <t>Zona 4515</t>
  </si>
  <si>
    <t>POINT (-66.7647 -17.6942)</t>
  </si>
  <si>
    <t>Villa Pereira</t>
  </si>
  <si>
    <t>Unidad Educativa Central Villa Pereira</t>
  </si>
  <si>
    <t>POINT (-66.7877 -17.4463)</t>
  </si>
  <si>
    <t>Nueva Florida</t>
  </si>
  <si>
    <t>Unidad Educativa San Antonio</t>
  </si>
  <si>
    <t>POINT (-66.831 -17.5426)</t>
  </si>
  <si>
    <t>Chuñu Chuñuni</t>
  </si>
  <si>
    <t>Escuela Chuñu Chuñini</t>
  </si>
  <si>
    <t>POINT (-66.593 -17.7008)</t>
  </si>
  <si>
    <t>Challa Grande</t>
  </si>
  <si>
    <t>Escuela  Challa Grande</t>
  </si>
  <si>
    <t>POINT (-66.6425 -17.7061)</t>
  </si>
  <si>
    <t>Tita Gallo</t>
  </si>
  <si>
    <t>Escuela Monseñor Angel Gelmi</t>
  </si>
  <si>
    <t>POINT (-66.56 -17.6107)</t>
  </si>
  <si>
    <t>Katariri</t>
  </si>
  <si>
    <t>Unidad Educativa Katariri</t>
  </si>
  <si>
    <t>POINT (-66.5132 -17.6336)</t>
  </si>
  <si>
    <t>Kjarkas</t>
  </si>
  <si>
    <t>Unidad Educativa Kjarkas</t>
  </si>
  <si>
    <t>POINT (-66.5235 -17.6984)</t>
  </si>
  <si>
    <t>Lacolaconi</t>
  </si>
  <si>
    <t>U.E. Lacolaconi</t>
  </si>
  <si>
    <t>POINT (-66.8304 -17.6594)</t>
  </si>
  <si>
    <t>Chillca Grande</t>
  </si>
  <si>
    <t>U.E. Chillca Grande</t>
  </si>
  <si>
    <t>POINT (-66.6303 -17.5958)</t>
  </si>
  <si>
    <t>Arasaya</t>
  </si>
  <si>
    <t>U.E. Arasaya</t>
  </si>
  <si>
    <t>POINT (-66.5973 -17.4366)</t>
  </si>
  <si>
    <t>Apharumiri</t>
  </si>
  <si>
    <t>U.E. Apharumiri</t>
  </si>
  <si>
    <t>POINT (-66.52147 -17.530435)</t>
  </si>
  <si>
    <t>Coracaba</t>
  </si>
  <si>
    <t>U.E. Coracaba</t>
  </si>
  <si>
    <t>Zona 4474</t>
  </si>
  <si>
    <t>POINT (-66.359037 -17.564817)</t>
  </si>
  <si>
    <t>Tumuyu</t>
  </si>
  <si>
    <t>U.E. Tumuyo</t>
  </si>
  <si>
    <t>Comunidad Tumuyu Lado Sudeste de la capital del municipio Tapacari</t>
  </si>
  <si>
    <t>POINT (-66.534251 -17.576159)</t>
  </si>
  <si>
    <t>Jatun Cienega</t>
  </si>
  <si>
    <t>U.E. Zenobio Gallardo</t>
  </si>
  <si>
    <t>Distrito Ramadas, comunidad Jatun Cienega</t>
  </si>
  <si>
    <t>POINT (-66.518805 -17.445888)</t>
  </si>
  <si>
    <t>Carrasco</t>
  </si>
  <si>
    <t>Totora</t>
  </si>
  <si>
    <t>U.E. La Paz</t>
  </si>
  <si>
    <t>Zona 4524</t>
  </si>
  <si>
    <t>Ubicado en la zona Ladislao Cabrera frente al Hospital Dr. Aurelio Melean, a lado Sud Localidad de Totora.</t>
  </si>
  <si>
    <t>POINT (-65.191189 -17.740815)</t>
  </si>
  <si>
    <t>Epizana</t>
  </si>
  <si>
    <t>Sede De La Junta Vecinal De Epizana</t>
  </si>
  <si>
    <t>Zona 4523</t>
  </si>
  <si>
    <t>Comunidad Epizana</t>
  </si>
  <si>
    <t>POINT (-65.229 -17.6372)</t>
  </si>
  <si>
    <t>Tiraque  C</t>
  </si>
  <si>
    <t>Unidad Educativa Tiraque C</t>
  </si>
  <si>
    <t>Zona 4527</t>
  </si>
  <si>
    <t>Tiraque C</t>
  </si>
  <si>
    <t>POINT (-65.0955 -17.6704)</t>
  </si>
  <si>
    <t>Laime Toro</t>
  </si>
  <si>
    <t>U.E. Eduardo Abaroa</t>
  </si>
  <si>
    <t>Comunidad Laime Toro</t>
  </si>
  <si>
    <t>POINT (-65.059754 -17.667211)</t>
  </si>
  <si>
    <t>Rodeo Grande</t>
  </si>
  <si>
    <t>Unidad Educativa Rodeo Grande</t>
  </si>
  <si>
    <t>POINT (-65.1313 -17.6611)</t>
  </si>
  <si>
    <t>Copachuncho</t>
  </si>
  <si>
    <t>Colegio 8 de Septiembre</t>
  </si>
  <si>
    <t>Zona 4525</t>
  </si>
  <si>
    <t>POINT (-65.0871 -17.718)</t>
  </si>
  <si>
    <t>Arepucho (Corte)</t>
  </si>
  <si>
    <t>Sede Social Yungas de Vandiola</t>
  </si>
  <si>
    <t>Zona 4528</t>
  </si>
  <si>
    <t>POINT (-65.2358 -17.4261)</t>
  </si>
  <si>
    <t>Tika Pampa</t>
  </si>
  <si>
    <t>Unidad Educativa Tika Pampa</t>
  </si>
  <si>
    <t>Zona 4545</t>
  </si>
  <si>
    <t>POINT (-65.2568 -17.7833)</t>
  </si>
  <si>
    <t>Antaqawa</t>
  </si>
  <si>
    <t>Unidad Educativa Antaqawa</t>
  </si>
  <si>
    <t>Zona 4526</t>
  </si>
  <si>
    <t>POINT (-65.138 -17.8731)</t>
  </si>
  <si>
    <t>Unidad Educativa Potrero</t>
  </si>
  <si>
    <t>POINT (-65.0414 -17.8892)</t>
  </si>
  <si>
    <t>Rancho Catalina</t>
  </si>
  <si>
    <t>Sede Social Rancho Catalina</t>
  </si>
  <si>
    <t>Zona 4530</t>
  </si>
  <si>
    <t>Sub Central Vandiola al norte del municipio de Totora</t>
  </si>
  <si>
    <t>POINT (-65.149678 -17.383073)</t>
  </si>
  <si>
    <t>Icuna</t>
  </si>
  <si>
    <t>U.E. Icuna</t>
  </si>
  <si>
    <t>Ubicado en Sindicato Icuna Sub Central Icuna</t>
  </si>
  <si>
    <t>POINT (-65.091542 -17.373538)</t>
  </si>
  <si>
    <t>Coluyo Grande</t>
  </si>
  <si>
    <t>U.E. 24 de Marzo</t>
  </si>
  <si>
    <t>Ubicado en la Comunidad Coluyo Grande sobre la carretera principal a la localidad de Totora, capital del Municipio de Totora.</t>
  </si>
  <si>
    <t>POINT (-65.213407 -17.684649)</t>
  </si>
  <si>
    <t>Rodeo Chico</t>
  </si>
  <si>
    <t>U.E. Rodeo Chico</t>
  </si>
  <si>
    <t>Ubicado en la Sindicato Agrario Rodeo Chico del Municipio de Totora, sobre la carretera principal de Cochabamba a Santa Cruz.</t>
  </si>
  <si>
    <t>POINT (-65.180366 -17.650971)</t>
  </si>
  <si>
    <t>Pojo</t>
  </si>
  <si>
    <t>Colegio Venancio Loss</t>
  </si>
  <si>
    <t>Zona 4543</t>
  </si>
  <si>
    <t>POINT (-64.8663 -17.7549)</t>
  </si>
  <si>
    <t>Kara Huasi</t>
  </si>
  <si>
    <t>Unidad Educativa Kara Huasi   Pojo</t>
  </si>
  <si>
    <t>POINT (-64.7433 -17.7386)</t>
  </si>
  <si>
    <t>Challhuani</t>
  </si>
  <si>
    <t>Unidad Educativa Challhuani</t>
  </si>
  <si>
    <t>POINT (-64.8953 -17.8445)</t>
  </si>
  <si>
    <t>Duraznillo</t>
  </si>
  <si>
    <t>Nucleo Escolar Duraznillo</t>
  </si>
  <si>
    <t>Zona 4535</t>
  </si>
  <si>
    <t>POINT (-65.0194 -17.7873)</t>
  </si>
  <si>
    <t>Yuthupampa</t>
  </si>
  <si>
    <t>Unidad Educativa Yuthupampa</t>
  </si>
  <si>
    <t>POINT (-64.9935 -17.746)</t>
  </si>
  <si>
    <t>Palca  C</t>
  </si>
  <si>
    <t>Unidad Educativa Palca C</t>
  </si>
  <si>
    <t>Zona 4539</t>
  </si>
  <si>
    <t>Palca C</t>
  </si>
  <si>
    <t>POINT (-64.9761 -17.7039)</t>
  </si>
  <si>
    <t>Rodeo  C</t>
  </si>
  <si>
    <t>Unidad Educativa Rodeo C</t>
  </si>
  <si>
    <t>Zona 4537</t>
  </si>
  <si>
    <t>Rodeo C</t>
  </si>
  <si>
    <t>POINT (-64.783 -17.836)</t>
  </si>
  <si>
    <t>Dian Pampa</t>
  </si>
  <si>
    <t>Unidad Educativa Dian Pampa</t>
  </si>
  <si>
    <t>POINT (-64.7041 -17.7044)</t>
  </si>
  <si>
    <t>La Habana</t>
  </si>
  <si>
    <t>Unidad Educativa La Habana</t>
  </si>
  <si>
    <t>POINT (-64.9274 -17.7355)</t>
  </si>
  <si>
    <t>Thago Laguna</t>
  </si>
  <si>
    <t>Unidad Educativa Thago Laguna</t>
  </si>
  <si>
    <t>Zona 4532</t>
  </si>
  <si>
    <t>POINT (-64.8614 -17.9531)</t>
  </si>
  <si>
    <t>Vilaque</t>
  </si>
  <si>
    <t>Unidad Educativa Jaime Laredo</t>
  </si>
  <si>
    <t>Zona 4533</t>
  </si>
  <si>
    <t>POINT (-64.9801 -17.8458)</t>
  </si>
  <si>
    <t>Villa Esperanza</t>
  </si>
  <si>
    <t>U.E. Emilio Grageda Zurita</t>
  </si>
  <si>
    <t>Zona 4540</t>
  </si>
  <si>
    <t>Localidad Villa Esperanza</t>
  </si>
  <si>
    <t>POINT (-64.87435 -17.729007)</t>
  </si>
  <si>
    <t>Salto y Viña</t>
  </si>
  <si>
    <t>U.E. Nataniel Aguirre</t>
  </si>
  <si>
    <t>Zona 4531</t>
  </si>
  <si>
    <t>Localidad Salto Viña</t>
  </si>
  <si>
    <t>POINT (-64.858623 -17.886874)</t>
  </si>
  <si>
    <t>San Mateo Rio Grande</t>
  </si>
  <si>
    <t>U.E. Elizardo Perez</t>
  </si>
  <si>
    <t>Localidad San Mateo Rio Grande</t>
  </si>
  <si>
    <t>POINT (-64.68211 -17.712446)</t>
  </si>
  <si>
    <t>Puente Sillas</t>
  </si>
  <si>
    <t>Localidad Puente Sillas</t>
  </si>
  <si>
    <t>POINT (-65.016546 -17.702658)</t>
  </si>
  <si>
    <t>Buena Vista</t>
  </si>
  <si>
    <t>U.E. Filiberto Alvarado</t>
  </si>
  <si>
    <t>Carretera a Santa Cruz  Buena Vista</t>
  </si>
  <si>
    <t>POINT (-64.848582 -17.746985)</t>
  </si>
  <si>
    <t>Pocona</t>
  </si>
  <si>
    <t>U. E. 23 de Mayo</t>
  </si>
  <si>
    <t>Zona 4547</t>
  </si>
  <si>
    <t>POINT (-65.415511 -17.676048)</t>
  </si>
  <si>
    <t>Monte Puncu</t>
  </si>
  <si>
    <t>U.E. Angel Escobar</t>
  </si>
  <si>
    <t>POINT (-65.303 -17.585)</t>
  </si>
  <si>
    <t>Chilicchi</t>
  </si>
  <si>
    <t>U.E. Ladislao Cabrera de Chillikchi</t>
  </si>
  <si>
    <t>Zona 4546</t>
  </si>
  <si>
    <t>POINT (-65.3421 -17.6685)</t>
  </si>
  <si>
    <t>Huayapacha</t>
  </si>
  <si>
    <t>U.E. René Barrientos Ortuño</t>
  </si>
  <si>
    <t>Zona 4548</t>
  </si>
  <si>
    <t>POINT (-65.40812 -17.552647)</t>
  </si>
  <si>
    <t>Lope Mendoza</t>
  </si>
  <si>
    <t>U. E. 6 de Agosto</t>
  </si>
  <si>
    <t>POINT (-65.3796 -17.5297)</t>
  </si>
  <si>
    <t>Conda Baja</t>
  </si>
  <si>
    <t>U. E. Ismael Montes</t>
  </si>
  <si>
    <t>POINT (-65.3839 -17.7234)</t>
  </si>
  <si>
    <t>Chimboata</t>
  </si>
  <si>
    <t>U.E. Daniel Sanchez Bustamante</t>
  </si>
  <si>
    <t>Zona 4544</t>
  </si>
  <si>
    <t>POINT (-65.284447 -17.661173)</t>
  </si>
  <si>
    <t>Puca Puca</t>
  </si>
  <si>
    <t>U.E. Javier Gonzales</t>
  </si>
  <si>
    <t>Comunidad Puca Puca</t>
  </si>
  <si>
    <t>POINT (-65.5045 -17.6144)</t>
  </si>
  <si>
    <t>Incallajta</t>
  </si>
  <si>
    <t>Centro de Atencion Al Turista</t>
  </si>
  <si>
    <t>POINT (-65.4147 -17.6077)</t>
  </si>
  <si>
    <t>Laymiña</t>
  </si>
  <si>
    <t>U.E. Julio Guardia Sandoval de Laimiña</t>
  </si>
  <si>
    <t>Comunidad Laymiña</t>
  </si>
  <si>
    <t>POINT (-65.3683 -17.6514)</t>
  </si>
  <si>
    <t>Chiuchi Arriba</t>
  </si>
  <si>
    <t>U.E. Pedro Domingo Murillo</t>
  </si>
  <si>
    <t>POINT (-65.330244 -17.613214)</t>
  </si>
  <si>
    <t>Sombrerito</t>
  </si>
  <si>
    <t>Sede Social Sombrerito</t>
  </si>
  <si>
    <t>Sindicato Agrarario Sombrerito - Carretera Troncal Cochabamba Mizque</t>
  </si>
  <si>
    <t>POINT (-65.49167 -17.761886)</t>
  </si>
  <si>
    <t>Chaupi Rancho</t>
  </si>
  <si>
    <t>U.E. 2  de Agosto</t>
  </si>
  <si>
    <t>POINT (-65.38481 -17.576648)</t>
  </si>
  <si>
    <t>Chimoré</t>
  </si>
  <si>
    <t>Escuela Gerónimo Uzeda Fe y Alegria</t>
  </si>
  <si>
    <t>Zona 4552</t>
  </si>
  <si>
    <t>Chimore</t>
  </si>
  <si>
    <t>POINT (-65.1549 -16.9937)</t>
  </si>
  <si>
    <t>U. E. Ernesto Che Guevara</t>
  </si>
  <si>
    <t>Av. Senda II final, zona Senda II</t>
  </si>
  <si>
    <t>POINT (-65.157556 -16.996686)</t>
  </si>
  <si>
    <t>POINT (-65.156099 -16.988859)</t>
  </si>
  <si>
    <t>Entre Rios (Tacuaral)</t>
  </si>
  <si>
    <t>Nucleo Educativo Entre Rios Tacuaral</t>
  </si>
  <si>
    <t>Zona 4550</t>
  </si>
  <si>
    <t>POINT (-65.2078 -17.0809)</t>
  </si>
  <si>
    <t>Puerto Aurora</t>
  </si>
  <si>
    <t>Nucleo Escolar Puerto Aurora</t>
  </si>
  <si>
    <t>Zona 4556</t>
  </si>
  <si>
    <t>POINT (-65.1863 -16.848)</t>
  </si>
  <si>
    <t>Cesar Zama (Chimore)</t>
  </si>
  <si>
    <t>Unidad Educativa Cesar Zama (Chimore)</t>
  </si>
  <si>
    <t>Zona 4559</t>
  </si>
  <si>
    <t>Cezer Zama(Chimore)</t>
  </si>
  <si>
    <t>POINT (-65.077919 -16.996276)</t>
  </si>
  <si>
    <t>La Misión</t>
  </si>
  <si>
    <t>Escuela La Mision</t>
  </si>
  <si>
    <t>Zona 4558</t>
  </si>
  <si>
    <t>POINT (-65.1484 -16.7141)</t>
  </si>
  <si>
    <t>Trinidadcito</t>
  </si>
  <si>
    <t>Unidad Educativa Trinidadcito</t>
  </si>
  <si>
    <t>POINT (-64.94 -16.45)</t>
  </si>
  <si>
    <t>Unidad Educativa El Carmen</t>
  </si>
  <si>
    <t>POINT (-64.9053 -16.1704)</t>
  </si>
  <si>
    <t>Santa Anita</t>
  </si>
  <si>
    <t>Unidad Educativa Santa Anita</t>
  </si>
  <si>
    <t>POINT (-64.827 -16.1162)</t>
  </si>
  <si>
    <t>Puerto Las Flores</t>
  </si>
  <si>
    <t>Unidad Educativa Puerto las Flores</t>
  </si>
  <si>
    <t>POINT (-64.682 -16.4062)</t>
  </si>
  <si>
    <t>Santa Isabel</t>
  </si>
  <si>
    <t>Unidad Educativa Santa Isabel</t>
  </si>
  <si>
    <t>POINT (-64.7296 -16.5037)</t>
  </si>
  <si>
    <t>San Andres</t>
  </si>
  <si>
    <t>Unidad Educativa San Andrés</t>
  </si>
  <si>
    <t>Zona 4549</t>
  </si>
  <si>
    <t>POINT (-65.1036 -17.0901)</t>
  </si>
  <si>
    <t>Tres Islas</t>
  </si>
  <si>
    <t>Unidad Educativa Tres Islas</t>
  </si>
  <si>
    <t>POINT (-64.915751 -16.690168)</t>
  </si>
  <si>
    <t>Urupa</t>
  </si>
  <si>
    <t>U.E. 10 de Mayo</t>
  </si>
  <si>
    <t>POINT (-64.9783 -16.7573)</t>
  </si>
  <si>
    <t>Senda  F  27 de Mayo</t>
  </si>
  <si>
    <t>U.E. Bolivia</t>
  </si>
  <si>
    <t>Zona 4555</t>
  </si>
  <si>
    <t>Al norte de Chimoré, Sindicato Senda "F" 27 de Mayo</t>
  </si>
  <si>
    <t>POINT (-65.131844 -16.874859)</t>
  </si>
  <si>
    <t>Senda  3</t>
  </si>
  <si>
    <t>U.E. Senda III</t>
  </si>
  <si>
    <t>Comunidad Senda "3"</t>
  </si>
  <si>
    <t>POINT (-65.182588 -16.994297)</t>
  </si>
  <si>
    <t>Puerto Cochabamba</t>
  </si>
  <si>
    <t>U.E. Puerto Cochabamba</t>
  </si>
  <si>
    <t>POINT (-65.136088 -16.79924)</t>
  </si>
  <si>
    <t>Pachinu</t>
  </si>
  <si>
    <t>Sede Comunal Pachinu</t>
  </si>
  <si>
    <t>Ubicado al noreste del municipio de Chimore en la Comunidad Indigena Yuqui Pachinu</t>
  </si>
  <si>
    <t>POINT (-64.930064 -16.768043)</t>
  </si>
  <si>
    <t>C. Campesina  Colonia Estaño Palmito Sector Palmito</t>
  </si>
  <si>
    <t>U. E. Dionisio Morales</t>
  </si>
  <si>
    <t>Localidad Estaño Palmito, Carretera troncal a las Comunidades Indígenas Yuracare - Urupa y Yuqui- Biareyua</t>
  </si>
  <si>
    <t>POINT (-65.0195 -16.788978)</t>
  </si>
  <si>
    <t>Sindicato Senda  B  Nueva Canaán</t>
  </si>
  <si>
    <t>U. E. Nueva Canaán</t>
  </si>
  <si>
    <t>Localidad Senda B, se encuentra en pleno cruce Av. Abecedario pasando el Aeropuerto Soberanía de Chinore</t>
  </si>
  <si>
    <t>POINT (-65.14475 -16.95709)</t>
  </si>
  <si>
    <t>Soltera</t>
  </si>
  <si>
    <t>U. E. 23 de Marzo</t>
  </si>
  <si>
    <t>La Comunidad Indígena Yuracare “Soltera”, se encuentra ubicado al Norte del Municipio de Chimore cerca a la empresa bananera  “Chapare Exporta”</t>
  </si>
  <si>
    <t>POINT (-64.8872 -16.723948)</t>
  </si>
  <si>
    <t>Puerto Villarroel</t>
  </si>
  <si>
    <t>Colegio Eduardo Avaroa (P.Villarroel)</t>
  </si>
  <si>
    <t>Zona 4579</t>
  </si>
  <si>
    <t>POINT (-64.7949 -16.8392)</t>
  </si>
  <si>
    <t>Ivirgarzama</t>
  </si>
  <si>
    <t>Unidad Educativa San Francisco De Asis</t>
  </si>
  <si>
    <t>Zona 4569</t>
  </si>
  <si>
    <t>POINT (-64.8571 -17.0317)</t>
  </si>
  <si>
    <t>Avenida del Valle y Avenida Santa Cruz</t>
  </si>
  <si>
    <t>POINT (-64.8553 -17.0472)</t>
  </si>
  <si>
    <t>U. E. San Antonio de Padua</t>
  </si>
  <si>
    <t>Calle Sebastián Alfaro entre la calle Oruro y entrada a Colonia Santa Fe</t>
  </si>
  <si>
    <t>POINT (-64.857891 -17.031818)</t>
  </si>
  <si>
    <t>U.E. Eben Ezer A</t>
  </si>
  <si>
    <t>POINT (-64.857853 -17.030289)</t>
  </si>
  <si>
    <t>U. E. Bello Horizonte</t>
  </si>
  <si>
    <t>Calle Félix Acosta a 1 Km. del Cruce Vueltadero</t>
  </si>
  <si>
    <t>POINT (-64.862687 -17.056751)</t>
  </si>
  <si>
    <t>Libertad</t>
  </si>
  <si>
    <t>Colegio Libertad</t>
  </si>
  <si>
    <t>POINT (-64.8454 -17.0736)</t>
  </si>
  <si>
    <t>Valle Ivirza</t>
  </si>
  <si>
    <t>Escuela Buenas Nuevas (Valle Ivirza)</t>
  </si>
  <si>
    <t>Zona 4561</t>
  </si>
  <si>
    <t>POINT (-64.9179 -17.1166)</t>
  </si>
  <si>
    <t>Valle de Sacta</t>
  </si>
  <si>
    <t>Colegio Juan Pablo II (Sacta)</t>
  </si>
  <si>
    <t>Zona 4567</t>
  </si>
  <si>
    <t>POINT (-64.769 -17.1197)</t>
  </si>
  <si>
    <t>Valle Hermoso</t>
  </si>
  <si>
    <t>Escuela Toribio Claure (V. Hermoso)</t>
  </si>
  <si>
    <t>Zona 4564</t>
  </si>
  <si>
    <t>POINT (-64.9666 -17.1561)</t>
  </si>
  <si>
    <t>Villa Nueva</t>
  </si>
  <si>
    <t>Escuela Central Villa Nueva</t>
  </si>
  <si>
    <t>Zona 4560</t>
  </si>
  <si>
    <t>POINT (-65.0024 -17.1142)</t>
  </si>
  <si>
    <t>Mariposas</t>
  </si>
  <si>
    <t>Colegio Marcelo Quiroga Santa Cruz</t>
  </si>
  <si>
    <t>Zona 4578</t>
  </si>
  <si>
    <t>POINT (-65.041 -17.0115)</t>
  </si>
  <si>
    <t>Ayopaya (Pto. Villarroel)</t>
  </si>
  <si>
    <t>Escuela Ayopaya (P.Villaroel)</t>
  </si>
  <si>
    <t>Zona 4576</t>
  </si>
  <si>
    <t>POINT (-64.9993 -16.9075)</t>
  </si>
  <si>
    <t>Cesar Zama (Pto. Villarroel)</t>
  </si>
  <si>
    <t>Centro Polifuncional Cesarzama</t>
  </si>
  <si>
    <t>Comunidad Cesar Zama, Barrio 24 de mayo</t>
  </si>
  <si>
    <t>POINT (-65.074719 -16.99835)</t>
  </si>
  <si>
    <t>Senda 6</t>
  </si>
  <si>
    <t>Escuela Senda 6</t>
  </si>
  <si>
    <t>Zona 4570</t>
  </si>
  <si>
    <t>Senda Vi</t>
  </si>
  <si>
    <t>POINT (-64.9509 -17.0184)</t>
  </si>
  <si>
    <t>Valle Tunari</t>
  </si>
  <si>
    <t>Unidad Educativa Valle Tunari</t>
  </si>
  <si>
    <t>Zona 4577</t>
  </si>
  <si>
    <t>POINT (-64.6978 -17.2601)</t>
  </si>
  <si>
    <t>2 de Marzo</t>
  </si>
  <si>
    <t>Unidad Educativa 2 de Marzo</t>
  </si>
  <si>
    <t>POINT (-64.9221 -17.2181)</t>
  </si>
  <si>
    <t>Comunidad Indígena Yuqui Biarecuate</t>
  </si>
  <si>
    <t>Unidad Educativa Biarecuaté</t>
  </si>
  <si>
    <t>POINT (-64.9432 -16.7852)</t>
  </si>
  <si>
    <t>Israel</t>
  </si>
  <si>
    <t>Unidad Educativa Israel</t>
  </si>
  <si>
    <t>Zona 4563</t>
  </si>
  <si>
    <t>POINT (-64.8396 -17.2219)</t>
  </si>
  <si>
    <t>Santa Fe</t>
  </si>
  <si>
    <t>U.E. Santa Fe  A</t>
  </si>
  <si>
    <t>Colonia Santa Fe al Sud de Ivirgarzama</t>
  </si>
  <si>
    <t>POINT (-64.87078 -17.173285)</t>
  </si>
  <si>
    <t>Tamborada A 3</t>
  </si>
  <si>
    <t>U.E. Villa Tamborada</t>
  </si>
  <si>
    <t>OTB Sindicato Tamborada A-3 al Sud Este de Valle de Sacta</t>
  </si>
  <si>
    <t>POINT (-64.747969 -17.220492)</t>
  </si>
  <si>
    <t>Entre Ríos</t>
  </si>
  <si>
    <t>Rio Blanco</t>
  </si>
  <si>
    <t>Unidad Educativa Rio Blanco</t>
  </si>
  <si>
    <t>Zona 4581</t>
  </si>
  <si>
    <t>POINT (-64.4556 -17.2255)</t>
  </si>
  <si>
    <t>Bulo Bulo</t>
  </si>
  <si>
    <t>U.E. San Marcos</t>
  </si>
  <si>
    <t>Zona 4580</t>
  </si>
  <si>
    <t>Comunidad Bulo Bulo, a 8 cuadras d ela plaza principal de Bulo Bulo</t>
  </si>
  <si>
    <t>POINT (-64.357911 -17.259779)</t>
  </si>
  <si>
    <t>U. E. Elizardo Pérez</t>
  </si>
  <si>
    <t>Bulo Bulo, Barrio Villa Florida</t>
  </si>
  <si>
    <t>POINT (-64.36676 -17.253727)</t>
  </si>
  <si>
    <t>Isarzama</t>
  </si>
  <si>
    <t>Escuela Eduardo Avaroa (Isarzama)</t>
  </si>
  <si>
    <t>Zona 4584</t>
  </si>
  <si>
    <t>Izarzama</t>
  </si>
  <si>
    <t>POINT (-64.6812 -17.1393)</t>
  </si>
  <si>
    <t>Entre Rios</t>
  </si>
  <si>
    <t>Zona 4582</t>
  </si>
  <si>
    <t>POINT (-64.5357 -17.1993)</t>
  </si>
  <si>
    <t>U. E. José Carrasco (Manco Kapac)</t>
  </si>
  <si>
    <t>Zona 4583</t>
  </si>
  <si>
    <t>Manco Kapac</t>
  </si>
  <si>
    <t>POINT (-64.5622 -17.1853)</t>
  </si>
  <si>
    <t>U.E. Nacional Ayacucho</t>
  </si>
  <si>
    <t>POINT (-64.5423 -17.2004)</t>
  </si>
  <si>
    <t>U. E. Mariscal Sucre</t>
  </si>
  <si>
    <t>Entre Rios - Barrio Nuevo</t>
  </si>
  <si>
    <t>POINT (-64.53529 -17.205258)</t>
  </si>
  <si>
    <t>14 De Septiembre</t>
  </si>
  <si>
    <t>U.E. Esteban Arce</t>
  </si>
  <si>
    <t>Zona 4585</t>
  </si>
  <si>
    <t>14 de Septiembre</t>
  </si>
  <si>
    <t>POINT (-64.6189 -17.2674)</t>
  </si>
  <si>
    <t>Urbanización Chancadora</t>
  </si>
  <si>
    <t>U.E. Chancadora</t>
  </si>
  <si>
    <t>Urbanizacion Chancadora</t>
  </si>
  <si>
    <t>POINT (-64.6578 -17.1882)</t>
  </si>
  <si>
    <t>Gualberto Villarroel</t>
  </si>
  <si>
    <t>U.E. Gualberto Villarroel</t>
  </si>
  <si>
    <t>Carretera Cochabamba a Santa Cruz</t>
  </si>
  <si>
    <t>POINT (-64.602033 -17.17387)</t>
  </si>
  <si>
    <t>U.E. Max Fernández</t>
  </si>
  <si>
    <t>Bella Vista lado sud de la carretera</t>
  </si>
  <si>
    <t>POINT (-64.582809 -17.181177)</t>
  </si>
  <si>
    <t>Mizque</t>
  </si>
  <si>
    <t>Colegio Pedro Ignacio Rivero</t>
  </si>
  <si>
    <t>Zona 4590</t>
  </si>
  <si>
    <t>POINT (-65.3458 -17.9398)</t>
  </si>
  <si>
    <t>U.E. 14 de Septiembre</t>
  </si>
  <si>
    <t>Barrio Molle Aguada, Barrio Santo Domingo, Calle Junín a una cuadra de la Plaza Colón</t>
  </si>
  <si>
    <t>POINT (-65.345893 -17.939179)</t>
  </si>
  <si>
    <t>Tipa Tipa</t>
  </si>
  <si>
    <t>Sede Social De Tipa Tipa</t>
  </si>
  <si>
    <t>Zona 4591</t>
  </si>
  <si>
    <t>POINT (-65.2688 -18.0992)</t>
  </si>
  <si>
    <t>Mina Asientos</t>
  </si>
  <si>
    <t>Escuela Mixta Dr. Martin Cardenas</t>
  </si>
  <si>
    <t>Zona 4589</t>
  </si>
  <si>
    <t>POINT (-65.5429 -18.2217)</t>
  </si>
  <si>
    <t>Tujma Baja</t>
  </si>
  <si>
    <t>Escuela Guillermo Viscarra</t>
  </si>
  <si>
    <t>Zona 4592</t>
  </si>
  <si>
    <t>POINT (-65.3098 -17.9103)</t>
  </si>
  <si>
    <t>Tin Tin</t>
  </si>
  <si>
    <t>Unidad Educativa Tin Tin</t>
  </si>
  <si>
    <t>Zona 4588</t>
  </si>
  <si>
    <t>POINT (-65.4539 -18.0312)</t>
  </si>
  <si>
    <t>San Vicente</t>
  </si>
  <si>
    <t>Nucleo José Claure (U. E. San Vicente)</t>
  </si>
  <si>
    <t>POINT (-65.5389 -18.1652)</t>
  </si>
  <si>
    <t>Aguada</t>
  </si>
  <si>
    <t>Escuela Aguada</t>
  </si>
  <si>
    <t>POINT (-65.3069 -18.0027)</t>
  </si>
  <si>
    <t>Cauta</t>
  </si>
  <si>
    <t>Unidad Educativa Cauta</t>
  </si>
  <si>
    <t>Zona 4586</t>
  </si>
  <si>
    <t>POINT (-65.4382 -18.0904)</t>
  </si>
  <si>
    <t>Kuri</t>
  </si>
  <si>
    <t>U.E. 10 de Septiembre</t>
  </si>
  <si>
    <t>Comunidad Kuri Alto, Carretera Cochabamba a Mizque</t>
  </si>
  <si>
    <t>POINT (-65.461325 -17.830334)</t>
  </si>
  <si>
    <t>Thago Thago</t>
  </si>
  <si>
    <t>Unidad Educativa Thago Thago</t>
  </si>
  <si>
    <t>POINT (-65.3672 -17.9808)</t>
  </si>
  <si>
    <t>Uchhama Alta</t>
  </si>
  <si>
    <t>Unidad Educativa Uchhama Alta</t>
  </si>
  <si>
    <t>Sindicato Uchhama Alta</t>
  </si>
  <si>
    <t>POINT (-65.5037 -17.9533)</t>
  </si>
  <si>
    <t>Chahuarani Chico</t>
  </si>
  <si>
    <t>Sede Sindical De Chahuarani Chico</t>
  </si>
  <si>
    <t>En la Sede de Chahuarani Chico</t>
  </si>
  <si>
    <t>POINT (-65.5235 -18.0599)</t>
  </si>
  <si>
    <t>Vila Vila</t>
  </si>
  <si>
    <t>Escuela Humberto Nogales</t>
  </si>
  <si>
    <t>Zona 4595</t>
  </si>
  <si>
    <t>POINT (-65.6284 -17.9863)</t>
  </si>
  <si>
    <t>Siquimira</t>
  </si>
  <si>
    <t>Nucleo Escolar Siquimira</t>
  </si>
  <si>
    <t>Zona 4594</t>
  </si>
  <si>
    <t>POINT (-65.7336 -18.0184)</t>
  </si>
  <si>
    <t>Sivingani</t>
  </si>
  <si>
    <t>Nucleo Escolar Sivingani</t>
  </si>
  <si>
    <t>POINT (-65.6872 -17.9151)</t>
  </si>
  <si>
    <t>20 de Mayo</t>
  </si>
  <si>
    <t>Unidad Educativa Pocotaica</t>
  </si>
  <si>
    <t>Comunidad Potocaita - 20 de Mayo</t>
  </si>
  <si>
    <t>POINT (-65.7867 -17.9313)</t>
  </si>
  <si>
    <t>Alalay</t>
  </si>
  <si>
    <t>U. E. Abraham Flores Velasquez</t>
  </si>
  <si>
    <t>Zona 4596</t>
  </si>
  <si>
    <t>POINT (-65.6918 -17.7207)</t>
  </si>
  <si>
    <t>Yana Khakha</t>
  </si>
  <si>
    <t>Unidad Educativa Yana Khakha</t>
  </si>
  <si>
    <t>POINT (-65.6088 -17.8554)</t>
  </si>
  <si>
    <t>Ayapampa</t>
  </si>
  <si>
    <t>Escuela Dr. Demetrio Canelas</t>
  </si>
  <si>
    <t>POINT (-65.6088 -17.7665)</t>
  </si>
  <si>
    <t>Quturi</t>
  </si>
  <si>
    <t>Unidad Educativa Quturi</t>
  </si>
  <si>
    <t>POINT (-65.5357 -17.7631)</t>
  </si>
  <si>
    <t>TIOC Raqaypampa</t>
  </si>
  <si>
    <t>Molinero</t>
  </si>
  <si>
    <t>Unidad Educativa Molinero</t>
  </si>
  <si>
    <t>Zona 4600</t>
  </si>
  <si>
    <t>POINT (-65.3881 -18.2621)</t>
  </si>
  <si>
    <t>Laguna Grande</t>
  </si>
  <si>
    <t>Nucleo Escolar Laguna Grande</t>
  </si>
  <si>
    <t>POINT (-65.3749 -18.3018)</t>
  </si>
  <si>
    <t>Raqay Pampa</t>
  </si>
  <si>
    <t>Nucleo Escolar Beta Raqay Pampa</t>
  </si>
  <si>
    <t>POINT (-65.3826 -18.1912)</t>
  </si>
  <si>
    <t>Salvia</t>
  </si>
  <si>
    <t>Nucleo Centro Salvia</t>
  </si>
  <si>
    <t>POINT (-65.3353 -18.1497)</t>
  </si>
  <si>
    <t>Santiago</t>
  </si>
  <si>
    <t>POINT (-65.3252 -18.2038)</t>
  </si>
  <si>
    <t>Punata</t>
  </si>
  <si>
    <t>Escuela Adela Zamudio</t>
  </si>
  <si>
    <t>Zona 4601</t>
  </si>
  <si>
    <t>Calee Antofagasta</t>
  </si>
  <si>
    <t>POINT (-65.8355 -17.5425)</t>
  </si>
  <si>
    <t>Escuela Andres Maria Torrico</t>
  </si>
  <si>
    <t>Calle Espectador Rivas</t>
  </si>
  <si>
    <t>POINT (-65.8344 -17.5441)</t>
  </si>
  <si>
    <t>U. E. Manuel A. Villarroel (Ex Bolivar)</t>
  </si>
  <si>
    <t>Av. Hinojosa</t>
  </si>
  <si>
    <t>POINT (-65.8346 -17.5443)</t>
  </si>
  <si>
    <t>U. E. Ruben Ferrufino (Camacho Rancho)</t>
  </si>
  <si>
    <t>Camacho Rancho</t>
  </si>
  <si>
    <t>POINT (-65.8418 -17.5643)</t>
  </si>
  <si>
    <t>Unidad Educativa Tajamar</t>
  </si>
  <si>
    <t>Zona 4602</t>
  </si>
  <si>
    <t>Centro de Salud Tajamar</t>
  </si>
  <si>
    <t>POINT (-65.8743 -17.5614)</t>
  </si>
  <si>
    <t>Unidad Educativa Mayor Rocha (Yacanahuyo</t>
  </si>
  <si>
    <t>Mayor Rocha</t>
  </si>
  <si>
    <t>POINT (-65.8471 -17.5517)</t>
  </si>
  <si>
    <t>Sede Sindical Thaco</t>
  </si>
  <si>
    <t>Thago</t>
  </si>
  <si>
    <t>POINT (-65.8209 -17.5531)</t>
  </si>
  <si>
    <t>Liceo Josefa M. Gandarillas (Ex Sucre)</t>
  </si>
  <si>
    <t>Calle Aroma</t>
  </si>
  <si>
    <t>POINT (-65.8379 -17.5479)</t>
  </si>
  <si>
    <t>Unidad Educativa Tambillo Chico</t>
  </si>
  <si>
    <t>POINT (-65.8311 -17.5658)</t>
  </si>
  <si>
    <t>U. E. 18 de Mayo</t>
  </si>
  <si>
    <t>Av. Dr. Andres Maria Torrico entre C. Expectador Rivas y C. Antofagasta</t>
  </si>
  <si>
    <t>POINT (-65.8354 -17.543317)</t>
  </si>
  <si>
    <t>U. E. Libertador Simón Bolívar</t>
  </si>
  <si>
    <t>C. Calama esq. C. Espectador Rivas</t>
  </si>
  <si>
    <t>POINT (-65.83471 -17.544358)</t>
  </si>
  <si>
    <t>La Villa</t>
  </si>
  <si>
    <t>U. E. Rene Barrientos O.   La Villa</t>
  </si>
  <si>
    <t>POINT (-65.8072 -17.5096)</t>
  </si>
  <si>
    <t>Unidad Educativa Molle Huma</t>
  </si>
  <si>
    <t>POINT (-65.8113 -17.5216)</t>
  </si>
  <si>
    <t>Villa Rivero</t>
  </si>
  <si>
    <t>Escuela Gualberto Villarroel (V. Rivero)</t>
  </si>
  <si>
    <t>Zona 4603</t>
  </si>
  <si>
    <t>POINT (-65.817 -17.6148)</t>
  </si>
  <si>
    <t>Aramasi</t>
  </si>
  <si>
    <t>Col. Tec. Ind. Comunitario Marcelo Quiroga</t>
  </si>
  <si>
    <t>Zona 4604</t>
  </si>
  <si>
    <t>POINT (-65.8789 -17.605)</t>
  </si>
  <si>
    <t>Unidad Educativa Martín Cárdenas Hermoso</t>
  </si>
  <si>
    <t>POINT (-65.8646 -17.6257)</t>
  </si>
  <si>
    <t>Villa Quintín Mendoza (San Benito)</t>
  </si>
  <si>
    <t>U. E. 27 de Mayo (Ex Jose B. Pereira)</t>
  </si>
  <si>
    <t>Zona 4607</t>
  </si>
  <si>
    <t>POINT (-65.8971 -17.5232)</t>
  </si>
  <si>
    <t>U. E. José Braulio Pereira</t>
  </si>
  <si>
    <t>C. Eliodoro Camacho esq. C. Eufronio Viscarra</t>
  </si>
  <si>
    <t>POINT (-65.89397 -17.522334)</t>
  </si>
  <si>
    <t>Huaricaya</t>
  </si>
  <si>
    <t>Colegio Simon Bolivar (Huaricaya)</t>
  </si>
  <si>
    <t>Zona 4606</t>
  </si>
  <si>
    <t>POINT (-65.9228 -17.5258)</t>
  </si>
  <si>
    <t>Sunchu Pampa</t>
  </si>
  <si>
    <t>Unidad Educativa Sunchu Pampa</t>
  </si>
  <si>
    <t>Zona 4605</t>
  </si>
  <si>
    <t>POINT (-65.9196 -17.5587)</t>
  </si>
  <si>
    <t>Paracaya</t>
  </si>
  <si>
    <t>Escuela Experimental Paracaya</t>
  </si>
  <si>
    <t>Zona 4608</t>
  </si>
  <si>
    <t>POINT (-65.857 -17.5135)</t>
  </si>
  <si>
    <t>Unidad Educativa Wañakahua</t>
  </si>
  <si>
    <t>POINT (-65.8343 -17.5141)</t>
  </si>
  <si>
    <t>Tolata Chico</t>
  </si>
  <si>
    <t>U.E. Tolata Chico</t>
  </si>
  <si>
    <t>Carretera Antigua Cochabamba-Santa Cruz, Km 35, Comunidad de Tolata Chico</t>
  </si>
  <si>
    <t>POINT (-65.941041 -17.532756)</t>
  </si>
  <si>
    <t>Tacachi</t>
  </si>
  <si>
    <t>Unidad Educativa Tacachi</t>
  </si>
  <si>
    <t>Zona 4609</t>
  </si>
  <si>
    <t>POINT (-65.8031 -17.6395)</t>
  </si>
  <si>
    <t>Villa Gualberto Villarroel</t>
  </si>
  <si>
    <t>Villa Gualberto Villarroel (Cuchumuela)</t>
  </si>
  <si>
    <t>Escuela Cuchu Muela</t>
  </si>
  <si>
    <t>Zona 4612</t>
  </si>
  <si>
    <t>POINT (-65.7949 -17.652)</t>
  </si>
  <si>
    <t>Yana Rumi</t>
  </si>
  <si>
    <t>Nucleo Escolar Yana Rumi</t>
  </si>
  <si>
    <t>Zona 4610</t>
  </si>
  <si>
    <t>POINT (-65.7485 -17.7019)</t>
  </si>
  <si>
    <t>Zona 4615</t>
  </si>
  <si>
    <t>POINT (-66.5379 -17.968)</t>
  </si>
  <si>
    <t>Comuna</t>
  </si>
  <si>
    <t>U.E. San Juan de La Comuna</t>
  </si>
  <si>
    <t>Zona 4621</t>
  </si>
  <si>
    <t>POINT (-66.478479 -17.906116)</t>
  </si>
  <si>
    <t>Challoma</t>
  </si>
  <si>
    <t>U.E. Challoma</t>
  </si>
  <si>
    <t>Zona 4622</t>
  </si>
  <si>
    <t>POINT (-66.5458 -17.8999)</t>
  </si>
  <si>
    <t>Vilacayma</t>
  </si>
  <si>
    <t>Escuela Vilacayma</t>
  </si>
  <si>
    <t>Zona 4616</t>
  </si>
  <si>
    <t>POINT (-66.5761 -17.9696)</t>
  </si>
  <si>
    <t>Coyuma</t>
  </si>
  <si>
    <t>Escuela Coyuma</t>
  </si>
  <si>
    <t>Zona 4617</t>
  </si>
  <si>
    <t>POINT (-66.7405 -18.0853)</t>
  </si>
  <si>
    <t>U.E. Mejillones de Villa Victoria</t>
  </si>
  <si>
    <t>Zona 4613</t>
  </si>
  <si>
    <t>POINT (-66.6871 -18.0841)</t>
  </si>
  <si>
    <t>Carpani</t>
  </si>
  <si>
    <t>U.E. Carpani</t>
  </si>
  <si>
    <t>Zona 4619</t>
  </si>
  <si>
    <t>POINT (-66.6145 -17.9336)</t>
  </si>
  <si>
    <t>Yarvicoya</t>
  </si>
  <si>
    <t>U.E. Yarvicoya</t>
  </si>
  <si>
    <t>Zona 4614</t>
  </si>
  <si>
    <t>POINT (-66.5168 -18.013)</t>
  </si>
  <si>
    <t>Tangaleque</t>
  </si>
  <si>
    <t>U.E. Tangaleque</t>
  </si>
  <si>
    <t>Zona 4620</t>
  </si>
  <si>
    <t>POINT (-66.5484 -18.0226)</t>
  </si>
  <si>
    <t>Vilapampa</t>
  </si>
  <si>
    <t>U.E. Vilapampa</t>
  </si>
  <si>
    <t>POINT (-66.696073 -18.048823)</t>
  </si>
  <si>
    <t>Jorenko Villa Verde</t>
  </si>
  <si>
    <t>Escuela Jorenko Villa Verde</t>
  </si>
  <si>
    <t>Zona 4618</t>
  </si>
  <si>
    <t>Jorenko-Villa Verde</t>
  </si>
  <si>
    <t>POINT (-66.6675 -17.9849)</t>
  </si>
  <si>
    <t>Tiraque</t>
  </si>
  <si>
    <t>Colegio Juan Jose Carrasco</t>
  </si>
  <si>
    <t>Zona 4624</t>
  </si>
  <si>
    <t>POINT (-65.7215 -17.4239)</t>
  </si>
  <si>
    <t>U. E. Isabel Torrico Arnez</t>
  </si>
  <si>
    <t>Calle Bolivar</t>
  </si>
  <si>
    <t>POINT (-65.72481 -17.42454)</t>
  </si>
  <si>
    <t>Koari</t>
  </si>
  <si>
    <t>Escuela Koari (Nucleo Esc. S. Bolivar)</t>
  </si>
  <si>
    <t>Zona 4626</t>
  </si>
  <si>
    <t>POINT (-65.5763 -17.4792)</t>
  </si>
  <si>
    <t>Sacabambilla</t>
  </si>
  <si>
    <t>Escuela Seccional Sacabambilla</t>
  </si>
  <si>
    <t>Zona 4625</t>
  </si>
  <si>
    <t>POINT (-65.7649 -17.4787)</t>
  </si>
  <si>
    <t>Palca  T</t>
  </si>
  <si>
    <t>Unidad Educativa Palca T</t>
  </si>
  <si>
    <t>Palca T</t>
  </si>
  <si>
    <t>POINT (-65.779 -17.4107)</t>
  </si>
  <si>
    <t>Iluri Grande</t>
  </si>
  <si>
    <t>Nucleo Escolar Iluri Grande</t>
  </si>
  <si>
    <t>POINT (-65.8259 -17.3967)</t>
  </si>
  <si>
    <t>Pairumani</t>
  </si>
  <si>
    <t>Escuela Seccional Pairumani</t>
  </si>
  <si>
    <t>POINT (-65.4874 -17.4773)</t>
  </si>
  <si>
    <t>Escuela Cotani Bajo</t>
  </si>
  <si>
    <t>POINT (-65.7866 -17.381)</t>
  </si>
  <si>
    <t>Miska Mayu</t>
  </si>
  <si>
    <t>U.E. 4 de Agosto</t>
  </si>
  <si>
    <t>POINT (-65.465 -17.5426)</t>
  </si>
  <si>
    <t>Rodeo Bajo</t>
  </si>
  <si>
    <t>Unidad Educativa Rodeo</t>
  </si>
  <si>
    <t>En la Comunidad Rodeo Bajo</t>
  </si>
  <si>
    <t>POINT (-65.7618 -17.3928)</t>
  </si>
  <si>
    <t>Boqueron K`asa</t>
  </si>
  <si>
    <t>U.E. Boqueron K`Asa</t>
  </si>
  <si>
    <t>Central Boqueron</t>
  </si>
  <si>
    <t>POINT (-65.6173 -17.4957)</t>
  </si>
  <si>
    <t>Toralapa Alta</t>
  </si>
  <si>
    <t>U. E. Luis Espinal Camps</t>
  </si>
  <si>
    <t>POINT (-65.704214 -17.472702)</t>
  </si>
  <si>
    <t>Shinahota</t>
  </si>
  <si>
    <t>U.E. German Busch A</t>
  </si>
  <si>
    <t>Zona 4627</t>
  </si>
  <si>
    <t>POINT (-65.2477 -16.9952)</t>
  </si>
  <si>
    <t>U.E. Mcal.Sucre</t>
  </si>
  <si>
    <t>POINT (-65.255285 -16.995779)</t>
  </si>
  <si>
    <t>U. E. Evo Morales Ayma</t>
  </si>
  <si>
    <t>OTB Palmeras, calle innominada, carretera a Villa Victoria</t>
  </si>
  <si>
    <t>POINT (-65.246566 -16.988214)</t>
  </si>
  <si>
    <t>U. E. German Busch B</t>
  </si>
  <si>
    <t>Shinahota - OTB Campo Ferial</t>
  </si>
  <si>
    <t>POINT (-65.24119 -16.994887)</t>
  </si>
  <si>
    <t>Ibuelo</t>
  </si>
  <si>
    <t>U.E. Ibuelo</t>
  </si>
  <si>
    <t>Zona 4629</t>
  </si>
  <si>
    <t>POINT (-65.339625 -16.969733)</t>
  </si>
  <si>
    <t>Santa Rosa  Ñ</t>
  </si>
  <si>
    <t>U. E. Marcelo Quiroga Santa Cruz</t>
  </si>
  <si>
    <t>Zona 4632</t>
  </si>
  <si>
    <t>Santa Rosa Ñ</t>
  </si>
  <si>
    <t>POINT (-65.2233 -17.0787)</t>
  </si>
  <si>
    <t>Ivirizu Vandiola</t>
  </si>
  <si>
    <t>U.E. Ivirizu</t>
  </si>
  <si>
    <t>Zona 4637</t>
  </si>
  <si>
    <t>POINT (-65.4613 -17.0594)</t>
  </si>
  <si>
    <t>San Isidro(Shinahota)</t>
  </si>
  <si>
    <t>U.E. San Isidro</t>
  </si>
  <si>
    <t>Zona 4635</t>
  </si>
  <si>
    <t>San Isidro, Calle 21 de Septiembre</t>
  </si>
  <si>
    <t>POINT (-65.3202 -16.9991)</t>
  </si>
  <si>
    <t>4 de Abril</t>
  </si>
  <si>
    <t>U.E. 4 de Abril</t>
  </si>
  <si>
    <t>Zona 4634</t>
  </si>
  <si>
    <t>POINT (-65.271129 -17.038186)</t>
  </si>
  <si>
    <t>12 de Agosto</t>
  </si>
  <si>
    <t>U.E. Churo Grande</t>
  </si>
  <si>
    <t>POINT (-65.333443 -17.051899)</t>
  </si>
  <si>
    <t>Majo Pampa</t>
  </si>
  <si>
    <t>U.E. Majo Pampa</t>
  </si>
  <si>
    <t>POINT (-65.3629 -17.0324)</t>
  </si>
  <si>
    <t>Nueva Alianza</t>
  </si>
  <si>
    <t>U.E. Puerto Aroma</t>
  </si>
  <si>
    <t>POINT (-65.1772 -17.129)</t>
  </si>
  <si>
    <t>San Luis</t>
  </si>
  <si>
    <t>U.E. San Luis</t>
  </si>
  <si>
    <t>Zona 4630</t>
  </si>
  <si>
    <t>POINT (-65.2814 -16.9597)</t>
  </si>
  <si>
    <t>Lauca Eñe</t>
  </si>
  <si>
    <t>U.E. Demetrio Canelas</t>
  </si>
  <si>
    <t>POINT (-65.226 -16.9947)</t>
  </si>
  <si>
    <t>Agrigento B</t>
  </si>
  <si>
    <t>U.E. Agrigento B</t>
  </si>
  <si>
    <t>Zona 4636</t>
  </si>
  <si>
    <t>Agrigento B - Camino a Mojo Pampa</t>
  </si>
  <si>
    <t>POINT (-65.410503 -16.992884)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</si>
</sst>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1" applyFont="1" applyBorder="1"/>
    <xf numFmtId="0" fontId="3" fillId="0" borderId="1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lecciones%202025\Recintos%20Cochabamba.xlsx" TargetMode="External"/><Relationship Id="rId1" Type="http://schemas.openxmlformats.org/officeDocument/2006/relationships/externalLinkPath" Target="file:///D:\Elecciones%202025\Recintos%20Cochabam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intos Cochabamba"/>
      <sheetName val="Analisis de Riesgo"/>
    </sheetNames>
    <sheetDataSet>
      <sheetData sheetId="0">
        <row r="1">
          <cell r="A1" t="str">
            <v>FID</v>
          </cell>
          <cell r="B1" t="str">
            <v>Clave</v>
          </cell>
          <cell r="C1" t="str">
            <v>Departamen</v>
          </cell>
          <cell r="D1" t="str">
            <v>Provincia</v>
          </cell>
          <cell r="E1" t="str">
            <v>Municipio</v>
          </cell>
          <cell r="F1" t="str">
            <v>AsientoEle</v>
          </cell>
          <cell r="G1" t="str">
            <v>RecintoEle</v>
          </cell>
          <cell r="H1" t="str">
            <v>Zona</v>
          </cell>
          <cell r="I1" t="str">
            <v>Dirección</v>
          </cell>
          <cell r="J1" t="str">
            <v>Circunscri</v>
          </cell>
          <cell r="K1" t="str">
            <v>TipoCircun</v>
          </cell>
          <cell r="L1" t="str">
            <v>latitud</v>
          </cell>
          <cell r="M1" t="str">
            <v>longitud</v>
          </cell>
          <cell r="N1" t="str">
            <v>UrbanoRura</v>
          </cell>
          <cell r="O1" t="str">
            <v>id</v>
          </cell>
          <cell r="P1" t="str">
            <v>WKT</v>
          </cell>
          <cell r="Q1" t="str">
            <v>Nro Mesas</v>
          </cell>
          <cell r="R1" t="str">
            <v>Reisgo de Fraude</v>
          </cell>
        </row>
        <row r="2">
          <cell r="A2">
            <v>1776</v>
          </cell>
          <cell r="B2" t="str">
            <v>Escuela IV CentenarioCochabamba</v>
          </cell>
          <cell r="C2" t="str">
            <v>Cochabamba</v>
          </cell>
          <cell r="D2" t="str">
            <v>Cercado</v>
          </cell>
          <cell r="E2" t="str">
            <v>Cochabamba</v>
          </cell>
          <cell r="F2" t="str">
            <v>Cochabamba</v>
          </cell>
          <cell r="G2" t="str">
            <v>Escuela IV Centenario</v>
          </cell>
          <cell r="H2" t="str">
            <v>El Carmen</v>
          </cell>
          <cell r="I2" t="str">
            <v>Bario El Carmen Calle 21 de Dic. S/N</v>
          </cell>
          <cell r="J2" t="str">
            <v>20</v>
          </cell>
          <cell r="K2" t="str">
            <v>Uninominal</v>
          </cell>
          <cell r="L2" t="str">
            <v>-17.355</v>
          </cell>
          <cell r="M2" t="str">
            <v>-66.1899</v>
          </cell>
          <cell r="N2" t="str">
            <v>Urbano</v>
          </cell>
          <cell r="O2" t="str">
            <v>1776</v>
          </cell>
          <cell r="P2" t="str">
            <v>POINT (-66.1899 -17.355)</v>
          </cell>
          <cell r="Q2">
            <v>24</v>
          </cell>
          <cell r="R2">
            <v>0.36242942710599108</v>
          </cell>
        </row>
        <row r="3">
          <cell r="A3">
            <v>1777</v>
          </cell>
          <cell r="B3" t="str">
            <v>Escuela Central Taquiña CCochabamba</v>
          </cell>
          <cell r="C3" t="str">
            <v>Cochabamba</v>
          </cell>
          <cell r="D3" t="str">
            <v>Cercado</v>
          </cell>
          <cell r="E3" t="str">
            <v>Cochabamba</v>
          </cell>
          <cell r="F3" t="str">
            <v>Cochabamba</v>
          </cell>
          <cell r="G3" t="str">
            <v>Escuela Central Taquiña C</v>
          </cell>
          <cell r="H3" t="str">
            <v>Sindicato Agrario Taquiña</v>
          </cell>
          <cell r="I3" t="str">
            <v>Avenida La Paz Final Villa Taquiña</v>
          </cell>
          <cell r="J3" t="str">
            <v>20</v>
          </cell>
          <cell r="K3" t="str">
            <v>Uninominal</v>
          </cell>
          <cell r="L3" t="str">
            <v>-17.3427</v>
          </cell>
          <cell r="M3" t="str">
            <v>-66.1786</v>
          </cell>
          <cell r="N3" t="str">
            <v>Urbano</v>
          </cell>
          <cell r="O3" t="str">
            <v>1777</v>
          </cell>
          <cell r="P3" t="str">
            <v>POINT (-66.1786 -17.3427)</v>
          </cell>
          <cell r="Q3">
            <v>35</v>
          </cell>
          <cell r="R3">
            <v>0.49450334793269834</v>
          </cell>
        </row>
        <row r="4">
          <cell r="A4">
            <v>1778</v>
          </cell>
          <cell r="B4" t="str">
            <v>Colegio Marista Nuestra Señora Del PilarCochabamba</v>
          </cell>
          <cell r="C4" t="str">
            <v>Cochabamba</v>
          </cell>
          <cell r="D4" t="str">
            <v>Cercado</v>
          </cell>
          <cell r="E4" t="str">
            <v>Cochabamba</v>
          </cell>
          <cell r="F4" t="str">
            <v>Cochabamba</v>
          </cell>
          <cell r="G4" t="str">
            <v>Colegio Marista Nuestra Señora Del Pilar</v>
          </cell>
          <cell r="H4" t="str">
            <v>Señor de Mayo</v>
          </cell>
          <cell r="I4" t="str">
            <v>Ticti Norte Mayorazgo</v>
          </cell>
          <cell r="J4" t="str">
            <v>20</v>
          </cell>
          <cell r="K4" t="str">
            <v>Uninominal</v>
          </cell>
          <cell r="L4" t="str">
            <v>-17.3547</v>
          </cell>
          <cell r="M4" t="str">
            <v>-66.1675</v>
          </cell>
          <cell r="N4" t="str">
            <v>Urbano</v>
          </cell>
          <cell r="O4" t="str">
            <v>1778</v>
          </cell>
          <cell r="P4" t="str">
            <v>POINT (-66.1675 -17.3547)</v>
          </cell>
          <cell r="Q4">
            <v>26</v>
          </cell>
          <cell r="R4">
            <v>0.39547091680691765</v>
          </cell>
        </row>
        <row r="5">
          <cell r="A5">
            <v>1779</v>
          </cell>
          <cell r="B5" t="str">
            <v>U. E. Raymundo HermanCochabamba</v>
          </cell>
          <cell r="C5" t="str">
            <v>Cochabamba</v>
          </cell>
          <cell r="D5" t="str">
            <v>Cercado</v>
          </cell>
          <cell r="E5" t="str">
            <v>Cochabamba</v>
          </cell>
          <cell r="F5" t="str">
            <v>Cochabamba</v>
          </cell>
          <cell r="G5" t="str">
            <v>U. E. Raymundo Herman</v>
          </cell>
          <cell r="H5" t="str">
            <v>Jacaranda</v>
          </cell>
          <cell r="I5" t="str">
            <v>Calle Modesta Sanjinés y Av. Segunda</v>
          </cell>
          <cell r="J5" t="str">
            <v>20</v>
          </cell>
          <cell r="K5" t="str">
            <v>Uninominal</v>
          </cell>
          <cell r="L5" t="str">
            <v>-17.3624</v>
          </cell>
          <cell r="M5" t="str">
            <v>-66.1893</v>
          </cell>
          <cell r="N5" t="str">
            <v>Urbano</v>
          </cell>
          <cell r="O5" t="str">
            <v>1779</v>
          </cell>
          <cell r="P5" t="str">
            <v>POINT (-66.1893 -17.3624)</v>
          </cell>
          <cell r="Q5">
            <v>22</v>
          </cell>
          <cell r="R5">
            <v>0.31354512557425618</v>
          </cell>
        </row>
        <row r="6">
          <cell r="A6">
            <v>1780</v>
          </cell>
          <cell r="B6" t="str">
            <v>Colegio Hispano BolivianoCochabamba</v>
          </cell>
          <cell r="C6" t="str">
            <v>Cochabamba</v>
          </cell>
          <cell r="D6" t="str">
            <v>Cercado</v>
          </cell>
          <cell r="E6" t="str">
            <v>Cochabamba</v>
          </cell>
          <cell r="F6" t="str">
            <v>Cochabamba</v>
          </cell>
          <cell r="G6" t="str">
            <v>Colegio Hispano Boliviano</v>
          </cell>
          <cell r="H6" t="str">
            <v>Alejo Calatayud</v>
          </cell>
          <cell r="I6" t="str">
            <v>Uruguay y Lanza</v>
          </cell>
          <cell r="J6" t="str">
            <v>21</v>
          </cell>
          <cell r="K6" t="str">
            <v>Uninominal</v>
          </cell>
          <cell r="L6" t="str">
            <v>-17.3977</v>
          </cell>
          <cell r="M6" t="str">
            <v>-66.1518</v>
          </cell>
          <cell r="N6" t="str">
            <v>Urbano</v>
          </cell>
          <cell r="O6" t="str">
            <v>1780</v>
          </cell>
          <cell r="P6" t="str">
            <v>POINT (-66.1518 -17.3977)</v>
          </cell>
          <cell r="Q6">
            <v>14</v>
          </cell>
          <cell r="R6">
            <v>0.26058292161101171</v>
          </cell>
        </row>
        <row r="7">
          <cell r="A7">
            <v>1781</v>
          </cell>
          <cell r="B7" t="str">
            <v>Colegio Nacional Mixto CochabambaCochabamba</v>
          </cell>
          <cell r="C7" t="str">
            <v>Cochabamba</v>
          </cell>
          <cell r="D7" t="str">
            <v>Cercado</v>
          </cell>
          <cell r="E7" t="str">
            <v>Cochabamba</v>
          </cell>
          <cell r="F7" t="str">
            <v>Cochabamba</v>
          </cell>
          <cell r="G7" t="str">
            <v>Colegio Nacional Mixto Cochabamba</v>
          </cell>
          <cell r="H7" t="str">
            <v>B. Petrolero Mayorazgo</v>
          </cell>
          <cell r="I7" t="str">
            <v>Prolongacion Av. Antawara y Manca Paki</v>
          </cell>
          <cell r="J7" t="str">
            <v>20</v>
          </cell>
          <cell r="K7" t="str">
            <v>Uninominal</v>
          </cell>
          <cell r="L7" t="str">
            <v>-17.3638</v>
          </cell>
          <cell r="M7" t="str">
            <v>-66.1764</v>
          </cell>
          <cell r="N7" t="str">
            <v>Urbano</v>
          </cell>
          <cell r="O7" t="str">
            <v>1781</v>
          </cell>
          <cell r="P7" t="str">
            <v>POINT (-66.1764 -17.3638)</v>
          </cell>
          <cell r="Q7">
            <v>27</v>
          </cell>
          <cell r="R7">
            <v>0.27600068727169008</v>
          </cell>
        </row>
        <row r="8">
          <cell r="A8">
            <v>1782</v>
          </cell>
          <cell r="B8" t="str">
            <v>Unidad Educativa Club De LeonesCochabamba</v>
          </cell>
          <cell r="C8" t="str">
            <v>Cochabamba</v>
          </cell>
          <cell r="D8" t="str">
            <v>Cercado</v>
          </cell>
          <cell r="E8" t="str">
            <v>Cochabamba</v>
          </cell>
          <cell r="F8" t="str">
            <v>Cochabamba</v>
          </cell>
          <cell r="G8" t="str">
            <v>Unidad Educativa Club De Leones</v>
          </cell>
          <cell r="H8" t="str">
            <v>Maryknoll</v>
          </cell>
          <cell r="I8" t="str">
            <v>Circunvalacion 375 Enrique Arce</v>
          </cell>
          <cell r="J8" t="str">
            <v>20</v>
          </cell>
          <cell r="K8" t="str">
            <v>Uninominal</v>
          </cell>
          <cell r="L8" t="str">
            <v>-17.3646</v>
          </cell>
          <cell r="M8" t="str">
            <v>-66.1653</v>
          </cell>
          <cell r="N8" t="str">
            <v>Urbano</v>
          </cell>
          <cell r="O8" t="str">
            <v>1782</v>
          </cell>
          <cell r="P8" t="str">
            <v>POINT (-66.1653 -17.3646)</v>
          </cell>
          <cell r="Q8">
            <v>16</v>
          </cell>
          <cell r="R8">
            <v>0.24604281059056765</v>
          </cell>
        </row>
        <row r="9">
          <cell r="A9">
            <v>1783</v>
          </cell>
          <cell r="B9" t="str">
            <v>Escuela Mixta Fiscal Temporal ACochabamba</v>
          </cell>
          <cell r="C9" t="str">
            <v>Cochabamba</v>
          </cell>
          <cell r="D9" t="str">
            <v>Cercado</v>
          </cell>
          <cell r="E9" t="str">
            <v>Cochabamba</v>
          </cell>
          <cell r="F9" t="str">
            <v>Cochabamba</v>
          </cell>
          <cell r="G9" t="str">
            <v>Escuela Mixta Fiscal Temporal A</v>
          </cell>
          <cell r="H9" t="str">
            <v>B. Magisterio IV Centenario</v>
          </cell>
          <cell r="I9" t="str">
            <v>Felix Lopez  de Vega S/N entre Atahuallpa</v>
          </cell>
          <cell r="J9" t="str">
            <v>20</v>
          </cell>
          <cell r="K9" t="str">
            <v>Uninominal</v>
          </cell>
          <cell r="L9" t="str">
            <v>-17.3614</v>
          </cell>
          <cell r="M9" t="str">
            <v>-66.1588</v>
          </cell>
          <cell r="N9" t="str">
            <v>Urbano</v>
          </cell>
          <cell r="O9" t="str">
            <v>1783</v>
          </cell>
          <cell r="P9" t="str">
            <v>POINT (-66.1588 -17.3614)</v>
          </cell>
          <cell r="Q9">
            <v>20</v>
          </cell>
          <cell r="R9">
            <v>0.33780701750679604</v>
          </cell>
        </row>
        <row r="10">
          <cell r="A10">
            <v>1784</v>
          </cell>
          <cell r="B10" t="str">
            <v>Colegio MaristaCochabamba</v>
          </cell>
          <cell r="C10" t="str">
            <v>Cochabamba</v>
          </cell>
          <cell r="D10" t="str">
            <v>Cercado</v>
          </cell>
          <cell r="E10" t="str">
            <v>Cochabamba</v>
          </cell>
          <cell r="F10" t="str">
            <v>Cochabamba</v>
          </cell>
          <cell r="G10" t="str">
            <v>Colegio Marista</v>
          </cell>
          <cell r="H10" t="str">
            <v>Temporal Cala Cala</v>
          </cell>
          <cell r="I10" t="str">
            <v>Kapac Yupanqui Nro 2460 entre Prada Estrada</v>
          </cell>
          <cell r="J10" t="str">
            <v>20</v>
          </cell>
          <cell r="K10" t="str">
            <v>Uninominal</v>
          </cell>
          <cell r="L10" t="str">
            <v>-17.3619</v>
          </cell>
          <cell r="M10" t="str">
            <v>-66.162</v>
          </cell>
          <cell r="N10" t="str">
            <v>Urbano</v>
          </cell>
          <cell r="O10" t="str">
            <v>1784</v>
          </cell>
          <cell r="P10" t="str">
            <v>POINT (-66.162 -17.3619)</v>
          </cell>
          <cell r="Q10">
            <v>27</v>
          </cell>
          <cell r="R10">
            <v>0.2206668901404005</v>
          </cell>
        </row>
        <row r="11">
          <cell r="A11">
            <v>1785</v>
          </cell>
          <cell r="B11" t="str">
            <v>Colegio Federico FroebelCochabamba</v>
          </cell>
          <cell r="C11" t="str">
            <v>Cochabamba</v>
          </cell>
          <cell r="D11" t="str">
            <v>Cercado</v>
          </cell>
          <cell r="E11" t="str">
            <v>Cochabamba</v>
          </cell>
          <cell r="F11" t="str">
            <v>Cochabamba</v>
          </cell>
          <cell r="G11" t="str">
            <v>Colegio Federico Froebel</v>
          </cell>
          <cell r="H11" t="str">
            <v>Faro de Aranjuez</v>
          </cell>
          <cell r="I11" t="str">
            <v>Avenida Melchor Urquidi S/N</v>
          </cell>
          <cell r="J11" t="str">
            <v>20</v>
          </cell>
          <cell r="K11" t="str">
            <v>Uninominal</v>
          </cell>
          <cell r="L11" t="str">
            <v>-17.3618</v>
          </cell>
          <cell r="M11" t="str">
            <v>-66.1473</v>
          </cell>
          <cell r="N11" t="str">
            <v>Urbano</v>
          </cell>
          <cell r="O11" t="str">
            <v>1785</v>
          </cell>
          <cell r="P11" t="str">
            <v>POINT (-66.1473 -17.3618)</v>
          </cell>
          <cell r="Q11">
            <v>20</v>
          </cell>
          <cell r="R11">
            <v>0.24768250203765424</v>
          </cell>
        </row>
        <row r="12">
          <cell r="A12">
            <v>1786</v>
          </cell>
          <cell r="B12" t="str">
            <v>Instituto Eduardo LaredoCochabamba</v>
          </cell>
          <cell r="C12" t="str">
            <v>Cochabamba</v>
          </cell>
          <cell r="D12" t="str">
            <v>Cercado</v>
          </cell>
          <cell r="E12" t="str">
            <v>Cochabamba</v>
          </cell>
          <cell r="F12" t="str">
            <v>Cochabamba</v>
          </cell>
          <cell r="G12" t="str">
            <v>Instituto Eduardo Laredo</v>
          </cell>
          <cell r="H12" t="str">
            <v>Central Santa Maria</v>
          </cell>
          <cell r="I12" t="str">
            <v>Av. Ramon Rivero</v>
          </cell>
          <cell r="J12" t="str">
            <v>21</v>
          </cell>
          <cell r="K12" t="str">
            <v>Uninominal</v>
          </cell>
          <cell r="L12" t="str">
            <v>-17.381</v>
          </cell>
          <cell r="M12" t="str">
            <v>-66.1526</v>
          </cell>
          <cell r="N12" t="str">
            <v>Urbano</v>
          </cell>
          <cell r="O12" t="str">
            <v>1786</v>
          </cell>
          <cell r="P12" t="str">
            <v>POINT (-66.1526 -17.381)</v>
          </cell>
          <cell r="Q12">
            <v>13</v>
          </cell>
          <cell r="R12">
            <v>0.15601703250487484</v>
          </cell>
        </row>
        <row r="13">
          <cell r="A13">
            <v>1787</v>
          </cell>
          <cell r="B13" t="str">
            <v>Instituto AmericanoCochabamba</v>
          </cell>
          <cell r="C13" t="str">
            <v>Cochabamba</v>
          </cell>
          <cell r="D13" t="str">
            <v>Cercado</v>
          </cell>
          <cell r="E13" t="str">
            <v>Cochabamba</v>
          </cell>
          <cell r="F13" t="str">
            <v>Cochabamba</v>
          </cell>
          <cell r="G13" t="str">
            <v>Instituto Americano</v>
          </cell>
          <cell r="H13" t="str">
            <v>Queru Queru Central</v>
          </cell>
          <cell r="I13" t="str">
            <v>Av. Juliom Rodriguez Morales entre Pantaleon Dalence</v>
          </cell>
          <cell r="J13" t="str">
            <v>20</v>
          </cell>
          <cell r="K13" t="str">
            <v>Uninominal</v>
          </cell>
          <cell r="L13" t="str">
            <v>-17.3689</v>
          </cell>
          <cell r="M13" t="str">
            <v>-66.1543</v>
          </cell>
          <cell r="N13" t="str">
            <v>Urbano</v>
          </cell>
          <cell r="O13" t="str">
            <v>1787</v>
          </cell>
          <cell r="P13" t="str">
            <v>POINT (-66.1543 -17.3689)</v>
          </cell>
          <cell r="Q13">
            <v>35</v>
          </cell>
          <cell r="R13">
            <v>0.17903330588139477</v>
          </cell>
        </row>
        <row r="14">
          <cell r="A14">
            <v>1788</v>
          </cell>
          <cell r="B14" t="str">
            <v>Colegio Jaime EscalanteCochabamba</v>
          </cell>
          <cell r="C14" t="str">
            <v>Cochabamba</v>
          </cell>
          <cell r="D14" t="str">
            <v>Cercado</v>
          </cell>
          <cell r="E14" t="str">
            <v>Cochabamba</v>
          </cell>
          <cell r="F14" t="str">
            <v>Cochabamba</v>
          </cell>
          <cell r="G14" t="str">
            <v>Colegio Jaime Escalante</v>
          </cell>
          <cell r="H14" t="str">
            <v>Santa Ana de Cala Cala</v>
          </cell>
          <cell r="I14" t="str">
            <v>Av. Gualberto Villarroel entre Av. Julio Rodriguez Morales</v>
          </cell>
          <cell r="J14" t="str">
            <v>20</v>
          </cell>
          <cell r="K14" t="str">
            <v>Uninominal</v>
          </cell>
          <cell r="L14" t="str">
            <v>-17.368</v>
          </cell>
          <cell r="M14" t="str">
            <v>-66.1581</v>
          </cell>
          <cell r="N14" t="str">
            <v>Urbano</v>
          </cell>
          <cell r="O14" t="str">
            <v>1788</v>
          </cell>
          <cell r="P14" t="str">
            <v>POINT (-66.1581 -17.368)</v>
          </cell>
          <cell r="Q14">
            <v>7</v>
          </cell>
          <cell r="R14">
            <v>0.14382907254198832</v>
          </cell>
        </row>
        <row r="15">
          <cell r="A15">
            <v>1789</v>
          </cell>
          <cell r="B15" t="str">
            <v>Centro Inmaculada ConcepcionCochabamba</v>
          </cell>
          <cell r="C15" t="str">
            <v>Cochabamba</v>
          </cell>
          <cell r="D15" t="str">
            <v>Cercado</v>
          </cell>
          <cell r="E15" t="str">
            <v>Cochabamba</v>
          </cell>
          <cell r="F15" t="str">
            <v>Cochabamba</v>
          </cell>
          <cell r="G15" t="str">
            <v>Centro Inmaculada Concepcion</v>
          </cell>
          <cell r="H15" t="str">
            <v>Portales</v>
          </cell>
          <cell r="I15" t="str">
            <v>Beni entre La Avenida Santa Cruz</v>
          </cell>
          <cell r="J15" t="str">
            <v>20</v>
          </cell>
          <cell r="K15" t="str">
            <v>Uninominal</v>
          </cell>
          <cell r="L15" t="str">
            <v>-17.377</v>
          </cell>
          <cell r="M15" t="str">
            <v>-66.1577</v>
          </cell>
          <cell r="N15" t="str">
            <v>Urbano</v>
          </cell>
          <cell r="O15" t="str">
            <v>1789</v>
          </cell>
          <cell r="P15" t="str">
            <v>POINT (-66.1577 -17.377)</v>
          </cell>
          <cell r="Q15">
            <v>11</v>
          </cell>
          <cell r="R15">
            <v>9.5292860412861322E-2</v>
          </cell>
        </row>
        <row r="16">
          <cell r="A16">
            <v>1790</v>
          </cell>
          <cell r="B16" t="str">
            <v>Escuela MaryknollCochabamba</v>
          </cell>
          <cell r="C16" t="str">
            <v>Cochabamba</v>
          </cell>
          <cell r="D16" t="str">
            <v>Cercado</v>
          </cell>
          <cell r="E16" t="str">
            <v>Cochabamba</v>
          </cell>
          <cell r="F16" t="str">
            <v>Cochabamba</v>
          </cell>
          <cell r="G16" t="str">
            <v>Escuela Maryknoll</v>
          </cell>
          <cell r="H16" t="str">
            <v>Santa Ana de Cala Cala</v>
          </cell>
          <cell r="I16" t="str">
            <v>Juan Capriles entre Juan Huallparimachi</v>
          </cell>
          <cell r="J16" t="str">
            <v>20</v>
          </cell>
          <cell r="K16" t="str">
            <v>Uninominal</v>
          </cell>
          <cell r="L16" t="str">
            <v>-17.3713</v>
          </cell>
          <cell r="M16" t="str">
            <v>-66.1615</v>
          </cell>
          <cell r="N16" t="str">
            <v>Urbano</v>
          </cell>
          <cell r="O16" t="str">
            <v>1790</v>
          </cell>
          <cell r="P16" t="str">
            <v>POINT (-66.1615 -17.3713)</v>
          </cell>
          <cell r="Q16">
            <v>8</v>
          </cell>
          <cell r="R16">
            <v>9.1432084115305692E-2</v>
          </cell>
        </row>
        <row r="17">
          <cell r="A17">
            <v>1791</v>
          </cell>
          <cell r="B17" t="str">
            <v>Escuela Jose Maria SantivañezCochabamba</v>
          </cell>
          <cell r="C17" t="str">
            <v>Cochabamba</v>
          </cell>
          <cell r="D17" t="str">
            <v>Cercado</v>
          </cell>
          <cell r="E17" t="str">
            <v>Cochabamba</v>
          </cell>
          <cell r="F17" t="str">
            <v>Cochabamba</v>
          </cell>
          <cell r="G17" t="str">
            <v>Escuela Jose Maria Santivañez</v>
          </cell>
          <cell r="H17" t="str">
            <v>Pulacayo</v>
          </cell>
          <cell r="I17" t="str">
            <v>Av. Perez de Holguin y Pulacayo</v>
          </cell>
          <cell r="J17" t="str">
            <v>20</v>
          </cell>
          <cell r="K17" t="str">
            <v>Uninominal</v>
          </cell>
          <cell r="L17" t="str">
            <v>-17.3694</v>
          </cell>
          <cell r="M17" t="str">
            <v>-66.1748</v>
          </cell>
          <cell r="N17" t="str">
            <v>Urbano</v>
          </cell>
          <cell r="O17" t="str">
            <v>1791</v>
          </cell>
          <cell r="P17" t="str">
            <v>POINT (-66.1748 -17.3694)</v>
          </cell>
          <cell r="Q17">
            <v>20</v>
          </cell>
          <cell r="R17">
            <v>0.14424830994772331</v>
          </cell>
        </row>
        <row r="18">
          <cell r="A18">
            <v>1792</v>
          </cell>
          <cell r="B18" t="str">
            <v>Colegio MaryknollCochabamba</v>
          </cell>
          <cell r="C18" t="str">
            <v>Cochabamba</v>
          </cell>
          <cell r="D18" t="str">
            <v>Cercado</v>
          </cell>
          <cell r="E18" t="str">
            <v>Cochabamba</v>
          </cell>
          <cell r="F18" t="str">
            <v>Cochabamba</v>
          </cell>
          <cell r="G18" t="str">
            <v>Colegio Maryknoll</v>
          </cell>
          <cell r="H18" t="str">
            <v>B. Magisterio 6 de Junio</v>
          </cell>
          <cell r="I18" t="str">
            <v>Av. Juan de La Rosa y Ovispo Anaya</v>
          </cell>
          <cell r="J18" t="str">
            <v>20</v>
          </cell>
          <cell r="K18" t="str">
            <v>Uninominal</v>
          </cell>
          <cell r="L18" t="str">
            <v>-17.3777</v>
          </cell>
          <cell r="M18" t="str">
            <v>-66.1675</v>
          </cell>
          <cell r="N18" t="str">
            <v>Urbano</v>
          </cell>
          <cell r="O18" t="str">
            <v>1792</v>
          </cell>
          <cell r="P18" t="str">
            <v>POINT (-66.1675 -17.3777)</v>
          </cell>
          <cell r="Q18">
            <v>25</v>
          </cell>
          <cell r="R18">
            <v>0.10628601247710817</v>
          </cell>
        </row>
        <row r="19">
          <cell r="A19">
            <v>1793</v>
          </cell>
          <cell r="B19" t="str">
            <v>Liceo Guindalina LoayzaCochabamba</v>
          </cell>
          <cell r="C19" t="str">
            <v>Cochabamba</v>
          </cell>
          <cell r="D19" t="str">
            <v>Cercado</v>
          </cell>
          <cell r="E19" t="str">
            <v>Cochabamba</v>
          </cell>
          <cell r="F19" t="str">
            <v>Cochabamba</v>
          </cell>
          <cell r="G19" t="str">
            <v>Liceo Guindalina Loayza</v>
          </cell>
          <cell r="H19" t="str">
            <v>B. Magisterio 6 de Junio</v>
          </cell>
          <cell r="I19" t="str">
            <v>Batallon Colorados entre Salinas</v>
          </cell>
          <cell r="J19" t="str">
            <v>20</v>
          </cell>
          <cell r="K19" t="str">
            <v>Uninominal</v>
          </cell>
          <cell r="L19" t="str">
            <v>-17.3811</v>
          </cell>
          <cell r="M19" t="str">
            <v>-66.1663</v>
          </cell>
          <cell r="N19" t="str">
            <v>Urbano</v>
          </cell>
          <cell r="O19" t="str">
            <v>1793</v>
          </cell>
          <cell r="P19" t="str">
            <v>POINT (-66.1663 -17.3811)</v>
          </cell>
          <cell r="Q19">
            <v>9</v>
          </cell>
          <cell r="R19">
            <v>0.11889815716320734</v>
          </cell>
        </row>
        <row r="20">
          <cell r="A20">
            <v>1794</v>
          </cell>
          <cell r="B20" t="str">
            <v>Colegio VenezuelaCochabamba</v>
          </cell>
          <cell r="C20" t="str">
            <v>Cochabamba</v>
          </cell>
          <cell r="D20" t="str">
            <v>Cercado</v>
          </cell>
          <cell r="E20" t="str">
            <v>Cochabamba</v>
          </cell>
          <cell r="F20" t="str">
            <v>Cochabamba</v>
          </cell>
          <cell r="G20" t="str">
            <v>Colegio Venezuela</v>
          </cell>
          <cell r="H20" t="str">
            <v>Venezuela Pq. Demetrio Canelas</v>
          </cell>
          <cell r="I20" t="str">
            <v>Rene Moreno y Demetrio Canelas</v>
          </cell>
          <cell r="J20" t="str">
            <v>20</v>
          </cell>
          <cell r="K20" t="str">
            <v>Uninominal</v>
          </cell>
          <cell r="L20" t="str">
            <v>-17.38</v>
          </cell>
          <cell r="M20" t="str">
            <v>-66.1743</v>
          </cell>
          <cell r="N20" t="str">
            <v>Urbano</v>
          </cell>
          <cell r="O20" t="str">
            <v>1794</v>
          </cell>
          <cell r="P20" t="str">
            <v>POINT (-66.1743 -17.38)</v>
          </cell>
          <cell r="Q20">
            <v>14</v>
          </cell>
          <cell r="R20">
            <v>0.16022306066787056</v>
          </cell>
        </row>
        <row r="21">
          <cell r="A21">
            <v>1795</v>
          </cell>
          <cell r="B21" t="str">
            <v>Colegio Richard Von WeizackerCochabamba</v>
          </cell>
          <cell r="C21" t="str">
            <v>Cochabamba</v>
          </cell>
          <cell r="D21" t="str">
            <v>Cercado</v>
          </cell>
          <cell r="E21" t="str">
            <v>Cochabamba</v>
          </cell>
          <cell r="F21" t="str">
            <v>Cochabamba</v>
          </cell>
          <cell r="G21" t="str">
            <v>Colegio Richard Von Weizacker</v>
          </cell>
          <cell r="H21" t="str">
            <v>Sarco Central</v>
          </cell>
          <cell r="I21" t="str">
            <v>Av. Beijin entre Apumak y 23 de Enero</v>
          </cell>
          <cell r="J21" t="str">
            <v>20</v>
          </cell>
          <cell r="K21" t="str">
            <v>Uninominal</v>
          </cell>
          <cell r="L21" t="str">
            <v>-17.3784</v>
          </cell>
          <cell r="M21" t="str">
            <v>-66.1818</v>
          </cell>
          <cell r="N21" t="str">
            <v>Urbano</v>
          </cell>
          <cell r="O21" t="str">
            <v>1795</v>
          </cell>
          <cell r="P21" t="str">
            <v>POINT (-66.1818 -17.3784)</v>
          </cell>
          <cell r="Q21">
            <v>14</v>
          </cell>
          <cell r="R21">
            <v>0.16838114151456124</v>
          </cell>
        </row>
        <row r="22">
          <cell r="A22">
            <v>1796</v>
          </cell>
          <cell r="B22" t="str">
            <v>Colegio Branco PetricevicCochabamba</v>
          </cell>
          <cell r="C22" t="str">
            <v>Cochabamba</v>
          </cell>
          <cell r="D22" t="str">
            <v>Cercado</v>
          </cell>
          <cell r="E22" t="str">
            <v>Cochabamba</v>
          </cell>
          <cell r="F22" t="str">
            <v>Cochabamba</v>
          </cell>
          <cell r="G22" t="str">
            <v>Colegio Branco Petricevic</v>
          </cell>
          <cell r="H22" t="str">
            <v>Urb. Carolina</v>
          </cell>
          <cell r="I22" t="str">
            <v>Sarcobamba, Av. Tunupa y Yuracaré Final Av. América</v>
          </cell>
          <cell r="J22" t="str">
            <v>20</v>
          </cell>
          <cell r="K22" t="str">
            <v>Uninominal</v>
          </cell>
          <cell r="L22" t="str">
            <v>-17.3737</v>
          </cell>
          <cell r="M22" t="str">
            <v>-66.1878</v>
          </cell>
          <cell r="N22" t="str">
            <v>Urbano</v>
          </cell>
          <cell r="O22" t="str">
            <v>1796</v>
          </cell>
          <cell r="P22" t="str">
            <v>POINT (-66.1878 -17.3737)</v>
          </cell>
          <cell r="Q22">
            <v>32</v>
          </cell>
          <cell r="R22">
            <v>0.24034490659918031</v>
          </cell>
        </row>
        <row r="23">
          <cell r="A23">
            <v>1797</v>
          </cell>
          <cell r="B23" t="str">
            <v>Seminario San JoseCochabamba</v>
          </cell>
          <cell r="C23" t="str">
            <v>Cochabamba</v>
          </cell>
          <cell r="D23" t="str">
            <v>Cercado</v>
          </cell>
          <cell r="E23" t="str">
            <v>Cochabamba</v>
          </cell>
          <cell r="F23" t="str">
            <v>Cochabamba</v>
          </cell>
          <cell r="G23" t="str">
            <v>Seminario San Jose</v>
          </cell>
          <cell r="H23" t="str">
            <v>Urb. Ende</v>
          </cell>
          <cell r="I23" t="str">
            <v>Av. Juan Pablo Ii, Isacc Aranibar y Mons. Juan Tarcisio</v>
          </cell>
          <cell r="J23" t="str">
            <v>20</v>
          </cell>
          <cell r="K23" t="str">
            <v>Uninominal</v>
          </cell>
          <cell r="L23" t="str">
            <v>-17.3837</v>
          </cell>
          <cell r="M23" t="str">
            <v>-66.1978</v>
          </cell>
          <cell r="N23" t="str">
            <v>Urbano</v>
          </cell>
          <cell r="O23" t="str">
            <v>1797</v>
          </cell>
          <cell r="P23" t="str">
            <v>POINT (-66.1978 -17.3837)</v>
          </cell>
          <cell r="Q23">
            <v>15</v>
          </cell>
          <cell r="R23">
            <v>0.26941196671090817</v>
          </cell>
        </row>
        <row r="24">
          <cell r="A24">
            <v>1798</v>
          </cell>
          <cell r="B24" t="str">
            <v>Esc. Fiscal Juan XXIII A Juancito PintoCochabamba</v>
          </cell>
          <cell r="C24" t="str">
            <v>Cochabamba</v>
          </cell>
          <cell r="D24" t="str">
            <v>Cercado</v>
          </cell>
          <cell r="E24" t="str">
            <v>Cochabamba</v>
          </cell>
          <cell r="F24" t="str">
            <v>Cochabamba</v>
          </cell>
          <cell r="G24" t="str">
            <v>Esc. Fiscal Juan XXIII A Juancito Pinto</v>
          </cell>
          <cell r="H24" t="str">
            <v>V. Juan XXIII</v>
          </cell>
          <cell r="I24" t="str">
            <v>Calle Gaspar de Villarroel y Arz . a Gutierrez Granier</v>
          </cell>
          <cell r="J24" t="str">
            <v>20</v>
          </cell>
          <cell r="K24" t="str">
            <v>Uninominal</v>
          </cell>
          <cell r="L24" t="str">
            <v>-17.3892</v>
          </cell>
          <cell r="M24" t="str">
            <v>-66.2034</v>
          </cell>
          <cell r="N24" t="str">
            <v>Urbano</v>
          </cell>
          <cell r="O24" t="str">
            <v>1798</v>
          </cell>
          <cell r="P24" t="str">
            <v>POINT (-66.2034 -17.3892)</v>
          </cell>
          <cell r="Q24">
            <v>12</v>
          </cell>
          <cell r="R24">
            <v>0.31261110102582107</v>
          </cell>
        </row>
        <row r="25">
          <cell r="A25">
            <v>1799</v>
          </cell>
          <cell r="B25" t="str">
            <v>Unidad Educativa Maria Emilia Riquelme (Ex Maria Cristina)Cochabamba</v>
          </cell>
          <cell r="C25" t="str">
            <v>Cochabamba</v>
          </cell>
          <cell r="D25" t="str">
            <v>Cercado</v>
          </cell>
          <cell r="E25" t="str">
            <v>Cochabamba</v>
          </cell>
          <cell r="F25" t="str">
            <v>Cochabamba</v>
          </cell>
          <cell r="G25" t="str">
            <v>Unidad Educativa Maria Emilia Riquelme (Ex Maria Cristina)</v>
          </cell>
          <cell r="H25" t="str">
            <v>Urb. Seton</v>
          </cell>
          <cell r="I25" t="str">
            <v>Av. Cap. Victor Ustariz ,  Nuestra Sra de La Merced, Sobre la C/Hermann Joseph Muller</v>
          </cell>
          <cell r="J25" t="str">
            <v>20</v>
          </cell>
          <cell r="K25" t="str">
            <v>Uninominal</v>
          </cell>
          <cell r="L25" t="str">
            <v>-17.3983</v>
          </cell>
          <cell r="M25" t="str">
            <v>-66.2045</v>
          </cell>
          <cell r="N25" t="str">
            <v>Urbano</v>
          </cell>
          <cell r="O25" t="str">
            <v>1799</v>
          </cell>
          <cell r="P25" t="str">
            <v>POINT (-66.2045 -17.3983)</v>
          </cell>
          <cell r="Q25">
            <v>16</v>
          </cell>
          <cell r="R25">
            <v>0.39952722491676079</v>
          </cell>
        </row>
        <row r="26">
          <cell r="A26">
            <v>1800</v>
          </cell>
          <cell r="B26" t="str">
            <v>Escuela Gutierrez MariscalCochabamba</v>
          </cell>
          <cell r="C26" t="str">
            <v>Cochabamba</v>
          </cell>
          <cell r="D26" t="str">
            <v>Cercado</v>
          </cell>
          <cell r="E26" t="str">
            <v>Cochabamba</v>
          </cell>
          <cell r="F26" t="str">
            <v>Cochabamba</v>
          </cell>
          <cell r="G26" t="str">
            <v>Escuela Gutierrez Mariscal</v>
          </cell>
          <cell r="H26" t="str">
            <v>Chavez Rancho</v>
          </cell>
          <cell r="I26" t="str">
            <v>Av. Cap. Victor Ustariz y Calle Cochabamba</v>
          </cell>
          <cell r="J26" t="str">
            <v>20</v>
          </cell>
          <cell r="K26" t="str">
            <v>Uninominal</v>
          </cell>
          <cell r="L26" t="str">
            <v>-17.3976</v>
          </cell>
          <cell r="M26" t="str">
            <v>-66.1939</v>
          </cell>
          <cell r="N26" t="str">
            <v>Urbano</v>
          </cell>
          <cell r="O26" t="str">
            <v>1800</v>
          </cell>
          <cell r="P26" t="str">
            <v>POINT (-66.1939 -17.3976)</v>
          </cell>
          <cell r="Q26">
            <v>32</v>
          </cell>
          <cell r="R26">
            <v>0.39776079487516136</v>
          </cell>
        </row>
        <row r="27">
          <cell r="A27">
            <v>1801</v>
          </cell>
          <cell r="B27" t="str">
            <v>Escuela AntofagastaCochabamba</v>
          </cell>
          <cell r="C27" t="str">
            <v>Cochabamba</v>
          </cell>
          <cell r="D27" t="str">
            <v>Cercado</v>
          </cell>
          <cell r="E27" t="str">
            <v>Cochabamba</v>
          </cell>
          <cell r="F27" t="str">
            <v>Cochabamba</v>
          </cell>
          <cell r="G27" t="str">
            <v>Escuela Antofagasta</v>
          </cell>
          <cell r="H27" t="str">
            <v>Villa Antofagasta</v>
          </cell>
          <cell r="I27" t="str">
            <v>Caracoles y D Orbigni S/N</v>
          </cell>
          <cell r="J27" t="str">
            <v>20</v>
          </cell>
          <cell r="K27" t="str">
            <v>Uninominal</v>
          </cell>
          <cell r="L27" t="str">
            <v>-17.3867</v>
          </cell>
          <cell r="M27" t="str">
            <v>-66.1855</v>
          </cell>
          <cell r="N27" t="str">
            <v>Urbano</v>
          </cell>
          <cell r="O27" t="str">
            <v>1801</v>
          </cell>
          <cell r="P27" t="str">
            <v>POINT (-66.1855 -17.3867)</v>
          </cell>
          <cell r="Q27">
            <v>25</v>
          </cell>
          <cell r="R27">
            <v>0.26397488018240006</v>
          </cell>
        </row>
        <row r="28">
          <cell r="A28">
            <v>1802</v>
          </cell>
          <cell r="B28" t="str">
            <v>Centro Particular Geronimo De OsorioCochabamba</v>
          </cell>
          <cell r="C28" t="str">
            <v>Cochabamba</v>
          </cell>
          <cell r="D28" t="str">
            <v>Cercado</v>
          </cell>
          <cell r="E28" t="str">
            <v>Cochabamba</v>
          </cell>
          <cell r="F28" t="str">
            <v>Cochabamba</v>
          </cell>
          <cell r="G28" t="str">
            <v>Centro Particular Geronimo De Osorio</v>
          </cell>
          <cell r="H28" t="str">
            <v>Chavez Rancho</v>
          </cell>
          <cell r="I28" t="str">
            <v>Av. Cap. Victor Ustariz, G. Suarez y Av. Circunvalación</v>
          </cell>
          <cell r="J28" t="str">
            <v>20</v>
          </cell>
          <cell r="K28" t="str">
            <v>Uninominal</v>
          </cell>
          <cell r="L28" t="str">
            <v>-17.397</v>
          </cell>
          <cell r="M28" t="str">
            <v>-66.1866</v>
          </cell>
          <cell r="N28" t="str">
            <v>Urbano</v>
          </cell>
          <cell r="O28" t="str">
            <v>1802</v>
          </cell>
          <cell r="P28" t="str">
            <v>POINT (-66.1866 -17.397)</v>
          </cell>
          <cell r="Q28">
            <v>29</v>
          </cell>
          <cell r="R28">
            <v>0.3074141565362502</v>
          </cell>
        </row>
        <row r="29">
          <cell r="A29">
            <v>1803</v>
          </cell>
          <cell r="B29" t="str">
            <v>Unidad Educativa Esteban ArzeCochabamba</v>
          </cell>
          <cell r="C29" t="str">
            <v>Cochabamba</v>
          </cell>
          <cell r="D29" t="str">
            <v>Cercado</v>
          </cell>
          <cell r="E29" t="str">
            <v>Cochabamba</v>
          </cell>
          <cell r="F29" t="str">
            <v>Cochabamba</v>
          </cell>
          <cell r="G29" t="str">
            <v>Unidad Educativa Esteban Arze</v>
          </cell>
          <cell r="H29" t="str">
            <v>Hipodromo Sud</v>
          </cell>
          <cell r="I29" t="str">
            <v>Mons. Angel Caballero,  Gamarra y Melchor Perez</v>
          </cell>
          <cell r="J29" t="str">
            <v>20</v>
          </cell>
          <cell r="K29" t="str">
            <v>Uninominal</v>
          </cell>
          <cell r="L29" t="str">
            <v>-17.3983</v>
          </cell>
          <cell r="M29" t="str">
            <v>-66.1843</v>
          </cell>
          <cell r="N29" t="str">
            <v>Urbano</v>
          </cell>
          <cell r="O29" t="str">
            <v>1803</v>
          </cell>
          <cell r="P29" t="str">
            <v>POINT (-66.1843 -17.3983)</v>
          </cell>
          <cell r="Q29">
            <v>14</v>
          </cell>
          <cell r="R29">
            <v>0.30400526838363556</v>
          </cell>
        </row>
        <row r="30">
          <cell r="A30">
            <v>1804</v>
          </cell>
          <cell r="B30" t="str">
            <v>Escuela Jose Gabriel De GumucioCochabamba</v>
          </cell>
          <cell r="C30" t="str">
            <v>Cochabamba</v>
          </cell>
          <cell r="D30" t="str">
            <v>Cercado</v>
          </cell>
          <cell r="E30" t="str">
            <v>Cochabamba</v>
          </cell>
          <cell r="F30" t="str">
            <v>Cochabamba</v>
          </cell>
          <cell r="G30" t="str">
            <v>Escuela Jose Gabriel De Gumucio</v>
          </cell>
          <cell r="H30" t="str">
            <v>Villa Montenegro</v>
          </cell>
          <cell r="I30" t="str">
            <v>Eterovic entre Fco. Viedma -Parque Zoologico</v>
          </cell>
          <cell r="J30" t="str">
            <v>20</v>
          </cell>
          <cell r="K30" t="str">
            <v>Uninominal</v>
          </cell>
          <cell r="L30" t="str">
            <v>-17.3844</v>
          </cell>
          <cell r="M30" t="str">
            <v>-66.1672</v>
          </cell>
          <cell r="N30" t="str">
            <v>Urbano</v>
          </cell>
          <cell r="O30" t="str">
            <v>1804</v>
          </cell>
          <cell r="P30" t="str">
            <v>POINT (-66.1672 -17.3844)</v>
          </cell>
          <cell r="Q30">
            <v>9</v>
          </cell>
          <cell r="R30">
            <v>0.12949434732452381</v>
          </cell>
        </row>
        <row r="31">
          <cell r="A31">
            <v>1805</v>
          </cell>
          <cell r="B31" t="str">
            <v>Colegio Cristo ReyCochabamba</v>
          </cell>
          <cell r="C31" t="str">
            <v>Cochabamba</v>
          </cell>
          <cell r="D31" t="str">
            <v>Cercado</v>
          </cell>
          <cell r="E31" t="str">
            <v>Cochabamba</v>
          </cell>
          <cell r="F31" t="str">
            <v>Cochabamba</v>
          </cell>
          <cell r="G31" t="str">
            <v>Colegio Cristo Rey</v>
          </cell>
          <cell r="H31" t="str">
            <v>Villa Ingavi</v>
          </cell>
          <cell r="I31" t="str">
            <v>Diego Almagro entre Hernando de Soto</v>
          </cell>
          <cell r="J31" t="str">
            <v>20</v>
          </cell>
          <cell r="K31" t="str">
            <v>Uninominal</v>
          </cell>
          <cell r="L31" t="str">
            <v>-17.3906</v>
          </cell>
          <cell r="M31" t="str">
            <v>-66.172</v>
          </cell>
          <cell r="N31" t="str">
            <v>Urbano</v>
          </cell>
          <cell r="O31" t="str">
            <v>1805</v>
          </cell>
          <cell r="P31" t="str">
            <v>POINT (-66.172 -17.3906)</v>
          </cell>
          <cell r="Q31">
            <v>22</v>
          </cell>
          <cell r="R31">
            <v>0.17242161293823377</v>
          </cell>
        </row>
        <row r="32">
          <cell r="A32">
            <v>1806</v>
          </cell>
          <cell r="B32" t="str">
            <v>Colegio Paulo VICochabamba</v>
          </cell>
          <cell r="C32" t="str">
            <v>Cochabamba</v>
          </cell>
          <cell r="D32" t="str">
            <v>Cercado</v>
          </cell>
          <cell r="E32" t="str">
            <v>Cochabamba</v>
          </cell>
          <cell r="F32" t="str">
            <v>Cochabamba</v>
          </cell>
          <cell r="G32" t="str">
            <v>Colegio Paulo VI</v>
          </cell>
          <cell r="H32" t="str">
            <v>Villa Galindo</v>
          </cell>
          <cell r="I32" t="str">
            <v>Calle Francisco Viedma Nro 567 entre Fco. Toledo</v>
          </cell>
          <cell r="J32" t="str">
            <v>20</v>
          </cell>
          <cell r="K32" t="str">
            <v>Uninominal</v>
          </cell>
          <cell r="L32" t="str">
            <v>-17.3896</v>
          </cell>
          <cell r="M32" t="str">
            <v>-66.1697</v>
          </cell>
          <cell r="N32" t="str">
            <v>Urbano</v>
          </cell>
          <cell r="O32" t="str">
            <v>1806</v>
          </cell>
          <cell r="P32" t="str">
            <v>POINT (-66.1697 -17.3896)</v>
          </cell>
          <cell r="Q32">
            <v>13</v>
          </cell>
          <cell r="R32">
            <v>0.1522954961441671</v>
          </cell>
        </row>
        <row r="33">
          <cell r="A33">
            <v>1807</v>
          </cell>
          <cell r="B33" t="str">
            <v>U. E. 1ro. de MayoCochabamba</v>
          </cell>
          <cell r="C33" t="str">
            <v>Cochabamba</v>
          </cell>
          <cell r="D33" t="str">
            <v>Cercado</v>
          </cell>
          <cell r="E33" t="str">
            <v>Cochabamba</v>
          </cell>
          <cell r="F33" t="str">
            <v>Cochabamba</v>
          </cell>
          <cell r="G33" t="str">
            <v>U. E. 1ro. de Mayo</v>
          </cell>
          <cell r="H33" t="str">
            <v>Ladislao Cabrera</v>
          </cell>
          <cell r="I33" t="str">
            <v>Barrio 1ro de Mayo - zona Sud</v>
          </cell>
          <cell r="J33" t="str">
            <v>22</v>
          </cell>
          <cell r="K33" t="str">
            <v>Uninominal</v>
          </cell>
          <cell r="L33" t="str">
            <v>-17.46701</v>
          </cell>
          <cell r="M33" t="str">
            <v>-66.203947</v>
          </cell>
          <cell r="N33" t="str">
            <v>Urbano</v>
          </cell>
          <cell r="O33" t="str">
            <v>1807</v>
          </cell>
          <cell r="P33" t="str">
            <v>POINT (-66.203947 -17.46701)</v>
          </cell>
          <cell r="Q33">
            <v>13</v>
          </cell>
          <cell r="R33" t="str">
            <v>Sin Info</v>
          </cell>
        </row>
        <row r="34">
          <cell r="A34">
            <v>1808</v>
          </cell>
          <cell r="B34" t="str">
            <v>Colegio La SalleCochabamba</v>
          </cell>
          <cell r="C34" t="str">
            <v>Cochabamba</v>
          </cell>
          <cell r="D34" t="str">
            <v>Cercado</v>
          </cell>
          <cell r="E34" t="str">
            <v>Cochabamba</v>
          </cell>
          <cell r="F34" t="str">
            <v>Cochabamba</v>
          </cell>
          <cell r="G34" t="str">
            <v>Colegio La Salle</v>
          </cell>
          <cell r="H34" t="str">
            <v>Cobija</v>
          </cell>
          <cell r="I34" t="str">
            <v>Junín y Mayor Rocha</v>
          </cell>
          <cell r="J34" t="str">
            <v>21</v>
          </cell>
          <cell r="K34" t="str">
            <v>Uninominal</v>
          </cell>
          <cell r="L34" t="str">
            <v>-17.3894</v>
          </cell>
          <cell r="M34" t="str">
            <v>-66.1608</v>
          </cell>
          <cell r="N34" t="str">
            <v>Urbano</v>
          </cell>
          <cell r="O34" t="str">
            <v>1808</v>
          </cell>
          <cell r="P34" t="str">
            <v>POINT (-66.1608 -17.3894)</v>
          </cell>
          <cell r="Q34">
            <v>16</v>
          </cell>
          <cell r="R34">
            <v>0.1262634735059493</v>
          </cell>
        </row>
        <row r="35">
          <cell r="A35">
            <v>1809</v>
          </cell>
          <cell r="B35" t="str">
            <v>Colegio Boliviano ArgentinoCochabamba</v>
          </cell>
          <cell r="C35" t="str">
            <v>Cochabamba</v>
          </cell>
          <cell r="D35" t="str">
            <v>Cercado</v>
          </cell>
          <cell r="E35" t="str">
            <v>Cochabamba</v>
          </cell>
          <cell r="F35" t="str">
            <v>Cochabamba</v>
          </cell>
          <cell r="G35" t="str">
            <v>Colegio Boliviano Argentino</v>
          </cell>
          <cell r="H35" t="str">
            <v>Santa Teresa</v>
          </cell>
          <cell r="I35" t="str">
            <v>Baptista y Colombia</v>
          </cell>
          <cell r="J35" t="str">
            <v>21</v>
          </cell>
          <cell r="K35" t="str">
            <v>Uninominal</v>
          </cell>
          <cell r="L35" t="str">
            <v>-17.3916</v>
          </cell>
          <cell r="M35" t="str">
            <v>-66.1581</v>
          </cell>
          <cell r="N35" t="str">
            <v>Urbano</v>
          </cell>
          <cell r="O35" t="str">
            <v>1809</v>
          </cell>
          <cell r="P35" t="str">
            <v>POINT (-66.1581 -17.3916)</v>
          </cell>
          <cell r="Q35">
            <v>6</v>
          </cell>
          <cell r="R35">
            <v>0.1719527518440562</v>
          </cell>
        </row>
        <row r="36">
          <cell r="A36">
            <v>1810</v>
          </cell>
          <cell r="B36" t="str">
            <v>Colegio AbaroaCochabamba</v>
          </cell>
          <cell r="C36" t="str">
            <v>Cochabamba</v>
          </cell>
          <cell r="D36" t="str">
            <v>Cercado</v>
          </cell>
          <cell r="E36" t="str">
            <v>Cochabamba</v>
          </cell>
          <cell r="F36" t="str">
            <v>Cochabamba</v>
          </cell>
          <cell r="G36" t="str">
            <v>Colegio Abaroa</v>
          </cell>
          <cell r="H36" t="str">
            <v>Geronimo de Osorio</v>
          </cell>
          <cell r="I36" t="str">
            <v>Av. Ayacucho y Santivañez</v>
          </cell>
          <cell r="J36" t="str">
            <v>21</v>
          </cell>
          <cell r="K36" t="str">
            <v>Uninominal</v>
          </cell>
          <cell r="L36" t="str">
            <v>-17.3954</v>
          </cell>
          <cell r="M36" t="str">
            <v>-66.1585</v>
          </cell>
          <cell r="N36" t="str">
            <v>Urbano</v>
          </cell>
          <cell r="O36" t="str">
            <v>1810</v>
          </cell>
          <cell r="P36" t="str">
            <v>POINT (-66.1585 -17.3954)</v>
          </cell>
          <cell r="Q36">
            <v>14</v>
          </cell>
          <cell r="R36">
            <v>0.22474069027803259</v>
          </cell>
        </row>
        <row r="37">
          <cell r="A37">
            <v>1811</v>
          </cell>
          <cell r="B37" t="str">
            <v>Unidad Educativa Daniel Salamanca (Ex Colegio Nal. Mixto 6 De Agosto)Cochabamba</v>
          </cell>
          <cell r="C37" t="str">
            <v>Cochabamba</v>
          </cell>
          <cell r="D37" t="str">
            <v>Cercado</v>
          </cell>
          <cell r="E37" t="str">
            <v>Cochabamba</v>
          </cell>
          <cell r="F37" t="str">
            <v>Cochabamba</v>
          </cell>
          <cell r="G37" t="str">
            <v>Unidad Educativa Daniel Salamanca (Ex Colegio Nal. Mixto 6 De Agosto)</v>
          </cell>
          <cell r="H37" t="str">
            <v>Geronimo de Osorio</v>
          </cell>
          <cell r="I37" t="str">
            <v>Santivañez Nº 0553 entre Tarapaca</v>
          </cell>
          <cell r="J37" t="str">
            <v>21</v>
          </cell>
          <cell r="K37" t="str">
            <v>Uninominal</v>
          </cell>
          <cell r="L37" t="str">
            <v>-17.3957</v>
          </cell>
          <cell r="M37" t="str">
            <v>-66.1635</v>
          </cell>
          <cell r="N37" t="str">
            <v>Urbano</v>
          </cell>
          <cell r="O37" t="str">
            <v>1811</v>
          </cell>
          <cell r="P37" t="str">
            <v>POINT (-66.1635 -17.3957)</v>
          </cell>
          <cell r="Q37">
            <v>4</v>
          </cell>
          <cell r="R37">
            <v>0.18558586551084078</v>
          </cell>
        </row>
        <row r="38">
          <cell r="A38">
            <v>1812</v>
          </cell>
          <cell r="B38" t="str">
            <v>Colegio Aleman Santa MariaCochabamba</v>
          </cell>
          <cell r="C38" t="str">
            <v>Cochabamba</v>
          </cell>
          <cell r="D38" t="str">
            <v>Cercado</v>
          </cell>
          <cell r="E38" t="str">
            <v>Cochabamba</v>
          </cell>
          <cell r="F38" t="str">
            <v>Cochabamba</v>
          </cell>
          <cell r="G38" t="str">
            <v>Colegio Aleman Santa Maria</v>
          </cell>
          <cell r="H38" t="str">
            <v>Central Santa Maria</v>
          </cell>
          <cell r="I38" t="str">
            <v>Antezana y Colombia</v>
          </cell>
          <cell r="J38" t="str">
            <v>21</v>
          </cell>
          <cell r="K38" t="str">
            <v>Uninominal</v>
          </cell>
          <cell r="L38" t="str">
            <v>-17.3912</v>
          </cell>
          <cell r="M38" t="str">
            <v>-66.1527</v>
          </cell>
          <cell r="N38" t="str">
            <v>Urbano</v>
          </cell>
          <cell r="O38" t="str">
            <v>1812</v>
          </cell>
          <cell r="P38" t="str">
            <v>POINT (-66.1527 -17.3912)</v>
          </cell>
          <cell r="Q38">
            <v>12</v>
          </cell>
          <cell r="R38">
            <v>0.1492821730113538</v>
          </cell>
        </row>
        <row r="39">
          <cell r="A39">
            <v>1813</v>
          </cell>
          <cell r="B39" t="str">
            <v>Colegio Don BoscoCochabamba</v>
          </cell>
          <cell r="C39" t="str">
            <v>Cochabamba</v>
          </cell>
          <cell r="D39" t="str">
            <v>Cercado</v>
          </cell>
          <cell r="E39" t="str">
            <v>Cochabamba</v>
          </cell>
          <cell r="F39" t="str">
            <v>Cochabamba</v>
          </cell>
          <cell r="G39" t="str">
            <v>Colegio Don Bosco</v>
          </cell>
          <cell r="H39" t="str">
            <v>Seminario San Luis</v>
          </cell>
          <cell r="I39" t="str">
            <v>Avenida Oquendo Nro 758</v>
          </cell>
          <cell r="J39" t="str">
            <v>21</v>
          </cell>
          <cell r="K39" t="str">
            <v>Uninominal</v>
          </cell>
          <cell r="L39" t="str">
            <v>-17.3825</v>
          </cell>
          <cell r="M39" t="str">
            <v>-66.151</v>
          </cell>
          <cell r="N39" t="str">
            <v>Urbano</v>
          </cell>
          <cell r="O39" t="str">
            <v>1813</v>
          </cell>
          <cell r="P39" t="str">
            <v>POINT (-66.151 -17.3825)</v>
          </cell>
          <cell r="Q39">
            <v>22</v>
          </cell>
          <cell r="R39">
            <v>0.14076375448315481</v>
          </cell>
        </row>
        <row r="40">
          <cell r="A40">
            <v>1814</v>
          </cell>
          <cell r="B40" t="str">
            <v>Colegio LoyolaCochabamba</v>
          </cell>
          <cell r="C40" t="str">
            <v>Cochabamba</v>
          </cell>
          <cell r="D40" t="str">
            <v>Cercado</v>
          </cell>
          <cell r="E40" t="str">
            <v>Cochabamba</v>
          </cell>
          <cell r="F40" t="str">
            <v>Cochabamba</v>
          </cell>
          <cell r="G40" t="str">
            <v>Colegio Loyola</v>
          </cell>
          <cell r="H40" t="str">
            <v>San Pedro</v>
          </cell>
          <cell r="I40" t="str">
            <v>Parque La Torre S/N</v>
          </cell>
          <cell r="J40" t="str">
            <v>21</v>
          </cell>
          <cell r="K40" t="str">
            <v>Uninominal</v>
          </cell>
          <cell r="L40" t="str">
            <v>-17.3873</v>
          </cell>
          <cell r="M40" t="str">
            <v>-66.1466</v>
          </cell>
          <cell r="N40" t="str">
            <v>Urbano</v>
          </cell>
          <cell r="O40" t="str">
            <v>1814</v>
          </cell>
          <cell r="P40" t="str">
            <v>POINT (-66.1466 -17.3873)</v>
          </cell>
          <cell r="Q40">
            <v>10</v>
          </cell>
          <cell r="R40">
            <v>0.13435275629593019</v>
          </cell>
        </row>
        <row r="41">
          <cell r="A41">
            <v>1815</v>
          </cell>
          <cell r="B41" t="str">
            <v>Escuela Wilge RodriguezCochabamba</v>
          </cell>
          <cell r="C41" t="str">
            <v>Cochabamba</v>
          </cell>
          <cell r="D41" t="str">
            <v>Cercado</v>
          </cell>
          <cell r="E41" t="str">
            <v>Cochabamba</v>
          </cell>
          <cell r="F41" t="str">
            <v>Cochabamba</v>
          </cell>
          <cell r="G41" t="str">
            <v>Escuela Wilge Rodriguez</v>
          </cell>
          <cell r="H41" t="str">
            <v>Santa Ana</v>
          </cell>
          <cell r="I41" t="str">
            <v>Bolívar y 16 de Julio</v>
          </cell>
          <cell r="J41" t="str">
            <v>21</v>
          </cell>
          <cell r="K41" t="str">
            <v>Uninominal</v>
          </cell>
          <cell r="L41" t="str">
            <v>-17.392</v>
          </cell>
          <cell r="M41" t="str">
            <v>-66.1513</v>
          </cell>
          <cell r="N41" t="str">
            <v>Urbano</v>
          </cell>
          <cell r="O41" t="str">
            <v>1815</v>
          </cell>
          <cell r="P41" t="str">
            <v>POINT (-66.1513 -17.392)</v>
          </cell>
          <cell r="Q41">
            <v>6</v>
          </cell>
          <cell r="R41">
            <v>0.2280460441358568</v>
          </cell>
        </row>
        <row r="42">
          <cell r="A42">
            <v>1816</v>
          </cell>
          <cell r="B42" t="str">
            <v>Unidad Educativa Domingo Savio (Ex Lorenzo Filho)Cochabamba</v>
          </cell>
          <cell r="C42" t="str">
            <v>Cochabamba</v>
          </cell>
          <cell r="D42" t="str">
            <v>Cercado</v>
          </cell>
          <cell r="E42" t="str">
            <v>Cochabamba</v>
          </cell>
          <cell r="F42" t="str">
            <v>Cochabamba</v>
          </cell>
          <cell r="G42" t="str">
            <v>Unidad Educativa Domingo Savio (Ex Lorenzo Filho)</v>
          </cell>
          <cell r="H42" t="str">
            <v>Incacollo Muyurina</v>
          </cell>
          <cell r="I42" t="str">
            <v>Av. Aniceto Arce Nro 804 entre  N. Morales</v>
          </cell>
          <cell r="J42" t="str">
            <v>21</v>
          </cell>
          <cell r="K42" t="str">
            <v>Uninominal</v>
          </cell>
          <cell r="L42" t="str">
            <v>-17.3812</v>
          </cell>
          <cell r="M42" t="str">
            <v>-66.144</v>
          </cell>
          <cell r="N42" t="str">
            <v>Urbano</v>
          </cell>
          <cell r="O42" t="str">
            <v>1816</v>
          </cell>
          <cell r="P42" t="str">
            <v>POINT (-66.144 -17.3812)</v>
          </cell>
          <cell r="Q42">
            <v>9</v>
          </cell>
          <cell r="R42">
            <v>0.17447371236005282</v>
          </cell>
        </row>
        <row r="43">
          <cell r="A43">
            <v>1817</v>
          </cell>
          <cell r="B43" t="str">
            <v>Escuela Gualberto VillarroelCochabamba</v>
          </cell>
          <cell r="C43" t="str">
            <v>Cochabamba</v>
          </cell>
          <cell r="D43" t="str">
            <v>Cercado</v>
          </cell>
          <cell r="E43" t="str">
            <v>Cochabamba</v>
          </cell>
          <cell r="F43" t="str">
            <v>Cochabamba</v>
          </cell>
          <cell r="G43" t="str">
            <v>Escuela Gualberto Villarroel</v>
          </cell>
          <cell r="H43" t="str">
            <v>San Pedro</v>
          </cell>
          <cell r="I43" t="str">
            <v>Heroinas Nro 1641 entre M. Paredes</v>
          </cell>
          <cell r="J43" t="str">
            <v>21</v>
          </cell>
          <cell r="K43" t="str">
            <v>Uninominal</v>
          </cell>
          <cell r="L43" t="str">
            <v>-17.3893</v>
          </cell>
          <cell r="M43" t="str">
            <v>-66.1435</v>
          </cell>
          <cell r="N43" t="str">
            <v>Urbano</v>
          </cell>
          <cell r="O43" t="str">
            <v>1817</v>
          </cell>
          <cell r="P43" t="str">
            <v>POINT (-66.1435 -17.3893)</v>
          </cell>
          <cell r="Q43">
            <v>11</v>
          </cell>
          <cell r="R43">
            <v>0.17204025056347866</v>
          </cell>
        </row>
        <row r="44">
          <cell r="A44">
            <v>1818</v>
          </cell>
          <cell r="B44" t="str">
            <v>Liceo  Mercedes Candia De OvandoCochabamba</v>
          </cell>
          <cell r="C44" t="str">
            <v>Cochabamba</v>
          </cell>
          <cell r="D44" t="str">
            <v>Cercado</v>
          </cell>
          <cell r="E44" t="str">
            <v>Cochabamba</v>
          </cell>
          <cell r="F44" t="str">
            <v>Cochabamba</v>
          </cell>
          <cell r="G44" t="str">
            <v>Liceo  Mercedes Candia De Ovando</v>
          </cell>
          <cell r="H44" t="str">
            <v>Parque El Maestro</v>
          </cell>
          <cell r="I44" t="str">
            <v>Parque del Maestro S/N</v>
          </cell>
          <cell r="J44" t="str">
            <v>21</v>
          </cell>
          <cell r="K44" t="str">
            <v>Uninominal</v>
          </cell>
          <cell r="L44" t="str">
            <v>-17.3944</v>
          </cell>
          <cell r="M44" t="str">
            <v>-66.1392</v>
          </cell>
          <cell r="N44" t="str">
            <v>Urbano</v>
          </cell>
          <cell r="O44" t="str">
            <v>1818</v>
          </cell>
          <cell r="P44" t="str">
            <v>POINT (-66.1392 -17.3944)</v>
          </cell>
          <cell r="Q44">
            <v>21</v>
          </cell>
          <cell r="R44">
            <v>0.25085447401376043</v>
          </cell>
        </row>
        <row r="45">
          <cell r="A45">
            <v>1819</v>
          </cell>
          <cell r="B45" t="str">
            <v>Colegio San RafaelCochabamba</v>
          </cell>
          <cell r="C45" t="str">
            <v>Cochabamba</v>
          </cell>
          <cell r="D45" t="str">
            <v>Cercado</v>
          </cell>
          <cell r="E45" t="str">
            <v>Cochabamba</v>
          </cell>
          <cell r="F45" t="str">
            <v>Cochabamba</v>
          </cell>
          <cell r="G45" t="str">
            <v>Colegio San Rafael</v>
          </cell>
          <cell r="H45" t="str">
            <v>Parque El Maestro</v>
          </cell>
          <cell r="I45" t="str">
            <v>Hans Gretter Nro 1546 entre Av. Presidente Manuel Isidoro Belzu</v>
          </cell>
          <cell r="J45" t="str">
            <v>21</v>
          </cell>
          <cell r="K45" t="str">
            <v>Uninominal</v>
          </cell>
          <cell r="L45" t="str">
            <v>-17.3982</v>
          </cell>
          <cell r="M45" t="str">
            <v>-66.1395</v>
          </cell>
          <cell r="N45" t="str">
            <v>Urbano</v>
          </cell>
          <cell r="O45" t="str">
            <v>1819</v>
          </cell>
          <cell r="P45" t="str">
            <v>POINT (-66.1395 -17.3982)</v>
          </cell>
          <cell r="Q45">
            <v>19</v>
          </cell>
          <cell r="R45">
            <v>0.2156683909604945</v>
          </cell>
        </row>
        <row r="46">
          <cell r="A46">
            <v>1820</v>
          </cell>
          <cell r="B46" t="str">
            <v>Escuela Walter VallejoCochabamba</v>
          </cell>
          <cell r="C46" t="str">
            <v>Cochabamba</v>
          </cell>
          <cell r="D46" t="str">
            <v>Cercado</v>
          </cell>
          <cell r="E46" t="str">
            <v>Cochabamba</v>
          </cell>
          <cell r="F46" t="str">
            <v>Cochabamba</v>
          </cell>
          <cell r="G46" t="str">
            <v>Escuela Walter Vallejo</v>
          </cell>
          <cell r="H46" t="str">
            <v>9 de Abril</v>
          </cell>
          <cell r="I46" t="str">
            <v>Av. 9 de Abril</v>
          </cell>
          <cell r="J46" t="str">
            <v>21</v>
          </cell>
          <cell r="K46" t="str">
            <v>Uninominal</v>
          </cell>
          <cell r="L46" t="str">
            <v>-17.4001</v>
          </cell>
          <cell r="M46" t="str">
            <v>-66.1464</v>
          </cell>
          <cell r="N46" t="str">
            <v>Urbano</v>
          </cell>
          <cell r="O46" t="str">
            <v>1820</v>
          </cell>
          <cell r="P46" t="str">
            <v>POINT (-66.1464 -17.4001)</v>
          </cell>
          <cell r="Q46">
            <v>8</v>
          </cell>
          <cell r="R46">
            <v>0.37029951351422841</v>
          </cell>
        </row>
        <row r="47">
          <cell r="A47">
            <v>1821</v>
          </cell>
          <cell r="B47" t="str">
            <v>Colegio BolivarCochabamba</v>
          </cell>
          <cell r="C47" t="str">
            <v>Cochabamba</v>
          </cell>
          <cell r="D47" t="str">
            <v>Cercado</v>
          </cell>
          <cell r="E47" t="str">
            <v>Cochabamba</v>
          </cell>
          <cell r="F47" t="str">
            <v>Cochabamba</v>
          </cell>
          <cell r="G47" t="str">
            <v>Colegio Bolivar</v>
          </cell>
          <cell r="H47" t="str">
            <v>Santa Ana</v>
          </cell>
          <cell r="I47" t="str">
            <v>Sucre y Lanza</v>
          </cell>
          <cell r="J47" t="str">
            <v>21</v>
          </cell>
          <cell r="K47" t="str">
            <v>Uninominal</v>
          </cell>
          <cell r="L47" t="str">
            <v>-17.3935</v>
          </cell>
          <cell r="M47" t="str">
            <v>-66.1534</v>
          </cell>
          <cell r="N47" t="str">
            <v>Urbano</v>
          </cell>
          <cell r="O47" t="str">
            <v>1821</v>
          </cell>
          <cell r="P47" t="str">
            <v>POINT (-66.1534 -17.3935)</v>
          </cell>
          <cell r="Q47">
            <v>9</v>
          </cell>
          <cell r="R47">
            <v>0.27497073628764024</v>
          </cell>
        </row>
        <row r="48">
          <cell r="A48">
            <v>1822</v>
          </cell>
          <cell r="B48" t="str">
            <v>Unidad Educativa San MiguelCochabamba</v>
          </cell>
          <cell r="C48" t="str">
            <v>Cochabamba</v>
          </cell>
          <cell r="D48" t="str">
            <v>Cercado</v>
          </cell>
          <cell r="E48" t="str">
            <v>Cochabamba</v>
          </cell>
          <cell r="F48" t="str">
            <v>Cochabamba</v>
          </cell>
          <cell r="G48" t="str">
            <v>Unidad Educativa San Miguel</v>
          </cell>
          <cell r="H48" t="str">
            <v>Cerro San Miguel Alto</v>
          </cell>
          <cell r="I48" t="str">
            <v>Cerro San Miguel</v>
          </cell>
          <cell r="J48" t="str">
            <v>21</v>
          </cell>
          <cell r="K48" t="str">
            <v>Uninominal</v>
          </cell>
          <cell r="L48" t="str">
            <v>-17.4051</v>
          </cell>
          <cell r="M48" t="str">
            <v>-66.1476</v>
          </cell>
          <cell r="N48" t="str">
            <v>Urbano</v>
          </cell>
          <cell r="O48" t="str">
            <v>1822</v>
          </cell>
          <cell r="P48" t="str">
            <v>POINT (-66.1476 -17.4051)</v>
          </cell>
          <cell r="Q48">
            <v>14</v>
          </cell>
          <cell r="R48">
            <v>0.62845575329723946</v>
          </cell>
        </row>
        <row r="49">
          <cell r="A49">
            <v>1823</v>
          </cell>
          <cell r="B49" t="str">
            <v>Colegio Amor de DiosCochabamba</v>
          </cell>
          <cell r="C49" t="str">
            <v>Cochabamba</v>
          </cell>
          <cell r="D49" t="str">
            <v>Cercado</v>
          </cell>
          <cell r="E49" t="str">
            <v>Cochabamba</v>
          </cell>
          <cell r="F49" t="str">
            <v>Cochabamba</v>
          </cell>
          <cell r="G49" t="str">
            <v>Colegio Amor de Dios</v>
          </cell>
          <cell r="H49" t="str">
            <v>Victor Paz Estenzoro</v>
          </cell>
          <cell r="I49" t="str">
            <v>Av. República</v>
          </cell>
          <cell r="J49" t="str">
            <v>21</v>
          </cell>
          <cell r="K49" t="str">
            <v>Uninominal</v>
          </cell>
          <cell r="L49" t="str">
            <v>-17.4073</v>
          </cell>
          <cell r="M49" t="str">
            <v>-66.1501</v>
          </cell>
          <cell r="N49" t="str">
            <v>Urbano</v>
          </cell>
          <cell r="O49" t="str">
            <v>1823</v>
          </cell>
          <cell r="P49" t="str">
            <v>POINT (-66.1501 -17.4073)</v>
          </cell>
          <cell r="Q49">
            <v>29</v>
          </cell>
          <cell r="R49">
            <v>0.4125894990177858</v>
          </cell>
        </row>
        <row r="50">
          <cell r="A50">
            <v>1824</v>
          </cell>
          <cell r="B50" t="str">
            <v>Colegio Pio XIICochabamba</v>
          </cell>
          <cell r="C50" t="str">
            <v>Cochabamba</v>
          </cell>
          <cell r="D50" t="str">
            <v>Cercado</v>
          </cell>
          <cell r="E50" t="str">
            <v>Cochabamba</v>
          </cell>
          <cell r="F50" t="str">
            <v>Cochabamba</v>
          </cell>
          <cell r="G50" t="str">
            <v>Colegio Pio XII</v>
          </cell>
          <cell r="H50" t="str">
            <v>Barrio San Antonio</v>
          </cell>
          <cell r="I50" t="str">
            <v>25 de Mayo entre Punata</v>
          </cell>
          <cell r="J50" t="str">
            <v>21</v>
          </cell>
          <cell r="K50" t="str">
            <v>Uninominal</v>
          </cell>
          <cell r="L50" t="str">
            <v>-17.402</v>
          </cell>
          <cell r="M50" t="str">
            <v>-66.1545</v>
          </cell>
          <cell r="N50" t="str">
            <v>Urbano</v>
          </cell>
          <cell r="O50" t="str">
            <v>1824</v>
          </cell>
          <cell r="P50" t="str">
            <v>POINT (-66.1545 -17.402)</v>
          </cell>
          <cell r="Q50">
            <v>10</v>
          </cell>
          <cell r="R50">
            <v>0.36056988227738845</v>
          </cell>
        </row>
        <row r="51">
          <cell r="A51">
            <v>1825</v>
          </cell>
          <cell r="B51" t="str">
            <v>Escuela BolivarCochabamba</v>
          </cell>
          <cell r="C51" t="str">
            <v>Cochabamba</v>
          </cell>
          <cell r="D51" t="str">
            <v>Cercado</v>
          </cell>
          <cell r="E51" t="str">
            <v>Cochabamba</v>
          </cell>
          <cell r="F51" t="str">
            <v>Cochabamba</v>
          </cell>
          <cell r="G51" t="str">
            <v>Escuela Bolivar</v>
          </cell>
          <cell r="H51" t="str">
            <v>Barrio San Antonio</v>
          </cell>
          <cell r="I51" t="str">
            <v>Ayacucho y Punata</v>
          </cell>
          <cell r="J51" t="str">
            <v>21</v>
          </cell>
          <cell r="K51" t="str">
            <v>Uninominal</v>
          </cell>
          <cell r="L51" t="str">
            <v>-17.402</v>
          </cell>
          <cell r="M51" t="str">
            <v>-66.1572</v>
          </cell>
          <cell r="N51" t="str">
            <v>Urbano</v>
          </cell>
          <cell r="O51" t="str">
            <v>1825</v>
          </cell>
          <cell r="P51" t="str">
            <v>POINT (-66.1572 -17.402)</v>
          </cell>
          <cell r="Q51">
            <v>7</v>
          </cell>
          <cell r="R51">
            <v>0.33903132102615291</v>
          </cell>
        </row>
        <row r="52">
          <cell r="A52">
            <v>1826</v>
          </cell>
          <cell r="B52" t="str">
            <v>Centro KanataCochabamba</v>
          </cell>
          <cell r="C52" t="str">
            <v>Cochabamba</v>
          </cell>
          <cell r="D52" t="str">
            <v>Cercado</v>
          </cell>
          <cell r="E52" t="str">
            <v>Cochabamba</v>
          </cell>
          <cell r="F52" t="str">
            <v>Cochabamba</v>
          </cell>
          <cell r="G52" t="str">
            <v>Centro Kanata</v>
          </cell>
          <cell r="H52" t="str">
            <v>Canata</v>
          </cell>
          <cell r="I52" t="str">
            <v>Av. Ayacucho N° 1747</v>
          </cell>
          <cell r="J52" t="str">
            <v>21</v>
          </cell>
          <cell r="K52" t="str">
            <v>Uninominal</v>
          </cell>
          <cell r="L52" t="str">
            <v>-17.4139</v>
          </cell>
          <cell r="M52" t="str">
            <v>-66.1593</v>
          </cell>
          <cell r="N52" t="str">
            <v>Urbano</v>
          </cell>
          <cell r="O52" t="str">
            <v>1826</v>
          </cell>
          <cell r="P52" t="str">
            <v>POINT (-66.1593 -17.4139)</v>
          </cell>
          <cell r="Q52">
            <v>5</v>
          </cell>
          <cell r="R52">
            <v>0.36367483074235779</v>
          </cell>
        </row>
        <row r="53">
          <cell r="A53">
            <v>1827</v>
          </cell>
          <cell r="B53" t="str">
            <v>(Cárcel) Penitenciaria San Sebastian MujeresCochabamba</v>
          </cell>
          <cell r="C53" t="str">
            <v>Cochabamba</v>
          </cell>
          <cell r="D53" t="str">
            <v>Cercado</v>
          </cell>
          <cell r="E53" t="str">
            <v>Cochabamba</v>
          </cell>
          <cell r="F53" t="str">
            <v>Cochabamba</v>
          </cell>
          <cell r="G53" t="str">
            <v>(Cárcel) Penitenciaria San Sebastian Mujeres</v>
          </cell>
          <cell r="H53" t="str">
            <v>Geronimo de Osorio</v>
          </cell>
          <cell r="I53" t="str">
            <v>Plaz. San Sebastián Acera Oeste</v>
          </cell>
          <cell r="J53" t="str">
            <v>21</v>
          </cell>
          <cell r="K53" t="str">
            <v>Uninominal</v>
          </cell>
          <cell r="L53" t="str">
            <v>-17.3986</v>
          </cell>
          <cell r="M53" t="str">
            <v>-66.1606</v>
          </cell>
          <cell r="N53" t="str">
            <v>Urbano</v>
          </cell>
          <cell r="O53" t="str">
            <v>1827</v>
          </cell>
          <cell r="P53" t="str">
            <v>POINT (-66.1606 -17.3986)</v>
          </cell>
          <cell r="Q53">
            <v>1</v>
          </cell>
          <cell r="R53">
            <v>0.59166666666666667</v>
          </cell>
        </row>
        <row r="54">
          <cell r="A54">
            <v>1828</v>
          </cell>
          <cell r="B54" t="str">
            <v>Colegio La Salle FiscalCochabamba</v>
          </cell>
          <cell r="C54" t="str">
            <v>Cochabamba</v>
          </cell>
          <cell r="D54" t="str">
            <v>Cercado</v>
          </cell>
          <cell r="E54" t="str">
            <v>Cochabamba</v>
          </cell>
          <cell r="F54" t="str">
            <v>Cochabamba</v>
          </cell>
          <cell r="G54" t="str">
            <v>Colegio La Salle Fiscal</v>
          </cell>
          <cell r="H54" t="str">
            <v>Villa Coronilla</v>
          </cell>
          <cell r="I54" t="str">
            <v>Av. Tiahuanaco Frente a Tránsito</v>
          </cell>
          <cell r="J54" t="str">
            <v>21</v>
          </cell>
          <cell r="K54" t="str">
            <v>Uninominal</v>
          </cell>
          <cell r="L54" t="str">
            <v>-17.4049</v>
          </cell>
          <cell r="M54" t="str">
            <v>-66.1674</v>
          </cell>
          <cell r="N54" t="str">
            <v>Urbano</v>
          </cell>
          <cell r="O54" t="str">
            <v>1828</v>
          </cell>
          <cell r="P54" t="str">
            <v>POINT (-66.1674 -17.4049)</v>
          </cell>
          <cell r="Q54">
            <v>25</v>
          </cell>
          <cell r="R54">
            <v>0.24858550810524796</v>
          </cell>
        </row>
        <row r="55">
          <cell r="A55">
            <v>1829</v>
          </cell>
          <cell r="B55" t="str">
            <v>Liceo Adela ZamudioCochabamba</v>
          </cell>
          <cell r="C55" t="str">
            <v>Cochabamba</v>
          </cell>
          <cell r="D55" t="str">
            <v>Cercado</v>
          </cell>
          <cell r="E55" t="str">
            <v>Cochabamba</v>
          </cell>
          <cell r="F55" t="str">
            <v>Cochabamba</v>
          </cell>
          <cell r="G55" t="str">
            <v>Liceo Adela Zamudio</v>
          </cell>
          <cell r="H55" t="str">
            <v>Riosinho</v>
          </cell>
          <cell r="I55" t="str">
            <v>Av. Cap. Victor Ustariz (Frente al Vivero)</v>
          </cell>
          <cell r="J55" t="str">
            <v>20</v>
          </cell>
          <cell r="K55" t="str">
            <v>Uninominal</v>
          </cell>
          <cell r="L55" t="str">
            <v>-17.3964</v>
          </cell>
          <cell r="M55" t="str">
            <v>-66.1686</v>
          </cell>
          <cell r="N55" t="str">
            <v>Urbano</v>
          </cell>
          <cell r="O55" t="str">
            <v>1829</v>
          </cell>
          <cell r="P55" t="str">
            <v>POINT (-66.1686 -17.3964)</v>
          </cell>
          <cell r="Q55">
            <v>17</v>
          </cell>
          <cell r="R55">
            <v>0.22081928321893485</v>
          </cell>
        </row>
        <row r="56">
          <cell r="A56">
            <v>1830</v>
          </cell>
          <cell r="B56" t="str">
            <v>Unidad Educativa Santa Maria MicaelaCochabamba</v>
          </cell>
          <cell r="C56" t="str">
            <v>Cochabamba</v>
          </cell>
          <cell r="D56" t="str">
            <v>Cercado</v>
          </cell>
          <cell r="E56" t="str">
            <v>Cochabamba</v>
          </cell>
          <cell r="F56" t="str">
            <v>Cochabamba</v>
          </cell>
          <cell r="G56" t="str">
            <v>Unidad Educativa Santa Maria Micaela</v>
          </cell>
          <cell r="H56" t="str">
            <v>Chimba Central</v>
          </cell>
          <cell r="I56" t="str">
            <v>Av. Ingavi (Chimba) y Av. Rafael Pabón</v>
          </cell>
          <cell r="J56" t="str">
            <v>20</v>
          </cell>
          <cell r="K56" t="str">
            <v>Uninominal</v>
          </cell>
          <cell r="L56" t="str">
            <v>-17.4072</v>
          </cell>
          <cell r="M56" t="str">
            <v>-66.1766</v>
          </cell>
          <cell r="N56" t="str">
            <v>Urbano</v>
          </cell>
          <cell r="O56" t="str">
            <v>1830</v>
          </cell>
          <cell r="P56" t="str">
            <v>POINT (-66.1766 -17.4072)</v>
          </cell>
          <cell r="Q56">
            <v>25</v>
          </cell>
          <cell r="R56">
            <v>0.28774358298428043</v>
          </cell>
        </row>
        <row r="57">
          <cell r="A57">
            <v>1831</v>
          </cell>
          <cell r="B57" t="str">
            <v>Esc. Republica Del Peru O I. VasquezCochabamba</v>
          </cell>
          <cell r="C57" t="str">
            <v>Cochabamba</v>
          </cell>
          <cell r="D57" t="str">
            <v>Cercado</v>
          </cell>
          <cell r="E57" t="str">
            <v>Cochabamba</v>
          </cell>
          <cell r="F57" t="str">
            <v>Cochabamba</v>
          </cell>
          <cell r="G57" t="str">
            <v>Esc. Republica Del Peru O I. Vasquez</v>
          </cell>
          <cell r="H57" t="str">
            <v>Jaihuayco</v>
          </cell>
          <cell r="I57" t="str">
            <v>Plazuela de Jaihuayco</v>
          </cell>
          <cell r="J57" t="str">
            <v>21</v>
          </cell>
          <cell r="K57" t="str">
            <v>Uninominal</v>
          </cell>
          <cell r="L57" t="str">
            <v>-17.4151</v>
          </cell>
          <cell r="M57" t="str">
            <v>-66.1663</v>
          </cell>
          <cell r="N57" t="str">
            <v>Urbano</v>
          </cell>
          <cell r="O57" t="str">
            <v>1831</v>
          </cell>
          <cell r="P57" t="str">
            <v>POINT (-66.1663 -17.4151)</v>
          </cell>
          <cell r="Q57">
            <v>34</v>
          </cell>
          <cell r="R57">
            <v>0.32069128849463036</v>
          </cell>
        </row>
        <row r="58">
          <cell r="A58">
            <v>1832</v>
          </cell>
          <cell r="B58" t="str">
            <v>Unidad Educativa Estados UnidosCochabamba</v>
          </cell>
          <cell r="C58" t="str">
            <v>Cochabamba</v>
          </cell>
          <cell r="D58" t="str">
            <v>Cercado</v>
          </cell>
          <cell r="E58" t="str">
            <v>Cochabamba</v>
          </cell>
          <cell r="F58" t="str">
            <v>Cochabamba</v>
          </cell>
          <cell r="G58" t="str">
            <v>Unidad Educativa Estados Unidos</v>
          </cell>
          <cell r="H58" t="str">
            <v>Tercera Villa Norte</v>
          </cell>
          <cell r="I58" t="str">
            <v>Isiboro y Todos Santos</v>
          </cell>
          <cell r="J58" t="str">
            <v>21</v>
          </cell>
          <cell r="K58" t="str">
            <v>Uninominal</v>
          </cell>
          <cell r="L58" t="str">
            <v>-17.4191</v>
          </cell>
          <cell r="M58" t="str">
            <v>-66.1626</v>
          </cell>
          <cell r="N58" t="str">
            <v>Urbano</v>
          </cell>
          <cell r="O58" t="str">
            <v>1832</v>
          </cell>
          <cell r="P58" t="str">
            <v>POINT (-66.1626 -17.4191)</v>
          </cell>
          <cell r="Q58">
            <v>9</v>
          </cell>
          <cell r="R58">
            <v>0.34647729259921478</v>
          </cell>
        </row>
        <row r="59">
          <cell r="A59">
            <v>1833</v>
          </cell>
          <cell r="B59" t="str">
            <v>Colegio Yugoslavia ( Ex Mariscal Santa Cruz)Cochabamba</v>
          </cell>
          <cell r="C59" t="str">
            <v>Cochabamba</v>
          </cell>
          <cell r="D59" t="str">
            <v>Cercado</v>
          </cell>
          <cell r="E59" t="str">
            <v>Cochabamba</v>
          </cell>
          <cell r="F59" t="str">
            <v>Cochabamba</v>
          </cell>
          <cell r="G59" t="str">
            <v>Colegio Yugoslavia ( Ex Mariscal Santa Cruz)</v>
          </cell>
          <cell r="H59" t="str">
            <v>Canata</v>
          </cell>
          <cell r="I59" t="str">
            <v>Av. Panamerica entre Gral. Alvarez</v>
          </cell>
          <cell r="J59" t="str">
            <v>21</v>
          </cell>
          <cell r="K59" t="str">
            <v>Uninominal</v>
          </cell>
          <cell r="L59" t="str">
            <v>-17.4142</v>
          </cell>
          <cell r="M59" t="str">
            <v>-66.1576</v>
          </cell>
          <cell r="N59" t="str">
            <v>Urbano</v>
          </cell>
          <cell r="O59" t="str">
            <v>1833</v>
          </cell>
          <cell r="P59" t="str">
            <v>POINT (-66.1576 -17.4142)</v>
          </cell>
          <cell r="Q59">
            <v>13</v>
          </cell>
          <cell r="R59">
            <v>0.2769829338257071</v>
          </cell>
        </row>
        <row r="60">
          <cell r="A60">
            <v>1834</v>
          </cell>
          <cell r="B60" t="str">
            <v>Colegio Sergio Almaraz PazCochabamba</v>
          </cell>
          <cell r="C60" t="str">
            <v>Cochabamba</v>
          </cell>
          <cell r="D60" t="str">
            <v>Cercado</v>
          </cell>
          <cell r="E60" t="str">
            <v>Cochabamba</v>
          </cell>
          <cell r="F60" t="str">
            <v>Cochabamba</v>
          </cell>
          <cell r="G60" t="str">
            <v>Colegio Sergio Almaraz Paz</v>
          </cell>
          <cell r="H60" t="str">
            <v>La Patria Urb. La Promotora</v>
          </cell>
          <cell r="I60" t="str">
            <v>Villa Loreto Tras Parroquia Calle N. Rios</v>
          </cell>
          <cell r="J60" t="str">
            <v>21</v>
          </cell>
          <cell r="K60" t="str">
            <v>Uninominal</v>
          </cell>
          <cell r="L60" t="str">
            <v>-17.4215</v>
          </cell>
          <cell r="M60" t="str">
            <v>-66.1598</v>
          </cell>
          <cell r="N60" t="str">
            <v>Urbano</v>
          </cell>
          <cell r="O60" t="str">
            <v>1834</v>
          </cell>
          <cell r="P60" t="str">
            <v>POINT (-66.1598 -17.4215)</v>
          </cell>
          <cell r="Q60">
            <v>26</v>
          </cell>
          <cell r="R60">
            <v>0.34671666916481753</v>
          </cell>
        </row>
        <row r="61">
          <cell r="A61">
            <v>1835</v>
          </cell>
          <cell r="B61" t="str">
            <v>Unidad Educativa Andres BelloCochabamba</v>
          </cell>
          <cell r="C61" t="str">
            <v>Cochabamba</v>
          </cell>
          <cell r="D61" t="str">
            <v>Cercado</v>
          </cell>
          <cell r="E61" t="str">
            <v>Cochabamba</v>
          </cell>
          <cell r="F61" t="str">
            <v>Cochabamba</v>
          </cell>
          <cell r="G61" t="str">
            <v>Unidad Educativa Andres Bello</v>
          </cell>
          <cell r="H61" t="str">
            <v>Villa Santa Cruz</v>
          </cell>
          <cell r="I61" t="str">
            <v>Av. Republica Sud</v>
          </cell>
          <cell r="J61" t="str">
            <v>21</v>
          </cell>
          <cell r="K61" t="str">
            <v>Uninominal</v>
          </cell>
          <cell r="L61" t="str">
            <v>-17.4158</v>
          </cell>
          <cell r="M61" t="str">
            <v>-66.1512</v>
          </cell>
          <cell r="N61" t="str">
            <v>Urbano</v>
          </cell>
          <cell r="O61" t="str">
            <v>1835</v>
          </cell>
          <cell r="P61" t="str">
            <v>POINT (-66.1512 -17.4158)</v>
          </cell>
          <cell r="Q61">
            <v>21</v>
          </cell>
          <cell r="R61">
            <v>0.54294926005203814</v>
          </cell>
        </row>
        <row r="62">
          <cell r="A62">
            <v>1836</v>
          </cell>
          <cell r="B62" t="str">
            <v>Colegio Ismael Montes O Luis EspinalCochabamba</v>
          </cell>
          <cell r="C62" t="str">
            <v>Cochabamba</v>
          </cell>
          <cell r="D62" t="str">
            <v>Cercado</v>
          </cell>
          <cell r="E62" t="str">
            <v>Cochabamba</v>
          </cell>
          <cell r="F62" t="str">
            <v>Cochabamba</v>
          </cell>
          <cell r="G62" t="str">
            <v>Colegio Ismael Montes O Luis Espinal</v>
          </cell>
          <cell r="H62" t="str">
            <v>Cerro Verde Central</v>
          </cell>
          <cell r="I62" t="str">
            <v>Cerro Verde-Martin Fierro y Yawar Mallku</v>
          </cell>
          <cell r="J62" t="str">
            <v>21</v>
          </cell>
          <cell r="K62" t="str">
            <v>Uninominal</v>
          </cell>
          <cell r="L62" t="str">
            <v>-17.4156</v>
          </cell>
          <cell r="M62" t="str">
            <v>-66.1446</v>
          </cell>
          <cell r="N62" t="str">
            <v>Urbano</v>
          </cell>
          <cell r="O62" t="str">
            <v>1836</v>
          </cell>
          <cell r="P62" t="str">
            <v>POINT (-66.1446 -17.4156)</v>
          </cell>
          <cell r="Q62">
            <v>21</v>
          </cell>
          <cell r="R62">
            <v>0.56019339502271304</v>
          </cell>
        </row>
        <row r="63">
          <cell r="A63">
            <v>1837</v>
          </cell>
          <cell r="B63" t="str">
            <v>Colegio Martin CardenasCochabamba</v>
          </cell>
          <cell r="C63" t="str">
            <v>Cochabamba</v>
          </cell>
          <cell r="D63" t="str">
            <v>Cercado</v>
          </cell>
          <cell r="E63" t="str">
            <v>Cochabamba</v>
          </cell>
          <cell r="F63" t="str">
            <v>Cochabamba</v>
          </cell>
          <cell r="G63" t="str">
            <v>Colegio Martin Cardenas</v>
          </cell>
          <cell r="H63" t="str">
            <v>Barrio Minero Alalay</v>
          </cell>
          <cell r="I63" t="str">
            <v>Villa Alalay Av. Siglo Xx y 10 de Noviembre</v>
          </cell>
          <cell r="J63" t="str">
            <v>21</v>
          </cell>
          <cell r="K63" t="str">
            <v>Uninominal</v>
          </cell>
          <cell r="L63" t="str">
            <v>-17.42</v>
          </cell>
          <cell r="M63" t="str">
            <v>-66.1372</v>
          </cell>
          <cell r="N63" t="str">
            <v>Urbano</v>
          </cell>
          <cell r="O63" t="str">
            <v>1837</v>
          </cell>
          <cell r="P63" t="str">
            <v>POINT (-66.1372 -17.42)</v>
          </cell>
          <cell r="Q63">
            <v>21</v>
          </cell>
          <cell r="R63">
            <v>0.47198767254946211</v>
          </cell>
        </row>
        <row r="64">
          <cell r="A64">
            <v>1838</v>
          </cell>
          <cell r="B64" t="str">
            <v>Colegio Santa Luisa MarillacCochabamba</v>
          </cell>
          <cell r="C64" t="str">
            <v>Cochabamba</v>
          </cell>
          <cell r="D64" t="str">
            <v>Cercado</v>
          </cell>
          <cell r="E64" t="str">
            <v>Cochabamba</v>
          </cell>
          <cell r="F64" t="str">
            <v>Cochabamba</v>
          </cell>
          <cell r="G64" t="str">
            <v>Colegio Santa Luisa Marillac</v>
          </cell>
          <cell r="H64" t="str">
            <v>Nuevo Amanecer</v>
          </cell>
          <cell r="I64" t="str">
            <v>Barrio Venezuela</v>
          </cell>
          <cell r="J64" t="str">
            <v>21</v>
          </cell>
          <cell r="K64" t="str">
            <v>Uninominal</v>
          </cell>
          <cell r="L64" t="str">
            <v>-17.4288</v>
          </cell>
          <cell r="M64" t="str">
            <v>-66.1297</v>
          </cell>
          <cell r="N64" t="str">
            <v>Urbano</v>
          </cell>
          <cell r="O64" t="str">
            <v>1838</v>
          </cell>
          <cell r="P64" t="str">
            <v>POINT (-66.1297 -17.4288)</v>
          </cell>
          <cell r="Q64">
            <v>26</v>
          </cell>
          <cell r="R64">
            <v>0.65996257357417221</v>
          </cell>
        </row>
        <row r="65">
          <cell r="A65">
            <v>1839</v>
          </cell>
          <cell r="B65" t="str">
            <v>Colegio Sebastian PagadorCochabamba</v>
          </cell>
          <cell r="C65" t="str">
            <v>Cochabamba</v>
          </cell>
          <cell r="D65" t="str">
            <v>Cercado</v>
          </cell>
          <cell r="E65" t="str">
            <v>Cochabamba</v>
          </cell>
          <cell r="F65" t="str">
            <v>Cochabamba</v>
          </cell>
          <cell r="G65" t="str">
            <v>Colegio Sebastian Pagador</v>
          </cell>
          <cell r="H65" t="str">
            <v>V. Sebastian Pagador 2do. Grupo</v>
          </cell>
          <cell r="I65" t="str">
            <v>Villa Sebastian Pagador Av. Machacamarca, C/ San Felipe de Austria</v>
          </cell>
          <cell r="J65" t="str">
            <v>21</v>
          </cell>
          <cell r="K65" t="str">
            <v>Uninominal</v>
          </cell>
          <cell r="L65" t="str">
            <v>-17.4396</v>
          </cell>
          <cell r="M65" t="str">
            <v>-66.1181</v>
          </cell>
          <cell r="N65" t="str">
            <v>Urbano</v>
          </cell>
          <cell r="O65" t="str">
            <v>1839</v>
          </cell>
          <cell r="P65" t="str">
            <v>POINT (-66.1181 -17.4396)</v>
          </cell>
          <cell r="Q65">
            <v>33</v>
          </cell>
          <cell r="R65">
            <v>0.75061581315389247</v>
          </cell>
        </row>
        <row r="66">
          <cell r="A66">
            <v>1840</v>
          </cell>
          <cell r="B66" t="str">
            <v>Escuela Buenas Nuevas ACochabamba</v>
          </cell>
          <cell r="C66" t="str">
            <v>Cochabamba</v>
          </cell>
          <cell r="D66" t="str">
            <v>Cercado</v>
          </cell>
          <cell r="E66" t="str">
            <v>Cochabamba</v>
          </cell>
          <cell r="F66" t="str">
            <v>Cochabamba</v>
          </cell>
          <cell r="G66" t="str">
            <v>Escuela Buenas Nuevas A</v>
          </cell>
          <cell r="H66" t="str">
            <v>Huayra Khasa</v>
          </cell>
          <cell r="I66" t="str">
            <v>Av. Suecia  Acera  Sud Cerca al Pje 15</v>
          </cell>
          <cell r="J66" t="str">
            <v>21</v>
          </cell>
          <cell r="K66" t="str">
            <v>Uninominal</v>
          </cell>
          <cell r="L66" t="str">
            <v>-17.4199</v>
          </cell>
          <cell r="M66" t="str">
            <v>-66.1457</v>
          </cell>
          <cell r="N66" t="str">
            <v>Urbano</v>
          </cell>
          <cell r="O66" t="str">
            <v>1840</v>
          </cell>
          <cell r="P66" t="str">
            <v>POINT (-66.1457 -17.4199)</v>
          </cell>
          <cell r="Q66">
            <v>21</v>
          </cell>
          <cell r="R66">
            <v>0.57528365309230911</v>
          </cell>
        </row>
        <row r="67">
          <cell r="A67">
            <v>1841</v>
          </cell>
          <cell r="B67" t="str">
            <v>Escuela Camara JuniorCochabamba</v>
          </cell>
          <cell r="C67" t="str">
            <v>Cochabamba</v>
          </cell>
          <cell r="D67" t="str">
            <v>Cercado</v>
          </cell>
          <cell r="E67" t="str">
            <v>Cochabamba</v>
          </cell>
          <cell r="F67" t="str">
            <v>Cochabamba</v>
          </cell>
          <cell r="G67" t="str">
            <v>Escuela Camara Junior</v>
          </cell>
          <cell r="H67" t="str">
            <v>Barrio Lindo</v>
          </cell>
          <cell r="I67" t="str">
            <v>Panamericana y J. Guzman Aguirre</v>
          </cell>
          <cell r="J67" t="str">
            <v>21</v>
          </cell>
          <cell r="K67" t="str">
            <v>Uninominal</v>
          </cell>
          <cell r="L67" t="str">
            <v>-17.4282</v>
          </cell>
          <cell r="M67" t="str">
            <v>-66.1597</v>
          </cell>
          <cell r="N67" t="str">
            <v>Urbano</v>
          </cell>
          <cell r="O67" t="str">
            <v>1841</v>
          </cell>
          <cell r="P67" t="str">
            <v>POINT (-66.1597 -17.4282)</v>
          </cell>
          <cell r="Q67">
            <v>11</v>
          </cell>
          <cell r="R67">
            <v>0.45316373638848884</v>
          </cell>
        </row>
        <row r="68">
          <cell r="A68">
            <v>1842</v>
          </cell>
          <cell r="B68" t="str">
            <v>Unidad Educ. Eduardo Lopez O E. Don BoscoCochabamba</v>
          </cell>
          <cell r="C68" t="str">
            <v>Cochabamba</v>
          </cell>
          <cell r="D68" t="str">
            <v>Cercado</v>
          </cell>
          <cell r="E68" t="str">
            <v>Cochabamba</v>
          </cell>
          <cell r="F68" t="str">
            <v>Cochabamba</v>
          </cell>
          <cell r="G68" t="str">
            <v>Unidad Educ. Eduardo Lopez O E. Don Bosco</v>
          </cell>
          <cell r="H68" t="str">
            <v>Eduardo Lopez Champarancho</v>
          </cell>
          <cell r="I68" t="str">
            <v>Champa Rancho</v>
          </cell>
          <cell r="J68" t="str">
            <v>22</v>
          </cell>
          <cell r="K68" t="str">
            <v>Uninominal</v>
          </cell>
          <cell r="L68" t="str">
            <v>-17.4273</v>
          </cell>
          <cell r="M68" t="str">
            <v>-66.1772</v>
          </cell>
          <cell r="N68" t="str">
            <v>Urbano</v>
          </cell>
          <cell r="O68" t="str">
            <v>1842</v>
          </cell>
          <cell r="P68" t="str">
            <v>POINT (-66.1772 -17.4273)</v>
          </cell>
          <cell r="Q68">
            <v>15</v>
          </cell>
          <cell r="R68">
            <v>0.62547068328997746</v>
          </cell>
        </row>
        <row r="69">
          <cell r="A69">
            <v>1843</v>
          </cell>
          <cell r="B69" t="str">
            <v>Centro Educativo P.  Maria AuxiliadoraCochabamba</v>
          </cell>
          <cell r="C69" t="str">
            <v>Cochabamba</v>
          </cell>
          <cell r="D69" t="str">
            <v>Cercado</v>
          </cell>
          <cell r="E69" t="str">
            <v>Cochabamba</v>
          </cell>
          <cell r="F69" t="str">
            <v>Cochabamba</v>
          </cell>
          <cell r="G69" t="str">
            <v>Centro Educativo P.  Maria Auxiliadora</v>
          </cell>
          <cell r="H69" t="str">
            <v>San Juan Bosco</v>
          </cell>
          <cell r="I69" t="str">
            <v>Villa México, San Francisco y San Felipe</v>
          </cell>
          <cell r="J69" t="str">
            <v>21</v>
          </cell>
          <cell r="K69" t="str">
            <v>Uninominal</v>
          </cell>
          <cell r="L69" t="str">
            <v>-17.4358</v>
          </cell>
          <cell r="M69" t="str">
            <v>-66.1595</v>
          </cell>
          <cell r="N69" t="str">
            <v>Urbano</v>
          </cell>
          <cell r="O69" t="str">
            <v>1843</v>
          </cell>
          <cell r="P69" t="str">
            <v>POINT (-66.1595 -17.4358)</v>
          </cell>
          <cell r="Q69">
            <v>25</v>
          </cell>
          <cell r="R69">
            <v>0.48696487032337793</v>
          </cell>
        </row>
        <row r="70">
          <cell r="A70">
            <v>1844</v>
          </cell>
          <cell r="B70" t="str">
            <v>Colegio San Francisco de AsisCochabamba</v>
          </cell>
          <cell r="C70" t="str">
            <v>Cochabamba</v>
          </cell>
          <cell r="D70" t="str">
            <v>Cercado</v>
          </cell>
          <cell r="E70" t="str">
            <v>Cochabamba</v>
          </cell>
          <cell r="F70" t="str">
            <v>Cochabamba</v>
          </cell>
          <cell r="G70" t="str">
            <v>Colegio San Francisco de Asis</v>
          </cell>
          <cell r="H70" t="str">
            <v>San Juan Bosco</v>
          </cell>
          <cell r="I70" t="str">
            <v>Lado del Templo de Villa México</v>
          </cell>
          <cell r="J70" t="str">
            <v>21</v>
          </cell>
          <cell r="K70" t="str">
            <v>Uninominal</v>
          </cell>
          <cell r="L70" t="str">
            <v>-17.4332</v>
          </cell>
          <cell r="M70" t="str">
            <v>-66.1572</v>
          </cell>
          <cell r="N70" t="str">
            <v>Urbano</v>
          </cell>
          <cell r="O70" t="str">
            <v>1844</v>
          </cell>
          <cell r="P70" t="str">
            <v>POINT (-66.1572 -17.4332)</v>
          </cell>
          <cell r="Q70">
            <v>34</v>
          </cell>
          <cell r="R70">
            <v>0.45360356791274953</v>
          </cell>
        </row>
        <row r="71">
          <cell r="A71">
            <v>1845</v>
          </cell>
          <cell r="B71" t="str">
            <v>Unidad Educativa Obispo AnayaCochabamba</v>
          </cell>
          <cell r="C71" t="str">
            <v>Cochabamba</v>
          </cell>
          <cell r="D71" t="str">
            <v>Cercado</v>
          </cell>
          <cell r="E71" t="str">
            <v>Cochabamba</v>
          </cell>
          <cell r="F71" t="str">
            <v>Cochabamba</v>
          </cell>
          <cell r="G71" t="str">
            <v>Unidad Educativa Obispo Anaya</v>
          </cell>
          <cell r="H71" t="str">
            <v>Valle Hermoso Central</v>
          </cell>
          <cell r="I71" t="str">
            <v>Templo de Santa Vera Cruz</v>
          </cell>
          <cell r="J71" t="str">
            <v>21</v>
          </cell>
          <cell r="K71" t="str">
            <v>Uninominal</v>
          </cell>
          <cell r="L71" t="str">
            <v>-17.4524</v>
          </cell>
          <cell r="M71" t="str">
            <v>-66.1294</v>
          </cell>
          <cell r="N71" t="str">
            <v>Urbano</v>
          </cell>
          <cell r="O71" t="str">
            <v>1845</v>
          </cell>
          <cell r="P71" t="str">
            <v>POINT (-66.1294 -17.4524)</v>
          </cell>
          <cell r="Q71">
            <v>13</v>
          </cell>
          <cell r="R71">
            <v>0.67544064417136751</v>
          </cell>
        </row>
        <row r="72">
          <cell r="A72">
            <v>1846</v>
          </cell>
          <cell r="B72" t="str">
            <v>Unidad Educativa Vision MundialCochabamba</v>
          </cell>
          <cell r="C72" t="str">
            <v>Cochabamba</v>
          </cell>
          <cell r="D72" t="str">
            <v>Cercado</v>
          </cell>
          <cell r="E72" t="str">
            <v>Cochabamba</v>
          </cell>
          <cell r="F72" t="str">
            <v>Cochabamba</v>
          </cell>
          <cell r="G72" t="str">
            <v>Unidad Educativa Vision Mundial</v>
          </cell>
          <cell r="H72" t="str">
            <v>B. Universitario Alto</v>
          </cell>
          <cell r="I72" t="str">
            <v>Av. Petrolera Km. 3 1/2</v>
          </cell>
          <cell r="J72" t="str">
            <v>21</v>
          </cell>
          <cell r="K72" t="str">
            <v>Uninominal</v>
          </cell>
          <cell r="L72" t="str">
            <v>-17.4399</v>
          </cell>
          <cell r="M72" t="str">
            <v>-66.1441</v>
          </cell>
          <cell r="N72" t="str">
            <v>Urbano</v>
          </cell>
          <cell r="O72" t="str">
            <v>1846</v>
          </cell>
          <cell r="P72" t="str">
            <v>POINT (-66.1441 -17.4399)</v>
          </cell>
          <cell r="Q72">
            <v>22</v>
          </cell>
          <cell r="R72">
            <v>0.60737811938484032</v>
          </cell>
        </row>
        <row r="73">
          <cell r="A73">
            <v>1847</v>
          </cell>
          <cell r="B73" t="str">
            <v>Escuela Gerardo VargasCochabamba</v>
          </cell>
          <cell r="C73" t="str">
            <v>Cochabamba</v>
          </cell>
          <cell r="D73" t="str">
            <v>Cercado</v>
          </cell>
          <cell r="E73" t="str">
            <v>Cochabamba</v>
          </cell>
          <cell r="F73" t="str">
            <v>Cochabamba</v>
          </cell>
          <cell r="G73" t="str">
            <v>Escuela Gerardo Vargas</v>
          </cell>
          <cell r="H73" t="str">
            <v>Villa San Miguel</v>
          </cell>
          <cell r="I73" t="str">
            <v>Valle Hermoso Norte</v>
          </cell>
          <cell r="J73" t="str">
            <v>21</v>
          </cell>
          <cell r="K73" t="str">
            <v>Uninominal</v>
          </cell>
          <cell r="L73" t="str">
            <v>-17.4397</v>
          </cell>
          <cell r="M73" t="str">
            <v>-66.1285</v>
          </cell>
          <cell r="N73" t="str">
            <v>Urbano</v>
          </cell>
          <cell r="O73" t="str">
            <v>1847</v>
          </cell>
          <cell r="P73" t="str">
            <v>POINT (-66.1285 -17.4397)</v>
          </cell>
          <cell r="Q73">
            <v>26</v>
          </cell>
          <cell r="R73">
            <v>0.75126817775740784</v>
          </cell>
        </row>
        <row r="74">
          <cell r="A74">
            <v>1848</v>
          </cell>
          <cell r="B74" t="str">
            <v>Unidad Educativa El Salvador San JavierCochabamba</v>
          </cell>
          <cell r="C74" t="str">
            <v>Cochabamba</v>
          </cell>
          <cell r="D74" t="str">
            <v>Cercado</v>
          </cell>
          <cell r="E74" t="str">
            <v>Cochabamba</v>
          </cell>
          <cell r="F74" t="str">
            <v>Cochabamba</v>
          </cell>
          <cell r="G74" t="str">
            <v>Unidad Educativa El Salvador San Javier</v>
          </cell>
          <cell r="H74" t="str">
            <v>El Salvador</v>
          </cell>
          <cell r="I74" t="str">
            <v>Valle Hermoso Calle Grecia y Belgica</v>
          </cell>
          <cell r="J74" t="str">
            <v>21</v>
          </cell>
          <cell r="K74" t="str">
            <v>Uninominal</v>
          </cell>
          <cell r="L74" t="str">
            <v>-17.447</v>
          </cell>
          <cell r="M74" t="str">
            <v>-66.1205</v>
          </cell>
          <cell r="N74" t="str">
            <v>Urbano</v>
          </cell>
          <cell r="O74" t="str">
            <v>1848</v>
          </cell>
          <cell r="P74" t="str">
            <v>POINT (-66.1205 -17.447)</v>
          </cell>
          <cell r="Q74">
            <v>22</v>
          </cell>
          <cell r="R74">
            <v>0.68418226064570531</v>
          </cell>
        </row>
        <row r="75">
          <cell r="A75">
            <v>1849</v>
          </cell>
          <cell r="B75" t="str">
            <v>Centro Integrado El Salvador S Vera CruzCochabamba</v>
          </cell>
          <cell r="C75" t="str">
            <v>Cochabamba</v>
          </cell>
          <cell r="D75" t="str">
            <v>Cercado</v>
          </cell>
          <cell r="E75" t="str">
            <v>Cochabamba</v>
          </cell>
          <cell r="F75" t="str">
            <v>Cochabamba</v>
          </cell>
          <cell r="G75" t="str">
            <v>Centro Integrado El Salvador S Vera Cruz</v>
          </cell>
          <cell r="H75" t="str">
            <v>Santa Vera Cruz</v>
          </cell>
          <cell r="I75" t="str">
            <v>Av. Petrolera Km. 5</v>
          </cell>
          <cell r="J75" t="str">
            <v>21</v>
          </cell>
          <cell r="K75" t="str">
            <v>Uninominal</v>
          </cell>
          <cell r="L75" t="str">
            <v>-17.4604</v>
          </cell>
          <cell r="M75" t="str">
            <v>-66.1243</v>
          </cell>
          <cell r="N75" t="str">
            <v>Urbano</v>
          </cell>
          <cell r="O75" t="str">
            <v>1849</v>
          </cell>
          <cell r="P75" t="str">
            <v>POINT (-66.1243 -17.4604)</v>
          </cell>
          <cell r="Q75">
            <v>9</v>
          </cell>
          <cell r="R75" t="str">
            <v>Sin Info</v>
          </cell>
        </row>
        <row r="76">
          <cell r="A76">
            <v>1850</v>
          </cell>
          <cell r="B76" t="str">
            <v>Unidad Educativa Rene Barrientos OrtuñoCochabamba</v>
          </cell>
          <cell r="C76" t="str">
            <v>Cochabamba</v>
          </cell>
          <cell r="D76" t="str">
            <v>Cercado</v>
          </cell>
          <cell r="E76" t="str">
            <v>Cochabamba</v>
          </cell>
          <cell r="F76" t="str">
            <v>Cochabamba</v>
          </cell>
          <cell r="G76" t="str">
            <v>Unidad Educativa Rene Barrientos Ortuño</v>
          </cell>
          <cell r="H76" t="str">
            <v>Uspha Uspha</v>
          </cell>
          <cell r="I76" t="str">
            <v>Uspa Uspa</v>
          </cell>
          <cell r="J76" t="str">
            <v>21</v>
          </cell>
          <cell r="K76" t="str">
            <v>Uninominal</v>
          </cell>
          <cell r="L76" t="str">
            <v>-17.477</v>
          </cell>
          <cell r="M76" t="str">
            <v>-66.1101</v>
          </cell>
          <cell r="N76" t="str">
            <v>Urbano</v>
          </cell>
          <cell r="O76" t="str">
            <v>1850</v>
          </cell>
          <cell r="P76" t="str">
            <v>POINT (-66.1101 -17.477)</v>
          </cell>
          <cell r="Q76">
            <v>28</v>
          </cell>
          <cell r="R76">
            <v>0.81604465494539113</v>
          </cell>
        </row>
        <row r="77">
          <cell r="A77">
            <v>1851</v>
          </cell>
          <cell r="B77" t="str">
            <v>Colegio San Antonio De PucaraCochabamba</v>
          </cell>
          <cell r="C77" t="str">
            <v>Cochabamba</v>
          </cell>
          <cell r="D77" t="str">
            <v>Cercado</v>
          </cell>
          <cell r="E77" t="str">
            <v>Cochabamba</v>
          </cell>
          <cell r="F77" t="str">
            <v>Cochabamba</v>
          </cell>
          <cell r="G77" t="str">
            <v>Colegio San Antonio De Pucara</v>
          </cell>
          <cell r="H77" t="str">
            <v>El Samaritano</v>
          </cell>
          <cell r="I77" t="str">
            <v>Pucara</v>
          </cell>
          <cell r="J77" t="str">
            <v>22</v>
          </cell>
          <cell r="K77" t="str">
            <v>Uninominal</v>
          </cell>
          <cell r="L77" t="str">
            <v>-17.4545</v>
          </cell>
          <cell r="M77" t="str">
            <v>-66.1666</v>
          </cell>
          <cell r="N77" t="str">
            <v>Urbano</v>
          </cell>
          <cell r="O77" t="str">
            <v>1851</v>
          </cell>
          <cell r="P77" t="str">
            <v>POINT (-66.1666 -17.4545)</v>
          </cell>
          <cell r="Q77">
            <v>58</v>
          </cell>
          <cell r="R77">
            <v>0.72409574447868297</v>
          </cell>
        </row>
        <row r="78">
          <cell r="A78">
            <v>1852</v>
          </cell>
          <cell r="B78" t="str">
            <v>Colegio Laura VicuñaCochabamba</v>
          </cell>
          <cell r="C78" t="str">
            <v>Cochabamba</v>
          </cell>
          <cell r="D78" t="str">
            <v>Cercado</v>
          </cell>
          <cell r="E78" t="str">
            <v>Cochabamba</v>
          </cell>
          <cell r="F78" t="str">
            <v>Cochabamba</v>
          </cell>
          <cell r="G78" t="str">
            <v>Colegio Laura Vicuña</v>
          </cell>
          <cell r="H78" t="str">
            <v>Barrio Bolivar</v>
          </cell>
          <cell r="I78" t="str">
            <v>Itocta</v>
          </cell>
          <cell r="J78" t="str">
            <v>22</v>
          </cell>
          <cell r="K78" t="str">
            <v>Uninominal</v>
          </cell>
          <cell r="L78" t="str">
            <v>-17.4425</v>
          </cell>
          <cell r="M78" t="str">
            <v>-66.1918</v>
          </cell>
          <cell r="N78" t="str">
            <v>Urbano</v>
          </cell>
          <cell r="O78" t="str">
            <v>1852</v>
          </cell>
          <cell r="P78" t="str">
            <v>POINT (-66.1918 -17.4425)</v>
          </cell>
          <cell r="Q78">
            <v>7</v>
          </cell>
          <cell r="R78">
            <v>0.65995738316090857</v>
          </cell>
        </row>
        <row r="79">
          <cell r="A79">
            <v>1853</v>
          </cell>
          <cell r="B79" t="str">
            <v>Escuela Ceferino NamuncuraCochabamba</v>
          </cell>
          <cell r="C79" t="str">
            <v>Cochabamba</v>
          </cell>
          <cell r="D79" t="str">
            <v>Cercado</v>
          </cell>
          <cell r="E79" t="str">
            <v>Cochabamba</v>
          </cell>
          <cell r="F79" t="str">
            <v>Cochabamba</v>
          </cell>
          <cell r="G79" t="str">
            <v>Escuela Ceferino Namuncura</v>
          </cell>
          <cell r="H79" t="str">
            <v>Sind. Agr. Alba Rancho</v>
          </cell>
          <cell r="I79" t="str">
            <v>Alba Rancho</v>
          </cell>
          <cell r="J79" t="str">
            <v>22</v>
          </cell>
          <cell r="K79" t="str">
            <v>Uninominal</v>
          </cell>
          <cell r="L79" t="str">
            <v>-17.4422</v>
          </cell>
          <cell r="M79" t="str">
            <v>-66.2296</v>
          </cell>
          <cell r="N79" t="str">
            <v>Urbano</v>
          </cell>
          <cell r="O79" t="str">
            <v>1853</v>
          </cell>
          <cell r="P79" t="str">
            <v>POINT (-66.2296 -17.4422)</v>
          </cell>
          <cell r="Q79">
            <v>7</v>
          </cell>
          <cell r="R79">
            <v>0.69876093030880693</v>
          </cell>
        </row>
        <row r="80">
          <cell r="A80">
            <v>1854</v>
          </cell>
          <cell r="B80" t="str">
            <v>Unidad Educativa Demetrio CanelasCochabamba</v>
          </cell>
          <cell r="C80" t="str">
            <v>Cochabamba</v>
          </cell>
          <cell r="D80" t="str">
            <v>Cercado</v>
          </cell>
          <cell r="E80" t="str">
            <v>Cochabamba</v>
          </cell>
          <cell r="F80" t="str">
            <v>Cochabamba</v>
          </cell>
          <cell r="G80" t="str">
            <v>Unidad Educativa Demetrio Canelas</v>
          </cell>
          <cell r="H80" t="str">
            <v>Sind. Agr. Maica Central</v>
          </cell>
          <cell r="I80" t="str">
            <v>La Maica</v>
          </cell>
          <cell r="J80" t="str">
            <v>22</v>
          </cell>
          <cell r="K80" t="str">
            <v>Uninominal</v>
          </cell>
          <cell r="L80" t="str">
            <v>-17.4231</v>
          </cell>
          <cell r="M80" t="str">
            <v>-66.2023</v>
          </cell>
          <cell r="N80" t="str">
            <v>Urbano</v>
          </cell>
          <cell r="O80" t="str">
            <v>1854</v>
          </cell>
          <cell r="P80" t="str">
            <v>POINT (-66.2023 -17.4231)</v>
          </cell>
          <cell r="Q80">
            <v>12</v>
          </cell>
          <cell r="R80">
            <v>0.72703280382503643</v>
          </cell>
        </row>
        <row r="81">
          <cell r="A81">
            <v>1855</v>
          </cell>
          <cell r="B81" t="str">
            <v>Escuela 6 de AgostoCochabamba</v>
          </cell>
          <cell r="C81" t="str">
            <v>Cochabamba</v>
          </cell>
          <cell r="D81" t="str">
            <v>Cercado</v>
          </cell>
          <cell r="E81" t="str">
            <v>Cochabamba</v>
          </cell>
          <cell r="F81" t="str">
            <v>Cochabamba</v>
          </cell>
          <cell r="G81" t="str">
            <v>Escuela 6 de Agosto</v>
          </cell>
          <cell r="H81" t="str">
            <v>Villa Mejillones</v>
          </cell>
          <cell r="I81" t="str">
            <v>Chaqui Mayu Zona Sud</v>
          </cell>
          <cell r="J81" t="str">
            <v>22</v>
          </cell>
          <cell r="K81" t="str">
            <v>Uninominal</v>
          </cell>
          <cell r="L81" t="str">
            <v>-17.4853</v>
          </cell>
          <cell r="M81" t="str">
            <v>-66.1732</v>
          </cell>
          <cell r="N81" t="str">
            <v>Urbano</v>
          </cell>
          <cell r="O81" t="str">
            <v>1855</v>
          </cell>
          <cell r="P81" t="str">
            <v>POINT (-66.1732 -17.4853)</v>
          </cell>
          <cell r="Q81">
            <v>36</v>
          </cell>
          <cell r="R81">
            <v>0.83163764607943791</v>
          </cell>
        </row>
        <row r="82">
          <cell r="A82">
            <v>1856</v>
          </cell>
          <cell r="B82" t="str">
            <v>Colegio IrlandesCochabamba</v>
          </cell>
          <cell r="C82" t="str">
            <v>Cochabamba</v>
          </cell>
          <cell r="D82" t="str">
            <v>Cercado</v>
          </cell>
          <cell r="E82" t="str">
            <v>Cochabamba</v>
          </cell>
          <cell r="F82" t="str">
            <v>Cochabamba</v>
          </cell>
          <cell r="G82" t="str">
            <v>Colegio Irlandes</v>
          </cell>
          <cell r="H82" t="str">
            <v>Irlandes</v>
          </cell>
          <cell r="I82" t="str">
            <v>Av. 23 de Marzo</v>
          </cell>
          <cell r="J82" t="str">
            <v>21</v>
          </cell>
          <cell r="K82" t="str">
            <v>Uninominal</v>
          </cell>
          <cell r="L82" t="str">
            <v>-17.376</v>
          </cell>
          <cell r="M82" t="str">
            <v>-66.1373</v>
          </cell>
          <cell r="N82" t="str">
            <v>Urbano</v>
          </cell>
          <cell r="O82" t="str">
            <v>1856</v>
          </cell>
          <cell r="P82" t="str">
            <v>POINT (-66.1373 -17.376)</v>
          </cell>
          <cell r="Q82">
            <v>3</v>
          </cell>
          <cell r="R82">
            <v>0.13404987415261296</v>
          </cell>
        </row>
        <row r="83">
          <cell r="A83">
            <v>1857</v>
          </cell>
          <cell r="B83" t="str">
            <v>Escuela Eusebio TudelaCochabamba</v>
          </cell>
          <cell r="C83" t="str">
            <v>Cochabamba</v>
          </cell>
          <cell r="D83" t="str">
            <v>Cercado</v>
          </cell>
          <cell r="E83" t="str">
            <v>Cochabamba</v>
          </cell>
          <cell r="F83" t="str">
            <v>Cochabamba</v>
          </cell>
          <cell r="G83" t="str">
            <v>Escuela Eusebio Tudela</v>
          </cell>
          <cell r="H83" t="str">
            <v>Urb. Fortaleza El Paraiso</v>
          </cell>
          <cell r="I83" t="str">
            <v>Villa Primero de Mayo</v>
          </cell>
          <cell r="J83" t="str">
            <v>22</v>
          </cell>
          <cell r="K83" t="str">
            <v>Uninominal</v>
          </cell>
          <cell r="L83" t="str">
            <v>-17.4457</v>
          </cell>
          <cell r="M83" t="str">
            <v>-66.2106</v>
          </cell>
          <cell r="N83" t="str">
            <v>Urbano</v>
          </cell>
          <cell r="O83" t="str">
            <v>1857</v>
          </cell>
          <cell r="P83" t="str">
            <v>POINT (-66.2106 -17.4457)</v>
          </cell>
          <cell r="Q83">
            <v>20</v>
          </cell>
          <cell r="R83">
            <v>0.77738217755436134</v>
          </cell>
        </row>
        <row r="84">
          <cell r="A84">
            <v>1858</v>
          </cell>
          <cell r="B84" t="str">
            <v>Escuela Ricardo PrudencioCochabamba</v>
          </cell>
          <cell r="C84" t="str">
            <v>Cochabamba</v>
          </cell>
          <cell r="D84" t="str">
            <v>Cercado</v>
          </cell>
          <cell r="E84" t="str">
            <v>Cochabamba</v>
          </cell>
          <cell r="F84" t="str">
            <v>Cochabamba</v>
          </cell>
          <cell r="G84" t="str">
            <v>Escuela Ricardo Prudencio</v>
          </cell>
          <cell r="H84" t="str">
            <v>San Juan Bautista</v>
          </cell>
          <cell r="I84" t="str">
            <v>Av. Suecia Este</v>
          </cell>
          <cell r="J84" t="str">
            <v>21</v>
          </cell>
          <cell r="K84" t="str">
            <v>Uninominal</v>
          </cell>
          <cell r="L84" t="str">
            <v>-17.421</v>
          </cell>
          <cell r="M84" t="str">
            <v>-66.1401</v>
          </cell>
          <cell r="N84" t="str">
            <v>Urbano</v>
          </cell>
          <cell r="O84" t="str">
            <v>1858</v>
          </cell>
          <cell r="P84" t="str">
            <v>POINT (-66.1401 -17.421)</v>
          </cell>
          <cell r="Q84">
            <v>15</v>
          </cell>
          <cell r="R84">
            <v>0.60102251649384342</v>
          </cell>
        </row>
        <row r="85">
          <cell r="A85">
            <v>1859</v>
          </cell>
          <cell r="B85" t="str">
            <v>U.E. Humberto PortocarreroCochabamba</v>
          </cell>
          <cell r="C85" t="str">
            <v>Cochabamba</v>
          </cell>
          <cell r="D85" t="str">
            <v>Cercado</v>
          </cell>
          <cell r="E85" t="str">
            <v>Cochabamba</v>
          </cell>
          <cell r="F85" t="str">
            <v>Cochabamba</v>
          </cell>
          <cell r="G85" t="str">
            <v>U.E. Humberto Portocarrero</v>
          </cell>
          <cell r="H85" t="str">
            <v>La Cabaña</v>
          </cell>
          <cell r="I85" t="str">
            <v>Zona Pampa San Miguel, AV. Portocarrero</v>
          </cell>
          <cell r="J85" t="str">
            <v>22</v>
          </cell>
          <cell r="K85" t="str">
            <v>Uninominal</v>
          </cell>
          <cell r="L85" t="str">
            <v>-17.453514</v>
          </cell>
          <cell r="M85" t="str">
            <v>-66.140883</v>
          </cell>
          <cell r="N85" t="str">
            <v>Urbano</v>
          </cell>
          <cell r="O85" t="str">
            <v>1859</v>
          </cell>
          <cell r="P85" t="str">
            <v>POINT (-66.140883 -17.453514)</v>
          </cell>
          <cell r="Q85">
            <v>13</v>
          </cell>
          <cell r="R85" t="str">
            <v>Sin Info</v>
          </cell>
        </row>
        <row r="86">
          <cell r="A86">
            <v>1860</v>
          </cell>
          <cell r="B86" t="str">
            <v>(Cárcel) Penitenciaria San Sebastian  VaronesCochabamba</v>
          </cell>
          <cell r="C86" t="str">
            <v>Cochabamba</v>
          </cell>
          <cell r="D86" t="str">
            <v>Cercado</v>
          </cell>
          <cell r="E86" t="str">
            <v>Cochabamba</v>
          </cell>
          <cell r="F86" t="str">
            <v>Cochabamba</v>
          </cell>
          <cell r="G86" t="str">
            <v>(Cárcel) Penitenciaria San Sebastian  Varones</v>
          </cell>
          <cell r="H86" t="str">
            <v>Geronimo de Osorio</v>
          </cell>
          <cell r="I86" t="str">
            <v>Plaz. San Sebastián Acera Norte</v>
          </cell>
          <cell r="J86" t="str">
            <v>21</v>
          </cell>
          <cell r="K86" t="str">
            <v>Uninominal</v>
          </cell>
          <cell r="L86" t="str">
            <v>-17.3979</v>
          </cell>
          <cell r="M86" t="str">
            <v>-66.1599</v>
          </cell>
          <cell r="N86" t="str">
            <v>Urbano</v>
          </cell>
          <cell r="O86" t="str">
            <v>1860</v>
          </cell>
          <cell r="P86" t="str">
            <v>POINT (-66.1599 -17.3979)</v>
          </cell>
          <cell r="Q86">
            <v>3</v>
          </cell>
          <cell r="R86">
            <v>0.7254150702426565</v>
          </cell>
        </row>
        <row r="87">
          <cell r="A87">
            <v>1861</v>
          </cell>
          <cell r="B87" t="str">
            <v>(Cárcel) Penitenciaria San AntonioCochabamba</v>
          </cell>
          <cell r="C87" t="str">
            <v>Cochabamba</v>
          </cell>
          <cell r="D87" t="str">
            <v>Cercado</v>
          </cell>
          <cell r="E87" t="str">
            <v>Cochabamba</v>
          </cell>
          <cell r="F87" t="str">
            <v>Cochabamba</v>
          </cell>
          <cell r="G87" t="str">
            <v>(Cárcel) Penitenciaria San Antonio</v>
          </cell>
          <cell r="H87" t="str">
            <v>Barrio San Antonio</v>
          </cell>
          <cell r="I87" t="str">
            <v>Av. Ayacucho Frente a La Terminal</v>
          </cell>
          <cell r="J87" t="str">
            <v>21</v>
          </cell>
          <cell r="K87" t="str">
            <v>Uninominal</v>
          </cell>
          <cell r="L87" t="str">
            <v>-17.4032</v>
          </cell>
          <cell r="M87" t="str">
            <v>-66.157</v>
          </cell>
          <cell r="N87" t="str">
            <v>Urbano</v>
          </cell>
          <cell r="O87" t="str">
            <v>1861</v>
          </cell>
          <cell r="P87" t="str">
            <v>POINT (-66.157 -17.4032)</v>
          </cell>
          <cell r="Q87">
            <v>2</v>
          </cell>
          <cell r="R87">
            <v>0.76190476190476186</v>
          </cell>
        </row>
        <row r="88">
          <cell r="A88">
            <v>1862</v>
          </cell>
          <cell r="B88" t="str">
            <v>Unidad Educativa Bolivia (La Maica)Cochabamba</v>
          </cell>
          <cell r="C88" t="str">
            <v>Cochabamba</v>
          </cell>
          <cell r="D88" t="str">
            <v>Cercado</v>
          </cell>
          <cell r="E88" t="str">
            <v>Cochabamba</v>
          </cell>
          <cell r="F88" t="str">
            <v>Cochabamba</v>
          </cell>
          <cell r="G88" t="str">
            <v>Unidad Educativa Bolivia (La Maica)</v>
          </cell>
          <cell r="H88" t="str">
            <v>Sind. Agr. Maica Central</v>
          </cell>
          <cell r="I88" t="str">
            <v>La Maica Central</v>
          </cell>
          <cell r="J88" t="str">
            <v>22</v>
          </cell>
          <cell r="K88" t="str">
            <v>Uninominal</v>
          </cell>
          <cell r="L88" t="str">
            <v>-17.4146</v>
          </cell>
          <cell r="M88" t="str">
            <v>-66.2188</v>
          </cell>
          <cell r="N88" t="str">
            <v>Urbano</v>
          </cell>
          <cell r="O88" t="str">
            <v>1862</v>
          </cell>
          <cell r="P88" t="str">
            <v>POINT (-66.2188 -17.4146)</v>
          </cell>
          <cell r="Q88">
            <v>8</v>
          </cell>
          <cell r="R88">
            <v>0.76287482524394434</v>
          </cell>
        </row>
        <row r="89">
          <cell r="A89">
            <v>1863</v>
          </cell>
          <cell r="B89" t="str">
            <v>Unidad Educativa Nueva EsperanzaCochabamba</v>
          </cell>
          <cell r="C89" t="str">
            <v>Cochabamba</v>
          </cell>
          <cell r="D89" t="str">
            <v>Cercado</v>
          </cell>
          <cell r="E89" t="str">
            <v>Cochabamba</v>
          </cell>
          <cell r="F89" t="str">
            <v>Cochabamba</v>
          </cell>
          <cell r="G89" t="str">
            <v>Unidad Educativa Nueva Esperanza</v>
          </cell>
          <cell r="H89" t="str">
            <v>Barrio Popular Japon</v>
          </cell>
          <cell r="I89" t="str">
            <v>Villa Israel</v>
          </cell>
          <cell r="J89" t="str">
            <v>22</v>
          </cell>
          <cell r="K89" t="str">
            <v>Uninominal</v>
          </cell>
          <cell r="L89" t="str">
            <v>-17.48697</v>
          </cell>
          <cell r="M89" t="str">
            <v>-66.178647</v>
          </cell>
          <cell r="N89" t="str">
            <v>Urbano</v>
          </cell>
          <cell r="O89" t="str">
            <v>1863</v>
          </cell>
          <cell r="P89" t="str">
            <v>POINT (-66.178647 -17.48697)</v>
          </cell>
          <cell r="Q89">
            <v>26</v>
          </cell>
          <cell r="R89">
            <v>0.8412935802361533</v>
          </cell>
        </row>
        <row r="90">
          <cell r="A90">
            <v>1864</v>
          </cell>
          <cell r="B90" t="str">
            <v>Colegio San Francisco (Villa Pagador)Cochabamba</v>
          </cell>
          <cell r="C90" t="str">
            <v>Cochabamba</v>
          </cell>
          <cell r="D90" t="str">
            <v>Cercado</v>
          </cell>
          <cell r="E90" t="str">
            <v>Cochabamba</v>
          </cell>
          <cell r="F90" t="str">
            <v>Cochabamba</v>
          </cell>
          <cell r="G90" t="str">
            <v>Colegio San Francisco (Villa Pagador)</v>
          </cell>
          <cell r="H90" t="str">
            <v>S.P.R. Nor Este</v>
          </cell>
          <cell r="I90" t="str">
            <v>Villa Sebastian Pagador C/Riobamba y Morochata</v>
          </cell>
          <cell r="J90" t="str">
            <v>21</v>
          </cell>
          <cell r="K90" t="str">
            <v>Uninominal</v>
          </cell>
          <cell r="L90" t="str">
            <v>-17.435</v>
          </cell>
          <cell r="M90" t="str">
            <v>-66.1156</v>
          </cell>
          <cell r="N90" t="str">
            <v>Urbano</v>
          </cell>
          <cell r="O90" t="str">
            <v>1864</v>
          </cell>
          <cell r="P90" t="str">
            <v>POINT (-66.1156 -17.435)</v>
          </cell>
          <cell r="Q90">
            <v>18</v>
          </cell>
          <cell r="R90">
            <v>0.80846105316505312</v>
          </cell>
        </row>
        <row r="91">
          <cell r="A91">
            <v>1865</v>
          </cell>
          <cell r="B91" t="str">
            <v>Escuela Carlos MedinaceliCochabamba</v>
          </cell>
          <cell r="C91" t="str">
            <v>Cochabamba</v>
          </cell>
          <cell r="D91" t="str">
            <v>Cercado</v>
          </cell>
          <cell r="E91" t="str">
            <v>Cochabamba</v>
          </cell>
          <cell r="F91" t="str">
            <v>Cochabamba</v>
          </cell>
          <cell r="G91" t="str">
            <v>Escuela Carlos Medinaceli</v>
          </cell>
          <cell r="H91" t="str">
            <v>B. Ferroviario Tamborada</v>
          </cell>
          <cell r="I91" t="str">
            <v>La Encañada Integral</v>
          </cell>
          <cell r="J91" t="str">
            <v>22</v>
          </cell>
          <cell r="K91" t="str">
            <v>Uninominal</v>
          </cell>
          <cell r="L91" t="str">
            <v>-17.448</v>
          </cell>
          <cell r="M91" t="str">
            <v>-66.1459</v>
          </cell>
          <cell r="N91" t="str">
            <v>Urbano</v>
          </cell>
          <cell r="O91" t="str">
            <v>1865</v>
          </cell>
          <cell r="P91" t="str">
            <v>POINT (-66.1459 -17.448)</v>
          </cell>
          <cell r="Q91">
            <v>32</v>
          </cell>
          <cell r="R91">
            <v>0.64527056914372638</v>
          </cell>
        </row>
        <row r="92">
          <cell r="A92">
            <v>1866</v>
          </cell>
          <cell r="B92" t="str">
            <v>Colegio Luis Quintin VilaCochabamba</v>
          </cell>
          <cell r="C92" t="str">
            <v>Cochabamba</v>
          </cell>
          <cell r="D92" t="str">
            <v>Cercado</v>
          </cell>
          <cell r="E92" t="str">
            <v>Cochabamba</v>
          </cell>
          <cell r="F92" t="str">
            <v>Cochabamba</v>
          </cell>
          <cell r="G92" t="str">
            <v>Colegio Luis Quintin Vila</v>
          </cell>
          <cell r="H92" t="str">
            <v>Barrio Quechisla</v>
          </cell>
          <cell r="I92" t="str">
            <v>Av. Tunupa y Yuracare Lado Casa Municipal N° 3</v>
          </cell>
          <cell r="J92" t="str">
            <v>20</v>
          </cell>
          <cell r="K92" t="str">
            <v>Uninominal</v>
          </cell>
          <cell r="L92" t="str">
            <v>-17.3754</v>
          </cell>
          <cell r="M92" t="str">
            <v>-66.1864</v>
          </cell>
          <cell r="N92" t="str">
            <v>Urbano</v>
          </cell>
          <cell r="O92" t="str">
            <v>1866</v>
          </cell>
          <cell r="P92" t="str">
            <v>POINT (-66.1864 -17.3754)</v>
          </cell>
          <cell r="Q92">
            <v>27</v>
          </cell>
          <cell r="R92">
            <v>0.23498101709996802</v>
          </cell>
        </row>
        <row r="93">
          <cell r="A93">
            <v>1867</v>
          </cell>
          <cell r="B93" t="str">
            <v>Liceo Elena Arze De ArzeCochabamba</v>
          </cell>
          <cell r="C93" t="str">
            <v>Cochabamba</v>
          </cell>
          <cell r="D93" t="str">
            <v>Cercado</v>
          </cell>
          <cell r="E93" t="str">
            <v>Cochabamba</v>
          </cell>
          <cell r="F93" t="str">
            <v>Cochabamba</v>
          </cell>
          <cell r="G93" t="str">
            <v>Liceo Elena Arze De Arze</v>
          </cell>
          <cell r="H93" t="str">
            <v>Santa Ana de Cala Cala</v>
          </cell>
          <cell r="I93" t="str">
            <v>Calle Adela Zamudio entre Pulacayo</v>
          </cell>
          <cell r="J93" t="str">
            <v>20</v>
          </cell>
          <cell r="K93" t="str">
            <v>Uninominal</v>
          </cell>
          <cell r="L93" t="str">
            <v>-17.3703</v>
          </cell>
          <cell r="M93" t="str">
            <v>-66.1644</v>
          </cell>
          <cell r="N93" t="str">
            <v>Urbano</v>
          </cell>
          <cell r="O93" t="str">
            <v>1867</v>
          </cell>
          <cell r="P93" t="str">
            <v>POINT (-66.1644 -17.3703)</v>
          </cell>
          <cell r="Q93">
            <v>18</v>
          </cell>
          <cell r="R93">
            <v>0.15598273191024067</v>
          </cell>
        </row>
        <row r="94">
          <cell r="A94">
            <v>1868</v>
          </cell>
          <cell r="B94" t="str">
            <v>Unidad Educativa Nueva Vera CruzCochabamba</v>
          </cell>
          <cell r="C94" t="str">
            <v>Cochabamba</v>
          </cell>
          <cell r="D94" t="str">
            <v>Cercado</v>
          </cell>
          <cell r="E94" t="str">
            <v>Cochabamba</v>
          </cell>
          <cell r="F94" t="str">
            <v>Cochabamba</v>
          </cell>
          <cell r="G94" t="str">
            <v>Unidad Educativa Nueva Vera Cruz</v>
          </cell>
          <cell r="H94" t="str">
            <v>Villa Nueva Sta. Vera Cruz</v>
          </cell>
          <cell r="I94" t="str">
            <v>San Simon entre Av. Paris</v>
          </cell>
          <cell r="J94" t="str">
            <v>21</v>
          </cell>
          <cell r="K94" t="str">
            <v>Uninominal</v>
          </cell>
          <cell r="L94" t="str">
            <v>-17.4627</v>
          </cell>
          <cell r="M94" t="str">
            <v>-66.1176</v>
          </cell>
          <cell r="N94" t="str">
            <v>Urbano</v>
          </cell>
          <cell r="O94" t="str">
            <v>1868</v>
          </cell>
          <cell r="P94" t="str">
            <v>POINT (-66.1176 -17.4627)</v>
          </cell>
          <cell r="Q94">
            <v>18</v>
          </cell>
          <cell r="R94">
            <v>0.76943595832881595</v>
          </cell>
        </row>
        <row r="95">
          <cell r="A95">
            <v>1869</v>
          </cell>
          <cell r="B95" t="str">
            <v>Unidad Educativa SantiagoCochabamba</v>
          </cell>
          <cell r="C95" t="str">
            <v>Cochabamba</v>
          </cell>
          <cell r="D95" t="str">
            <v>Cercado</v>
          </cell>
          <cell r="E95" t="str">
            <v>Cochabamba</v>
          </cell>
          <cell r="F95" t="str">
            <v>Cochabamba</v>
          </cell>
          <cell r="G95" t="str">
            <v>Unidad Educativa Santiago</v>
          </cell>
          <cell r="H95" t="str">
            <v>Los Ceibos</v>
          </cell>
          <cell r="I95" t="str">
            <v>Achandara y Calle Imnominada</v>
          </cell>
          <cell r="J95" t="str">
            <v>20</v>
          </cell>
          <cell r="K95" t="str">
            <v>Uninominal</v>
          </cell>
          <cell r="L95" t="str">
            <v>-17.3495</v>
          </cell>
          <cell r="M95" t="str">
            <v>-66.1651</v>
          </cell>
          <cell r="N95" t="str">
            <v>Urbano</v>
          </cell>
          <cell r="O95" t="str">
            <v>1869</v>
          </cell>
          <cell r="P95" t="str">
            <v>POINT (-66.1651 -17.3495)</v>
          </cell>
          <cell r="Q95">
            <v>17</v>
          </cell>
          <cell r="R95">
            <v>0.53090713907669629</v>
          </cell>
        </row>
        <row r="96">
          <cell r="A96">
            <v>1870</v>
          </cell>
          <cell r="B96" t="str">
            <v>Unidad Educativa Barbara LamasCochabamba</v>
          </cell>
          <cell r="C96" t="str">
            <v>Cochabamba</v>
          </cell>
          <cell r="D96" t="str">
            <v>Cercado</v>
          </cell>
          <cell r="E96" t="str">
            <v>Cochabamba</v>
          </cell>
          <cell r="F96" t="str">
            <v>Cochabamba</v>
          </cell>
          <cell r="G96" t="str">
            <v>Unidad Educativa Barbara Lamas</v>
          </cell>
          <cell r="H96" t="str">
            <v>Lomas de Santa Barbara</v>
          </cell>
          <cell r="I96" t="str">
            <v>En Tako Loma</v>
          </cell>
          <cell r="J96" t="str">
            <v>21</v>
          </cell>
          <cell r="K96" t="str">
            <v>Uninominal</v>
          </cell>
          <cell r="L96" t="str">
            <v>-17.4627</v>
          </cell>
          <cell r="M96" t="str">
            <v>-66.1053</v>
          </cell>
          <cell r="N96" t="str">
            <v>Urbano</v>
          </cell>
          <cell r="O96" t="str">
            <v>1870</v>
          </cell>
          <cell r="P96" t="str">
            <v>POINT (-66.1053 -17.4627)</v>
          </cell>
          <cell r="Q96">
            <v>22</v>
          </cell>
          <cell r="R96">
            <v>0.89551372946406815</v>
          </cell>
        </row>
        <row r="97">
          <cell r="A97">
            <v>1871</v>
          </cell>
          <cell r="B97" t="str">
            <v>Universidad Ucatec (Ex Ceivo)Cochabamba</v>
          </cell>
          <cell r="C97" t="str">
            <v>Cochabamba</v>
          </cell>
          <cell r="D97" t="str">
            <v>Cercado</v>
          </cell>
          <cell r="E97" t="str">
            <v>Cochabamba</v>
          </cell>
          <cell r="F97" t="str">
            <v>Cochabamba</v>
          </cell>
          <cell r="G97" t="str">
            <v>Universidad Ucatec (Ex Ceivo)</v>
          </cell>
          <cell r="H97" t="str">
            <v>Mesadilla</v>
          </cell>
          <cell r="I97" t="str">
            <v>Mariano Borda entre Guillermo Arnez</v>
          </cell>
          <cell r="J97" t="str">
            <v>20</v>
          </cell>
          <cell r="K97" t="str">
            <v>Uninominal</v>
          </cell>
          <cell r="L97" t="str">
            <v>-17.3711</v>
          </cell>
          <cell r="M97" t="str">
            <v>-66.1368</v>
          </cell>
          <cell r="N97" t="str">
            <v>Urbano</v>
          </cell>
          <cell r="O97" t="str">
            <v>1871</v>
          </cell>
          <cell r="P97" t="str">
            <v>POINT (-66.1368 -17.3711)</v>
          </cell>
          <cell r="Q97">
            <v>13</v>
          </cell>
          <cell r="R97">
            <v>0.20312077655628319</v>
          </cell>
        </row>
        <row r="98">
          <cell r="A98">
            <v>1872</v>
          </cell>
          <cell r="B98" t="str">
            <v>Colegio Santo Domingo SavioCochabamba</v>
          </cell>
          <cell r="C98" t="str">
            <v>Cochabamba</v>
          </cell>
          <cell r="D98" t="str">
            <v>Cercado</v>
          </cell>
          <cell r="E98" t="str">
            <v>Cochabamba</v>
          </cell>
          <cell r="F98" t="str">
            <v>Cochabamba</v>
          </cell>
          <cell r="G98" t="str">
            <v>Colegio Santo Domingo Savio</v>
          </cell>
          <cell r="H98" t="str">
            <v>La Patria Urb. La Promotora</v>
          </cell>
          <cell r="I98" t="str">
            <v>Av.Panamericana  Calle M.Salcedo  y Manuel Via</v>
          </cell>
          <cell r="J98" t="str">
            <v>21</v>
          </cell>
          <cell r="K98" t="str">
            <v>Uninominal</v>
          </cell>
          <cell r="L98" t="str">
            <v>-17.4209</v>
          </cell>
          <cell r="M98" t="str">
            <v>-66.1592</v>
          </cell>
          <cell r="N98" t="str">
            <v>Urbano</v>
          </cell>
          <cell r="O98" t="str">
            <v>1872</v>
          </cell>
          <cell r="P98" t="str">
            <v>POINT (-66.1592 -17.4209)</v>
          </cell>
          <cell r="Q98">
            <v>17</v>
          </cell>
          <cell r="R98">
            <v>0.35269332952912397</v>
          </cell>
        </row>
        <row r="99">
          <cell r="A99">
            <v>1873</v>
          </cell>
          <cell r="B99" t="str">
            <v>Centro Educativo San Francisco De AsisCochabamba</v>
          </cell>
          <cell r="C99" t="str">
            <v>Cochabamba</v>
          </cell>
          <cell r="D99" t="str">
            <v>Cercado</v>
          </cell>
          <cell r="E99" t="str">
            <v>Cochabamba</v>
          </cell>
          <cell r="F99" t="str">
            <v>Cochabamba</v>
          </cell>
          <cell r="G99" t="str">
            <v>Centro Educativo San Francisco De Asis</v>
          </cell>
          <cell r="H99" t="str">
            <v>Jorge Wilsterman</v>
          </cell>
          <cell r="I99" t="str">
            <v>Viloma entre Villar</v>
          </cell>
          <cell r="J99" t="str">
            <v>22</v>
          </cell>
          <cell r="K99" t="str">
            <v>Uninominal</v>
          </cell>
          <cell r="L99" t="str">
            <v>-17.4135</v>
          </cell>
          <cell r="M99" t="str">
            <v>-66.1678</v>
          </cell>
          <cell r="N99" t="str">
            <v>Urbano</v>
          </cell>
          <cell r="O99" t="str">
            <v>1873</v>
          </cell>
          <cell r="P99" t="str">
            <v>POINT (-66.1678 -17.4135)</v>
          </cell>
          <cell r="Q99">
            <v>9</v>
          </cell>
          <cell r="R99">
            <v>0.35217296578384688</v>
          </cell>
        </row>
        <row r="100">
          <cell r="A100">
            <v>1874</v>
          </cell>
          <cell r="B100" t="str">
            <v>Unidad Educativa de La Fuerza AereaCochabamba</v>
          </cell>
          <cell r="C100" t="str">
            <v>Cochabamba</v>
          </cell>
          <cell r="D100" t="str">
            <v>Cercado</v>
          </cell>
          <cell r="E100" t="str">
            <v>Cochabamba</v>
          </cell>
          <cell r="F100" t="str">
            <v>Cochabamba</v>
          </cell>
          <cell r="G100" t="str">
            <v>Unidad Educativa de La Fuerza Aerea</v>
          </cell>
          <cell r="H100" t="str">
            <v>Fuerza Aerea</v>
          </cell>
          <cell r="I100" t="str">
            <v>Av de La Fuerza Aerea  entre Calle Cap. Luis Garcia y Moto Mendez</v>
          </cell>
          <cell r="J100" t="str">
            <v>22</v>
          </cell>
          <cell r="K100" t="str">
            <v>Uninominal</v>
          </cell>
          <cell r="L100" t="str">
            <v>-17.4214</v>
          </cell>
          <cell r="M100" t="str">
            <v>-66.1674</v>
          </cell>
          <cell r="N100" t="str">
            <v>Urbano</v>
          </cell>
          <cell r="O100" t="str">
            <v>1874</v>
          </cell>
          <cell r="P100" t="str">
            <v>POINT (-66.1674 -17.4214)</v>
          </cell>
          <cell r="Q100">
            <v>9</v>
          </cell>
          <cell r="R100">
            <v>0.42558101351027094</v>
          </cell>
        </row>
        <row r="101">
          <cell r="A101">
            <v>1875</v>
          </cell>
          <cell r="B101" t="str">
            <v>Colegio Buenas Nuevas CCochabamba</v>
          </cell>
          <cell r="C101" t="str">
            <v>Cochabamba</v>
          </cell>
          <cell r="D101" t="str">
            <v>Cercado</v>
          </cell>
          <cell r="E101" t="str">
            <v>Cochabamba</v>
          </cell>
          <cell r="F101" t="str">
            <v>Cochabamba</v>
          </cell>
          <cell r="G101" t="str">
            <v>Colegio Buenas Nuevas C</v>
          </cell>
          <cell r="H101" t="str">
            <v>Huayra Khasa</v>
          </cell>
          <cell r="I101" t="str">
            <v>Av. Suecia Acera  Norte Cerca al Pje 16</v>
          </cell>
          <cell r="J101" t="str">
            <v>21</v>
          </cell>
          <cell r="K101" t="str">
            <v>Uninominal</v>
          </cell>
          <cell r="L101" t="str">
            <v>-17.419</v>
          </cell>
          <cell r="M101" t="str">
            <v>-66.1461</v>
          </cell>
          <cell r="N101" t="str">
            <v>Urbano</v>
          </cell>
          <cell r="O101" t="str">
            <v>1875</v>
          </cell>
          <cell r="P101" t="str">
            <v>POINT (-66.1461 -17.419)</v>
          </cell>
          <cell r="Q101">
            <v>22</v>
          </cell>
          <cell r="R101">
            <v>0.55944468127547931</v>
          </cell>
        </row>
        <row r="102">
          <cell r="A102">
            <v>1876</v>
          </cell>
          <cell r="B102" t="str">
            <v>Unidad Educativa Alto CochabambaCochabamba</v>
          </cell>
          <cell r="C102" t="str">
            <v>Cochabamba</v>
          </cell>
          <cell r="D102" t="str">
            <v>Cercado</v>
          </cell>
          <cell r="E102" t="str">
            <v>Cochabamba</v>
          </cell>
          <cell r="F102" t="str">
            <v>Cochabamba</v>
          </cell>
          <cell r="G102" t="str">
            <v>Unidad Educativa Alto Cochabamba</v>
          </cell>
          <cell r="H102" t="str">
            <v>Villa Alto Cochabamba</v>
          </cell>
          <cell r="I102" t="str">
            <v>Sobre La Calle Membrillo entre La C. Vid y Versalles</v>
          </cell>
          <cell r="J102" t="str">
            <v>21</v>
          </cell>
          <cell r="K102" t="str">
            <v>Uninominal</v>
          </cell>
          <cell r="L102" t="str">
            <v>-17.4233</v>
          </cell>
          <cell r="M102" t="str">
            <v>-66.1448</v>
          </cell>
          <cell r="N102" t="str">
            <v>Urbano</v>
          </cell>
          <cell r="O102" t="str">
            <v>1876</v>
          </cell>
          <cell r="P102" t="str">
            <v>POINT (-66.1448 -17.4233)</v>
          </cell>
          <cell r="Q102">
            <v>4</v>
          </cell>
          <cell r="R102">
            <v>0.77116212480840129</v>
          </cell>
        </row>
        <row r="103">
          <cell r="A103">
            <v>1877</v>
          </cell>
          <cell r="B103" t="str">
            <v>Unidad Educativa GaribaldiCochabamba</v>
          </cell>
          <cell r="C103" t="str">
            <v>Cochabamba</v>
          </cell>
          <cell r="D103" t="str">
            <v>Cercado</v>
          </cell>
          <cell r="E103" t="str">
            <v>Cochabamba</v>
          </cell>
          <cell r="F103" t="str">
            <v>Cochabamba</v>
          </cell>
          <cell r="G103" t="str">
            <v>Unidad Educativa Garibaldi</v>
          </cell>
          <cell r="H103" t="str">
            <v>El Carmen</v>
          </cell>
          <cell r="I103" t="str">
            <v>Entre La Calle Hugo Almaraz y Rafael</v>
          </cell>
          <cell r="J103" t="str">
            <v>20</v>
          </cell>
          <cell r="K103" t="str">
            <v>Uninominal</v>
          </cell>
          <cell r="L103" t="str">
            <v>-17.3546</v>
          </cell>
          <cell r="M103" t="str">
            <v>-66.1906</v>
          </cell>
          <cell r="N103" t="str">
            <v>Urbano</v>
          </cell>
          <cell r="O103" t="str">
            <v>1877</v>
          </cell>
          <cell r="P103" t="str">
            <v>POINT (-66.1906 -17.3546)</v>
          </cell>
          <cell r="Q103">
            <v>15</v>
          </cell>
          <cell r="R103">
            <v>0.40496971888046102</v>
          </cell>
        </row>
        <row r="104">
          <cell r="A104">
            <v>1878</v>
          </cell>
          <cell r="B104" t="str">
            <v>Colegio Tecnico Humanistico AbaroaCochabamba</v>
          </cell>
          <cell r="C104" t="str">
            <v>Cochabamba</v>
          </cell>
          <cell r="D104" t="str">
            <v>Cercado</v>
          </cell>
          <cell r="E104" t="str">
            <v>Cochabamba</v>
          </cell>
          <cell r="F104" t="str">
            <v>Cochabamba</v>
          </cell>
          <cell r="G104" t="str">
            <v>Colegio Tecnico Humanistico Abaroa</v>
          </cell>
          <cell r="H104" t="str">
            <v>Barrio Judicial</v>
          </cell>
          <cell r="I104" t="str">
            <v>Entre Av. Chaco  y Cap. R. Zubieta Cerca  Av Andres de Santa Cruz</v>
          </cell>
          <cell r="J104" t="str">
            <v>20</v>
          </cell>
          <cell r="K104" t="str">
            <v>Uninominal</v>
          </cell>
          <cell r="L104" t="str">
            <v>-17.3979</v>
          </cell>
          <cell r="M104" t="str">
            <v>-66.1801</v>
          </cell>
          <cell r="N104" t="str">
            <v>Urbano</v>
          </cell>
          <cell r="O104" t="str">
            <v>1878</v>
          </cell>
          <cell r="P104" t="str">
            <v>POINT (-66.1801 -17.3979)</v>
          </cell>
          <cell r="Q104">
            <v>13</v>
          </cell>
          <cell r="R104">
            <v>0.32076829163287124</v>
          </cell>
        </row>
        <row r="105">
          <cell r="A105">
            <v>1879</v>
          </cell>
          <cell r="B105" t="str">
            <v>Unidad Educativa Felix CaprilesCochabamba</v>
          </cell>
          <cell r="C105" t="str">
            <v>Cochabamba</v>
          </cell>
          <cell r="D105" t="str">
            <v>Cercado</v>
          </cell>
          <cell r="E105" t="str">
            <v>Cochabamba</v>
          </cell>
          <cell r="F105" t="str">
            <v>Cochabamba</v>
          </cell>
          <cell r="G105" t="str">
            <v>Unidad Educativa Felix Capriles</v>
          </cell>
          <cell r="H105" t="str">
            <v>B. Huanuni Chimba Grande</v>
          </cell>
          <cell r="I105" t="str">
            <v>Av. Amalia Vila  de La Tapia  entre Calle L.Bazoberri y C. Guzman de Rojas</v>
          </cell>
          <cell r="J105" t="str">
            <v>20</v>
          </cell>
          <cell r="K105" t="str">
            <v>Uninominal</v>
          </cell>
          <cell r="L105" t="str">
            <v>-17.4084</v>
          </cell>
          <cell r="M105" t="str">
            <v>-66.1825</v>
          </cell>
          <cell r="N105" t="str">
            <v>Urbano</v>
          </cell>
          <cell r="O105" t="str">
            <v>1879</v>
          </cell>
          <cell r="P105" t="str">
            <v>POINT (-66.1825 -17.4084)</v>
          </cell>
          <cell r="Q105">
            <v>7</v>
          </cell>
          <cell r="R105">
            <v>0.30875312534901783</v>
          </cell>
        </row>
        <row r="106">
          <cell r="A106">
            <v>1880</v>
          </cell>
          <cell r="B106" t="str">
            <v>Unidad Educativa Nataniel AguirreCochabamba</v>
          </cell>
          <cell r="C106" t="str">
            <v>Cochabamba</v>
          </cell>
          <cell r="D106" t="str">
            <v>Cercado</v>
          </cell>
          <cell r="E106" t="str">
            <v>Cochabamba</v>
          </cell>
          <cell r="F106" t="str">
            <v>Cochabamba</v>
          </cell>
          <cell r="G106" t="str">
            <v>Unidad Educativa Nataniel Aguirre</v>
          </cell>
          <cell r="H106" t="str">
            <v>Juan de La Rosa</v>
          </cell>
          <cell r="I106" t="str">
            <v>Av Benemeritos del Chaco  y Calle Walter Rocha</v>
          </cell>
          <cell r="J106" t="str">
            <v>20</v>
          </cell>
          <cell r="K106" t="str">
            <v>Uninominal</v>
          </cell>
          <cell r="L106" t="str">
            <v>-17.3989</v>
          </cell>
          <cell r="M106" t="str">
            <v>-66.1689</v>
          </cell>
          <cell r="N106" t="str">
            <v>Urbano</v>
          </cell>
          <cell r="O106" t="str">
            <v>1880</v>
          </cell>
          <cell r="P106" t="str">
            <v>POINT (-66.1689 -17.3989)</v>
          </cell>
          <cell r="Q106">
            <v>2</v>
          </cell>
          <cell r="R106">
            <v>0.29129253962975277</v>
          </cell>
        </row>
        <row r="107">
          <cell r="A107">
            <v>1881</v>
          </cell>
          <cell r="B107" t="str">
            <v>Escuela Fiscal Juan XXIII ACochabamba</v>
          </cell>
          <cell r="C107" t="str">
            <v>Cochabamba</v>
          </cell>
          <cell r="D107" t="str">
            <v>Cercado</v>
          </cell>
          <cell r="E107" t="str">
            <v>Cochabamba</v>
          </cell>
          <cell r="F107" t="str">
            <v>Cochabamba</v>
          </cell>
          <cell r="G107" t="str">
            <v>Escuela Fiscal Juan XXIII A</v>
          </cell>
          <cell r="H107" t="str">
            <v>V. Juan XXIII</v>
          </cell>
          <cell r="I107" t="str">
            <v>Av. Guido Brault Omi y Mons. Francisco Cano</v>
          </cell>
          <cell r="J107" t="str">
            <v>20</v>
          </cell>
          <cell r="K107" t="str">
            <v>Uninominal</v>
          </cell>
          <cell r="L107" t="str">
            <v>-17.3898</v>
          </cell>
          <cell r="M107" t="str">
            <v>-66.2021</v>
          </cell>
          <cell r="N107" t="str">
            <v>Urbano</v>
          </cell>
          <cell r="O107" t="str">
            <v>1881</v>
          </cell>
          <cell r="P107" t="str">
            <v>POINT (-66.2021 -17.3898)</v>
          </cell>
          <cell r="Q107">
            <v>18</v>
          </cell>
          <cell r="R107">
            <v>0.32817918298477511</v>
          </cell>
        </row>
        <row r="108">
          <cell r="A108">
            <v>1882</v>
          </cell>
          <cell r="B108" t="str">
            <v>Unidad Educativa Jose Ignacio SanjinesCochabamba</v>
          </cell>
          <cell r="C108" t="str">
            <v>Cochabamba</v>
          </cell>
          <cell r="D108" t="str">
            <v>Cercado</v>
          </cell>
          <cell r="E108" t="str">
            <v>Cochabamba</v>
          </cell>
          <cell r="F108" t="str">
            <v>Cochabamba</v>
          </cell>
          <cell r="G108" t="str">
            <v>Unidad Educativa Jose Ignacio Sanjines</v>
          </cell>
          <cell r="H108" t="str">
            <v>Villa Los Alamos</v>
          </cell>
          <cell r="I108" t="str">
            <v>Final D¨ Orbigni  Oeste Serca a La Laguna Coña Coña</v>
          </cell>
          <cell r="J108" t="str">
            <v>20</v>
          </cell>
          <cell r="K108" t="str">
            <v>Uninominal</v>
          </cell>
          <cell r="L108" t="str">
            <v>-17.3853</v>
          </cell>
          <cell r="M108" t="str">
            <v>-66.2064</v>
          </cell>
          <cell r="N108" t="str">
            <v>Urbano</v>
          </cell>
          <cell r="O108" t="str">
            <v>1882</v>
          </cell>
          <cell r="P108" t="str">
            <v>POINT (-66.2064 -17.3853)</v>
          </cell>
          <cell r="Q108">
            <v>9</v>
          </cell>
          <cell r="R108">
            <v>0.34116554790405473</v>
          </cell>
        </row>
        <row r="109">
          <cell r="A109">
            <v>1883</v>
          </cell>
          <cell r="B109" t="str">
            <v>Unidad Educativa Rene CrespoCochabamba</v>
          </cell>
          <cell r="C109" t="str">
            <v>Cochabamba</v>
          </cell>
          <cell r="D109" t="str">
            <v>Cercado</v>
          </cell>
          <cell r="E109" t="str">
            <v>Cochabamba</v>
          </cell>
          <cell r="F109" t="str">
            <v>Cochabamba</v>
          </cell>
          <cell r="G109" t="str">
            <v>Unidad Educativa Rene Crespo</v>
          </cell>
          <cell r="H109" t="str">
            <v>Villa Cosmos</v>
          </cell>
          <cell r="I109" t="str">
            <v>Av. Federico Escobar y Av Independencia</v>
          </cell>
          <cell r="J109" t="str">
            <v>21</v>
          </cell>
          <cell r="K109" t="str">
            <v>Uninominal</v>
          </cell>
          <cell r="L109" t="str">
            <v>-17.4262</v>
          </cell>
          <cell r="M109" t="str">
            <v>-66.151</v>
          </cell>
          <cell r="N109" t="str">
            <v>Urbano</v>
          </cell>
          <cell r="O109" t="str">
            <v>1883</v>
          </cell>
          <cell r="P109" t="str">
            <v>POINT (-66.151 -17.4262)</v>
          </cell>
          <cell r="Q109">
            <v>4</v>
          </cell>
          <cell r="R109" t="str">
            <v>Sin Info</v>
          </cell>
        </row>
        <row r="110">
          <cell r="A110">
            <v>1884</v>
          </cell>
          <cell r="B110" t="str">
            <v>Unidad Educativa Maria Josefa MujiaCochabamba</v>
          </cell>
          <cell r="C110" t="str">
            <v>Cochabamba</v>
          </cell>
          <cell r="D110" t="str">
            <v>Cercado</v>
          </cell>
          <cell r="E110" t="str">
            <v>Cochabamba</v>
          </cell>
          <cell r="F110" t="str">
            <v>Cochabamba</v>
          </cell>
          <cell r="G110" t="str">
            <v>Unidad Educativa Maria Josefa Mujia</v>
          </cell>
          <cell r="H110" t="str">
            <v>Villa Salvador Alto Ticti</v>
          </cell>
          <cell r="I110" t="str">
            <v>Cerro Ticti Sobre La Calle Abelia y Papayo</v>
          </cell>
          <cell r="J110" t="str">
            <v>21</v>
          </cell>
          <cell r="K110" t="str">
            <v>Uninominal</v>
          </cell>
          <cell r="L110" t="str">
            <v>-17.4271</v>
          </cell>
          <cell r="M110" t="str">
            <v>-66.1433</v>
          </cell>
          <cell r="N110" t="str">
            <v>Urbano</v>
          </cell>
          <cell r="O110" t="str">
            <v>1884</v>
          </cell>
          <cell r="P110" t="str">
            <v>POINT (-66.1433 -17.4271)</v>
          </cell>
          <cell r="Q110">
            <v>20</v>
          </cell>
          <cell r="R110">
            <v>0.81557384111000031</v>
          </cell>
        </row>
        <row r="111">
          <cell r="A111">
            <v>1885</v>
          </cell>
          <cell r="B111" t="str">
            <v>Colegio VenjamninCochabamba</v>
          </cell>
          <cell r="C111" t="str">
            <v>Cochabamba</v>
          </cell>
          <cell r="D111" t="str">
            <v>Cercado</v>
          </cell>
          <cell r="E111" t="str">
            <v>Cochabamba</v>
          </cell>
          <cell r="F111" t="str">
            <v>Cochabamba</v>
          </cell>
          <cell r="G111" t="str">
            <v>Colegio Venjamnin</v>
          </cell>
          <cell r="H111" t="str">
            <v>Villa Venezuela</v>
          </cell>
          <cell r="I111" t="str">
            <v>Av.Los Angeles entre La C.Lope de Mendieta y Dinisio Bobadilla</v>
          </cell>
          <cell r="J111" t="str">
            <v>21</v>
          </cell>
          <cell r="K111" t="str">
            <v>Uninominal</v>
          </cell>
          <cell r="L111" t="str">
            <v>-17.4255</v>
          </cell>
          <cell r="M111" t="str">
            <v>-66.1235</v>
          </cell>
          <cell r="N111" t="str">
            <v>Urbano</v>
          </cell>
          <cell r="O111" t="str">
            <v>1885</v>
          </cell>
          <cell r="P111" t="str">
            <v>POINT (-66.1235 -17.4255)</v>
          </cell>
          <cell r="Q111">
            <v>15</v>
          </cell>
          <cell r="R111">
            <v>0.69245412019156782</v>
          </cell>
        </row>
        <row r="112">
          <cell r="A112">
            <v>1886</v>
          </cell>
          <cell r="B112" t="str">
            <v>Unidad Educativa AtiyCochabamba</v>
          </cell>
          <cell r="C112" t="str">
            <v>Cochabamba</v>
          </cell>
          <cell r="D112" t="str">
            <v>Cercado</v>
          </cell>
          <cell r="E112" t="str">
            <v>Cochabamba</v>
          </cell>
          <cell r="F112" t="str">
            <v>Cochabamba</v>
          </cell>
          <cell r="G112" t="str">
            <v>Unidad Educativa Atiy</v>
          </cell>
          <cell r="H112" t="str">
            <v>Buena Vista de Oropeza</v>
          </cell>
          <cell r="I112" t="str">
            <v>Por San Isidro</v>
          </cell>
          <cell r="J112" t="str">
            <v>22</v>
          </cell>
          <cell r="K112" t="str">
            <v>Uninominal</v>
          </cell>
          <cell r="L112" t="str">
            <v>-17.4636</v>
          </cell>
          <cell r="M112" t="str">
            <v>-66.1521</v>
          </cell>
          <cell r="N112" t="str">
            <v>Urbano</v>
          </cell>
          <cell r="O112" t="str">
            <v>1886</v>
          </cell>
          <cell r="P112" t="str">
            <v>POINT (-66.1521 -17.4636)</v>
          </cell>
          <cell r="Q112">
            <v>10</v>
          </cell>
          <cell r="R112">
            <v>0.78916618106434044</v>
          </cell>
        </row>
        <row r="113">
          <cell r="A113">
            <v>1887</v>
          </cell>
          <cell r="B113" t="str">
            <v>Escuela Central Taquiña ACochabamba</v>
          </cell>
          <cell r="C113" t="str">
            <v>Cochabamba</v>
          </cell>
          <cell r="D113" t="str">
            <v>Cercado</v>
          </cell>
          <cell r="E113" t="str">
            <v>Cochabamba</v>
          </cell>
          <cell r="F113" t="str">
            <v>Cochabamba</v>
          </cell>
          <cell r="G113" t="str">
            <v>Escuela Central Taquiña A</v>
          </cell>
          <cell r="H113" t="str">
            <v>Sindicato Agrario Taquiña</v>
          </cell>
          <cell r="I113" t="str">
            <v>Avenida La Paz Final Villa Taquiña</v>
          </cell>
          <cell r="J113" t="str">
            <v>20</v>
          </cell>
          <cell r="K113" t="str">
            <v>Uninominal</v>
          </cell>
          <cell r="L113" t="str">
            <v>-17.3438</v>
          </cell>
          <cell r="M113" t="str">
            <v>-66.1783</v>
          </cell>
          <cell r="N113" t="str">
            <v>Urbano</v>
          </cell>
          <cell r="O113" t="str">
            <v>1887</v>
          </cell>
          <cell r="P113" t="str">
            <v>POINT (-66.1783 -17.3438)</v>
          </cell>
          <cell r="Q113">
            <v>26</v>
          </cell>
          <cell r="R113">
            <v>0.51575981876925558</v>
          </cell>
        </row>
        <row r="114">
          <cell r="A114">
            <v>1888</v>
          </cell>
          <cell r="B114" t="str">
            <v>Unidad Educativa Rosendo PeñaCochabamba</v>
          </cell>
          <cell r="C114" t="str">
            <v>Cochabamba</v>
          </cell>
          <cell r="D114" t="str">
            <v>Cercado</v>
          </cell>
          <cell r="E114" t="str">
            <v>Cochabamba</v>
          </cell>
          <cell r="F114" t="str">
            <v>Cochabamba</v>
          </cell>
          <cell r="G114" t="str">
            <v>Unidad Educativa Rosendo Peña</v>
          </cell>
          <cell r="H114" t="str">
            <v>Urb. Pil Sarcobamba</v>
          </cell>
          <cell r="I114" t="str">
            <v>OTB Urbanización PIL Sarcobamba Calle Luis Zegarra entre Luis Montaño y Jorge Udaeta</v>
          </cell>
          <cell r="J114" t="str">
            <v>20</v>
          </cell>
          <cell r="K114" t="str">
            <v>Uninominal</v>
          </cell>
          <cell r="L114" t="str">
            <v>-17.3799</v>
          </cell>
          <cell r="M114" t="str">
            <v>-66.1924</v>
          </cell>
          <cell r="N114" t="str">
            <v>Urbano</v>
          </cell>
          <cell r="O114" t="str">
            <v>1888</v>
          </cell>
          <cell r="P114" t="str">
            <v>POINT (-66.1924 -17.3799)</v>
          </cell>
          <cell r="Q114">
            <v>7</v>
          </cell>
          <cell r="R114">
            <v>0.21455705249513174</v>
          </cell>
        </row>
        <row r="115">
          <cell r="A115">
            <v>1889</v>
          </cell>
          <cell r="B115" t="str">
            <v>Unidad Educativa Dionisio Morales ChoqueCochabamba</v>
          </cell>
          <cell r="C115" t="str">
            <v>Cochabamba</v>
          </cell>
          <cell r="D115" t="str">
            <v>Cercado</v>
          </cell>
          <cell r="E115" t="str">
            <v>Cochabamba</v>
          </cell>
          <cell r="F115" t="str">
            <v>Cochabamba</v>
          </cell>
          <cell r="G115" t="str">
            <v>Unidad Educativa Dionisio Morales Choque</v>
          </cell>
          <cell r="H115" t="str">
            <v>Villa Rosario La Tamborada</v>
          </cell>
          <cell r="I115" t="str">
            <v>Cerca al Rio La Angostura  Por El Bosquesillo</v>
          </cell>
          <cell r="J115" t="str">
            <v>22</v>
          </cell>
          <cell r="K115" t="str">
            <v>Uninominal</v>
          </cell>
          <cell r="L115" t="str">
            <v>-17.4652</v>
          </cell>
          <cell r="M115" t="str">
            <v>-66.1243</v>
          </cell>
          <cell r="N115" t="str">
            <v>Urbano</v>
          </cell>
          <cell r="O115" t="str">
            <v>1889</v>
          </cell>
          <cell r="P115" t="str">
            <v>POINT (-66.1243 -17.4652)</v>
          </cell>
          <cell r="Q115">
            <v>37</v>
          </cell>
          <cell r="R115">
            <v>0.86828339555256817</v>
          </cell>
        </row>
        <row r="116">
          <cell r="A116">
            <v>1890</v>
          </cell>
          <cell r="B116" t="str">
            <v>U. E. San Nicolas Club de LeonesCochabamba</v>
          </cell>
          <cell r="C116" t="str">
            <v>Cochabamba</v>
          </cell>
          <cell r="D116" t="str">
            <v>Cercado</v>
          </cell>
          <cell r="E116" t="str">
            <v>Cochabamba</v>
          </cell>
          <cell r="F116" t="str">
            <v>Cochabamba</v>
          </cell>
          <cell r="G116" t="str">
            <v>U. E. San Nicolas Club de Leones</v>
          </cell>
          <cell r="H116" t="str">
            <v>Villa San Nicolas</v>
          </cell>
          <cell r="I116" t="str">
            <v>San Nicolas Detrás de San Isidro</v>
          </cell>
          <cell r="J116" t="str">
            <v>22</v>
          </cell>
          <cell r="K116" t="str">
            <v>Uninominal</v>
          </cell>
          <cell r="L116" t="str">
            <v>-17.4825</v>
          </cell>
          <cell r="M116" t="str">
            <v>-66.1535</v>
          </cell>
          <cell r="N116" t="str">
            <v>Urbano</v>
          </cell>
          <cell r="O116" t="str">
            <v>1890</v>
          </cell>
          <cell r="P116" t="str">
            <v>POINT (-66.1535 -17.4825)</v>
          </cell>
          <cell r="Q116">
            <v>16</v>
          </cell>
          <cell r="R116">
            <v>0.88319767455059783</v>
          </cell>
        </row>
        <row r="117">
          <cell r="A117">
            <v>1891</v>
          </cell>
          <cell r="B117" t="str">
            <v>Unidad Educativa Stefano HotellierCochabamba</v>
          </cell>
          <cell r="C117" t="str">
            <v>Cochabamba</v>
          </cell>
          <cell r="D117" t="str">
            <v>Cercado</v>
          </cell>
          <cell r="E117" t="str">
            <v>Cochabamba</v>
          </cell>
          <cell r="F117" t="str">
            <v>Cochabamba</v>
          </cell>
          <cell r="G117" t="str">
            <v>Unidad Educativa Stefano Hotellier</v>
          </cell>
          <cell r="H117" t="str">
            <v>Agromin La Tamborada</v>
          </cell>
          <cell r="I117" t="str">
            <v>Al Oeste de San Isidro</v>
          </cell>
          <cell r="J117" t="str">
            <v>22</v>
          </cell>
          <cell r="K117" t="str">
            <v>Uninominal</v>
          </cell>
          <cell r="L117" t="str">
            <v>-17.4697</v>
          </cell>
          <cell r="M117" t="str">
            <v>-66.1399</v>
          </cell>
          <cell r="N117" t="str">
            <v>Urbano</v>
          </cell>
          <cell r="O117" t="str">
            <v>1891</v>
          </cell>
          <cell r="P117" t="str">
            <v>POINT (-66.1399 -17.4697)</v>
          </cell>
          <cell r="Q117">
            <v>15</v>
          </cell>
          <cell r="R117">
            <v>0.79662782251978748</v>
          </cell>
        </row>
        <row r="118">
          <cell r="A118">
            <v>1892</v>
          </cell>
          <cell r="B118" t="str">
            <v>Unidad Educativa 14 de SeptiembreCochabamba</v>
          </cell>
          <cell r="C118" t="str">
            <v>Cochabamba</v>
          </cell>
          <cell r="D118" t="str">
            <v>Cercado</v>
          </cell>
          <cell r="E118" t="str">
            <v>Cochabamba</v>
          </cell>
          <cell r="F118" t="str">
            <v>Cochabamba</v>
          </cell>
          <cell r="G118" t="str">
            <v>Unidad Educativa 14 de Septiembre</v>
          </cell>
          <cell r="H118" t="str">
            <v>Magisterio Rural Sarco</v>
          </cell>
          <cell r="I118" t="str">
            <v>Calle Francisco Suarez entre Rigoberto Sains y Cesar Achaval</v>
          </cell>
          <cell r="J118" t="str">
            <v>20</v>
          </cell>
          <cell r="K118" t="str">
            <v>Uninominal</v>
          </cell>
          <cell r="L118" t="str">
            <v>-17.3675</v>
          </cell>
          <cell r="M118" t="str">
            <v>-66.1802</v>
          </cell>
          <cell r="N118" t="str">
            <v>Urbano</v>
          </cell>
          <cell r="O118" t="str">
            <v>1892</v>
          </cell>
          <cell r="P118" t="str">
            <v>POINT (-66.1802 -17.3675)</v>
          </cell>
          <cell r="Q118">
            <v>8</v>
          </cell>
          <cell r="R118">
            <v>0.18692917338869841</v>
          </cell>
        </row>
        <row r="119">
          <cell r="A119">
            <v>1893</v>
          </cell>
          <cell r="B119" t="str">
            <v>Unidad Educativa Facundo QuirogaCochabamba</v>
          </cell>
          <cell r="C119" t="str">
            <v>Cochabamba</v>
          </cell>
          <cell r="D119" t="str">
            <v>Cercado</v>
          </cell>
          <cell r="E119" t="str">
            <v>Cochabamba</v>
          </cell>
          <cell r="F119" t="str">
            <v>Cochabamba</v>
          </cell>
          <cell r="G119" t="str">
            <v>Unidad Educativa Facundo Quiroga</v>
          </cell>
          <cell r="H119" t="str">
            <v>Barrio Ferroviario</v>
          </cell>
          <cell r="I119" t="str">
            <v>Calle 23 de Marzo, Chiriguano, Urpi y Arawuaqui</v>
          </cell>
          <cell r="J119" t="str">
            <v>20</v>
          </cell>
          <cell r="K119" t="str">
            <v>Uninominal</v>
          </cell>
          <cell r="L119" t="str">
            <v>-17.3743</v>
          </cell>
          <cell r="M119" t="str">
            <v>-66.1895</v>
          </cell>
          <cell r="N119" t="str">
            <v>Urbano</v>
          </cell>
          <cell r="O119" t="str">
            <v>1893</v>
          </cell>
          <cell r="P119" t="str">
            <v>POINT (-66.1895 -17.3743)</v>
          </cell>
          <cell r="Q119">
            <v>8</v>
          </cell>
          <cell r="R119">
            <v>0.21982006475790364</v>
          </cell>
        </row>
        <row r="120">
          <cell r="A120">
            <v>1894</v>
          </cell>
          <cell r="B120" t="str">
            <v>Unidad Educativa 9 de MarzoCochabamba</v>
          </cell>
          <cell r="C120" t="str">
            <v>Cochabamba</v>
          </cell>
          <cell r="D120" t="str">
            <v>Cercado</v>
          </cell>
          <cell r="E120" t="str">
            <v>Cochabamba</v>
          </cell>
          <cell r="F120" t="str">
            <v>Cochabamba</v>
          </cell>
          <cell r="G120" t="str">
            <v>Unidad Educativa 9 de Marzo</v>
          </cell>
          <cell r="H120" t="str">
            <v>Urb. Trafalgar</v>
          </cell>
          <cell r="I120" t="str">
            <v>Urbanizacion Trafalga C/ Prov. Hernando Siles y Prov. Tobina y Azurduy</v>
          </cell>
          <cell r="J120" t="str">
            <v>21</v>
          </cell>
          <cell r="K120" t="str">
            <v>Uninominal</v>
          </cell>
          <cell r="L120" t="str">
            <v>-17.4467</v>
          </cell>
          <cell r="M120" t="str">
            <v>-66.1055</v>
          </cell>
          <cell r="N120" t="str">
            <v>Urbano</v>
          </cell>
          <cell r="O120" t="str">
            <v>1894</v>
          </cell>
          <cell r="P120" t="str">
            <v>POINT (-66.1055 -17.4467)</v>
          </cell>
          <cell r="Q120">
            <v>11</v>
          </cell>
          <cell r="R120">
            <v>0.84416975203516509</v>
          </cell>
        </row>
        <row r="121">
          <cell r="A121">
            <v>1895</v>
          </cell>
          <cell r="B121" t="str">
            <v>Unidad Educativa Juan Jose TorrezCochabamba</v>
          </cell>
          <cell r="C121" t="str">
            <v>Cochabamba</v>
          </cell>
          <cell r="D121" t="str">
            <v>Cercado</v>
          </cell>
          <cell r="E121" t="str">
            <v>Cochabamba</v>
          </cell>
          <cell r="F121" t="str">
            <v>Cochabamba</v>
          </cell>
          <cell r="G121" t="str">
            <v>Unidad Educativa Juan Jose Torrez</v>
          </cell>
          <cell r="H121" t="str">
            <v>Alto Sebastian Pagador</v>
          </cell>
          <cell r="I121" t="str">
            <v>Villa Sebastian Pagador C/ La Joya y C/ Bella Vista</v>
          </cell>
          <cell r="J121" t="str">
            <v>21</v>
          </cell>
          <cell r="K121" t="str">
            <v>Uninominal</v>
          </cell>
          <cell r="L121" t="str">
            <v>-17.4477</v>
          </cell>
          <cell r="M121" t="str">
            <v>-66.1148</v>
          </cell>
          <cell r="N121" t="str">
            <v>Urbano</v>
          </cell>
          <cell r="O121" t="str">
            <v>1895</v>
          </cell>
          <cell r="P121" t="str">
            <v>POINT (-66.1148 -17.4477)</v>
          </cell>
          <cell r="Q121">
            <v>13</v>
          </cell>
          <cell r="R121">
            <v>0.79615550289137127</v>
          </cell>
        </row>
        <row r="122">
          <cell r="A122">
            <v>1896</v>
          </cell>
          <cell r="B122" t="str">
            <v>Unidad Educativa San Miguel Alta TensionCochabamba</v>
          </cell>
          <cell r="C122" t="str">
            <v>Cochabamba</v>
          </cell>
          <cell r="D122" t="str">
            <v>Cercado</v>
          </cell>
          <cell r="E122" t="str">
            <v>Cochabamba</v>
          </cell>
          <cell r="F122" t="str">
            <v>Cochabamba</v>
          </cell>
          <cell r="G122" t="str">
            <v>Unidad Educativa San Miguel Alta Tension</v>
          </cell>
          <cell r="H122" t="str">
            <v>Alto V. Hermoso 5 de Octubre</v>
          </cell>
          <cell r="I122" t="str">
            <v>Villa San Miguel Alta Tension Calle 3 y Calle 24 Final</v>
          </cell>
          <cell r="J122" t="str">
            <v>21</v>
          </cell>
          <cell r="K122" t="str">
            <v>Uninominal</v>
          </cell>
          <cell r="L122" t="str">
            <v>-17.4388</v>
          </cell>
          <cell r="M122" t="str">
            <v>-66.1322</v>
          </cell>
          <cell r="N122" t="str">
            <v>Urbano</v>
          </cell>
          <cell r="O122" t="str">
            <v>1896</v>
          </cell>
          <cell r="P122" t="str">
            <v>POINT (-66.1322 -17.4388)</v>
          </cell>
          <cell r="Q122">
            <v>8</v>
          </cell>
          <cell r="R122">
            <v>0.7863968978903878</v>
          </cell>
        </row>
        <row r="123">
          <cell r="A123">
            <v>1897</v>
          </cell>
          <cell r="B123" t="str">
            <v>Unidad Educativa Verdad y VidaCochabamba</v>
          </cell>
          <cell r="C123" t="str">
            <v>Cochabamba</v>
          </cell>
          <cell r="D123" t="str">
            <v>Cercado</v>
          </cell>
          <cell r="E123" t="str">
            <v>Cochabamba</v>
          </cell>
          <cell r="F123" t="str">
            <v>Cochabamba</v>
          </cell>
          <cell r="G123" t="str">
            <v>Unidad Educativa Verdad y Vida</v>
          </cell>
          <cell r="H123" t="str">
            <v>San Francisco</v>
          </cell>
          <cell r="I123" t="str">
            <v>Zona Uspha Ushpa Calle Jerusalen entre Av Civica</v>
          </cell>
          <cell r="J123" t="str">
            <v>21</v>
          </cell>
          <cell r="K123" t="str">
            <v>Uninominal</v>
          </cell>
          <cell r="L123" t="str">
            <v>-17.4747</v>
          </cell>
          <cell r="M123" t="str">
            <v>-66.1066</v>
          </cell>
          <cell r="N123" t="str">
            <v>Urbano</v>
          </cell>
          <cell r="O123" t="str">
            <v>1897</v>
          </cell>
          <cell r="P123" t="str">
            <v>POINT (-66.1066 -17.4747)</v>
          </cell>
          <cell r="Q123">
            <v>26</v>
          </cell>
          <cell r="R123">
            <v>0.84584376467646372</v>
          </cell>
        </row>
        <row r="124">
          <cell r="A124">
            <v>1898</v>
          </cell>
          <cell r="B124" t="str">
            <v>Unidad Educativa Siglo XX   Gabriela MistralCochabamba</v>
          </cell>
          <cell r="C124" t="str">
            <v>Cochabamba</v>
          </cell>
          <cell r="D124" t="str">
            <v>Cercado</v>
          </cell>
          <cell r="E124" t="str">
            <v>Cochabamba</v>
          </cell>
          <cell r="F124" t="str">
            <v>Cochabamba</v>
          </cell>
          <cell r="G124" t="str">
            <v>Unidad Educativa Siglo XX   Gabriela Mistral</v>
          </cell>
          <cell r="H124" t="str">
            <v>Valle Hermoso Norte</v>
          </cell>
          <cell r="I124" t="str">
            <v>Valle Hermoso Norte, C/ Pedro Toledo y Av. Los Angeles</v>
          </cell>
          <cell r="J124" t="str">
            <v>21</v>
          </cell>
          <cell r="K124" t="str">
            <v>Uninominal</v>
          </cell>
          <cell r="L124" t="str">
            <v>-17.4333</v>
          </cell>
          <cell r="M124" t="str">
            <v>-66.122</v>
          </cell>
          <cell r="N124" t="str">
            <v>Urbano</v>
          </cell>
          <cell r="O124" t="str">
            <v>1898</v>
          </cell>
          <cell r="P124" t="str">
            <v>POINT (-66.122 -17.4333)</v>
          </cell>
          <cell r="Q124">
            <v>10</v>
          </cell>
          <cell r="R124" t="str">
            <v>Sin Info</v>
          </cell>
        </row>
        <row r="125">
          <cell r="A125">
            <v>1899</v>
          </cell>
          <cell r="B125" t="str">
            <v>Unidad Educativa America Del Sur   Mejillones ACochabamba</v>
          </cell>
          <cell r="C125" t="str">
            <v>Cochabamba</v>
          </cell>
          <cell r="D125" t="str">
            <v>Cercado</v>
          </cell>
          <cell r="E125" t="str">
            <v>Cochabamba</v>
          </cell>
          <cell r="F125" t="str">
            <v>Cochabamba</v>
          </cell>
          <cell r="G125" t="str">
            <v>Unidad Educativa America Del Sur   Mejillones A</v>
          </cell>
          <cell r="H125" t="str">
            <v>Barrio Minero Alalay</v>
          </cell>
          <cell r="I125" t="str">
            <v>Barrio Minero, Av Siglo Xx entre 10 de Noviembre</v>
          </cell>
          <cell r="J125" t="str">
            <v>21</v>
          </cell>
          <cell r="K125" t="str">
            <v>Uninominal</v>
          </cell>
          <cell r="L125" t="str">
            <v>-17.422</v>
          </cell>
          <cell r="M125" t="str">
            <v>-66.1379</v>
          </cell>
          <cell r="N125" t="str">
            <v>Urbano</v>
          </cell>
          <cell r="O125" t="str">
            <v>1899</v>
          </cell>
          <cell r="P125" t="str">
            <v>POINT (-66.1379 -17.422)</v>
          </cell>
          <cell r="Q125">
            <v>5</v>
          </cell>
          <cell r="R125" t="str">
            <v>Sin Info</v>
          </cell>
        </row>
        <row r="126">
          <cell r="A126">
            <v>1900</v>
          </cell>
          <cell r="B126" t="str">
            <v>Unidad Educativa Santa Cruz   Eduardo Ocampo MoscosoCochabamba</v>
          </cell>
          <cell r="C126" t="str">
            <v>Cochabamba</v>
          </cell>
          <cell r="D126" t="str">
            <v>Cercado</v>
          </cell>
          <cell r="E126" t="str">
            <v>Cochabamba</v>
          </cell>
          <cell r="F126" t="str">
            <v>Cochabamba</v>
          </cell>
          <cell r="G126" t="str">
            <v>Unidad Educativa Santa Cruz   Eduardo Ocampo Moscoso</v>
          </cell>
          <cell r="H126" t="str">
            <v>Villa Santa Cruz</v>
          </cell>
          <cell r="I126" t="str">
            <v>Comunidad de Villa Santa Cruz, Pasaje Cañoto y Mairano</v>
          </cell>
          <cell r="J126" t="str">
            <v>21</v>
          </cell>
          <cell r="K126" t="str">
            <v>Uninominal</v>
          </cell>
          <cell r="L126" t="str">
            <v>-17.4148</v>
          </cell>
          <cell r="M126" t="str">
            <v>-66.1505</v>
          </cell>
          <cell r="N126" t="str">
            <v>Urbano</v>
          </cell>
          <cell r="O126" t="str">
            <v>1900</v>
          </cell>
          <cell r="P126" t="str">
            <v>POINT (-66.1505 -17.4148)</v>
          </cell>
          <cell r="Q126">
            <v>2</v>
          </cell>
          <cell r="R126" t="str">
            <v>Sin Info</v>
          </cell>
        </row>
        <row r="127">
          <cell r="A127">
            <v>1901</v>
          </cell>
          <cell r="B127" t="str">
            <v>Unidad Educativa 26 de OctubreCochabamba</v>
          </cell>
          <cell r="C127" t="str">
            <v>Cochabamba</v>
          </cell>
          <cell r="D127" t="str">
            <v>Cercado</v>
          </cell>
          <cell r="E127" t="str">
            <v>Cochabamba</v>
          </cell>
          <cell r="F127" t="str">
            <v>Cochabamba</v>
          </cell>
          <cell r="G127" t="str">
            <v>Unidad Educativa 26 de Octubre</v>
          </cell>
          <cell r="H127" t="str">
            <v>Magisterio La Rinconada</v>
          </cell>
          <cell r="I127" t="str">
            <v>Barrio Magisterio, Calle Colibri y Divino Maestro entre Av Huayacan y Av. Ruiseñor</v>
          </cell>
          <cell r="J127" t="str">
            <v>21</v>
          </cell>
          <cell r="K127" t="str">
            <v>Uninominal</v>
          </cell>
          <cell r="L127" t="str">
            <v>-17.4209</v>
          </cell>
          <cell r="M127" t="str">
            <v>-66.1212</v>
          </cell>
          <cell r="N127" t="str">
            <v>Urbano</v>
          </cell>
          <cell r="O127" t="str">
            <v>1901</v>
          </cell>
          <cell r="P127" t="str">
            <v>POINT (-66.1212 -17.4209)</v>
          </cell>
          <cell r="Q127">
            <v>5</v>
          </cell>
          <cell r="R127">
            <v>0.56581759459636705</v>
          </cell>
        </row>
        <row r="128">
          <cell r="A128">
            <v>1902</v>
          </cell>
          <cell r="B128" t="str">
            <v>Unidad Educativa Hno Pacifico FelettiCochabamba</v>
          </cell>
          <cell r="C128" t="str">
            <v>Cochabamba</v>
          </cell>
          <cell r="D128" t="str">
            <v>Cercado</v>
          </cell>
          <cell r="E128" t="str">
            <v>Cochabamba</v>
          </cell>
          <cell r="F128" t="str">
            <v>Cochabamba</v>
          </cell>
          <cell r="G128" t="str">
            <v>Unidad Educativa Hno Pacifico Feletti</v>
          </cell>
          <cell r="H128" t="str">
            <v>Eduardo Avaroa</v>
          </cell>
          <cell r="I128" t="str">
            <v>Villa 1º de Mayo, Frente a La Plza Eduardo Avaroa</v>
          </cell>
          <cell r="J128" t="str">
            <v>22</v>
          </cell>
          <cell r="K128" t="str">
            <v>Uninominal</v>
          </cell>
          <cell r="L128" t="str">
            <v>-17.4678</v>
          </cell>
          <cell r="M128" t="str">
            <v>-66.2098</v>
          </cell>
          <cell r="N128" t="str">
            <v>Urbano</v>
          </cell>
          <cell r="O128" t="str">
            <v>1902</v>
          </cell>
          <cell r="P128" t="str">
            <v>POINT (-66.2098 -17.4678)</v>
          </cell>
          <cell r="Q128">
            <v>16</v>
          </cell>
          <cell r="R128">
            <v>0.84561627305887299</v>
          </cell>
        </row>
        <row r="129">
          <cell r="A129">
            <v>1903</v>
          </cell>
          <cell r="B129" t="str">
            <v>U.E. ADRA Juan XXIIICochabamba</v>
          </cell>
          <cell r="C129" t="str">
            <v>Cochabamba</v>
          </cell>
          <cell r="D129" t="str">
            <v>Cercado</v>
          </cell>
          <cell r="E129" t="str">
            <v>Cochabamba</v>
          </cell>
          <cell r="F129" t="str">
            <v>Cochabamba</v>
          </cell>
          <cell r="G129" t="str">
            <v>U.E. ADRA Juan XXIII</v>
          </cell>
          <cell r="H129" t="str">
            <v>Villa Los Alamos</v>
          </cell>
          <cell r="I129" t="str">
            <v>Calle Agramont E Inominada</v>
          </cell>
          <cell r="J129" t="str">
            <v>20</v>
          </cell>
          <cell r="K129" t="str">
            <v>Uninominal</v>
          </cell>
          <cell r="L129" t="str">
            <v>-17.3855</v>
          </cell>
          <cell r="M129" t="str">
            <v>-66.2021</v>
          </cell>
          <cell r="N129" t="str">
            <v>Urbano</v>
          </cell>
          <cell r="O129" t="str">
            <v>1903</v>
          </cell>
          <cell r="P129" t="str">
            <v>POINT (-66.2021 -17.3855)</v>
          </cell>
          <cell r="Q129">
            <v>4</v>
          </cell>
          <cell r="R129" t="str">
            <v>Sin Info</v>
          </cell>
        </row>
        <row r="130">
          <cell r="A130">
            <v>1904</v>
          </cell>
          <cell r="B130" t="str">
            <v>Unidad Educativa Voces LibresCochabamba</v>
          </cell>
          <cell r="C130" t="str">
            <v>Cochabamba</v>
          </cell>
          <cell r="D130" t="str">
            <v>Cercado</v>
          </cell>
          <cell r="E130" t="str">
            <v>Cochabamba</v>
          </cell>
          <cell r="F130" t="str">
            <v>Cochabamba</v>
          </cell>
          <cell r="G130" t="str">
            <v>Unidad Educativa Voces Libres</v>
          </cell>
          <cell r="H130" t="str">
            <v>Central Milenio</v>
          </cell>
          <cell r="I130" t="str">
            <v>Kara Kara</v>
          </cell>
          <cell r="J130" t="str">
            <v>22</v>
          </cell>
          <cell r="K130" t="str">
            <v>Uninominal</v>
          </cell>
          <cell r="L130" t="str">
            <v>-17.474</v>
          </cell>
          <cell r="M130" t="str">
            <v>-66.1322</v>
          </cell>
          <cell r="N130" t="str">
            <v>Urbano</v>
          </cell>
          <cell r="O130" t="str">
            <v>1904</v>
          </cell>
          <cell r="P130" t="str">
            <v>POINT (-66.1322 -17.474)</v>
          </cell>
          <cell r="Q130">
            <v>13</v>
          </cell>
          <cell r="R130">
            <v>0.89739706872576974</v>
          </cell>
        </row>
        <row r="131">
          <cell r="A131">
            <v>1905</v>
          </cell>
          <cell r="B131" t="str">
            <v>Unidad Educativa Antonio DiezCochabamba</v>
          </cell>
          <cell r="C131" t="str">
            <v>Cochabamba</v>
          </cell>
          <cell r="D131" t="str">
            <v>Cercado</v>
          </cell>
          <cell r="E131" t="str">
            <v>Cochabamba</v>
          </cell>
          <cell r="F131" t="str">
            <v>Cochabamba</v>
          </cell>
          <cell r="G131" t="str">
            <v>Unidad Educativa Antonio Diez</v>
          </cell>
          <cell r="H131" t="str">
            <v>Sind. Agr. Sivingani El Rincon</v>
          </cell>
          <cell r="I131" t="str">
            <v>Itocta</v>
          </cell>
          <cell r="J131" t="str">
            <v>22</v>
          </cell>
          <cell r="K131" t="str">
            <v>Uninominal</v>
          </cell>
          <cell r="L131" t="str">
            <v>-17.4718</v>
          </cell>
          <cell r="M131" t="str">
            <v>-66.1793</v>
          </cell>
          <cell r="N131" t="str">
            <v>Urbano</v>
          </cell>
          <cell r="O131" t="str">
            <v>1905</v>
          </cell>
          <cell r="P131" t="str">
            <v>POINT (-66.1793 -17.4718)</v>
          </cell>
          <cell r="Q131">
            <v>18</v>
          </cell>
          <cell r="R131">
            <v>0.75946976386284804</v>
          </cell>
        </row>
        <row r="132">
          <cell r="A132">
            <v>1906</v>
          </cell>
          <cell r="B132" t="str">
            <v>Unidad Educativa Prof. Oscar Rojas CaballeroCochabamba</v>
          </cell>
          <cell r="C132" t="str">
            <v>Cochabamba</v>
          </cell>
          <cell r="D132" t="str">
            <v>Cercado</v>
          </cell>
          <cell r="E132" t="str">
            <v>Cochabamba</v>
          </cell>
          <cell r="F132" t="str">
            <v>Cochabamba</v>
          </cell>
          <cell r="G132" t="str">
            <v>Unidad Educativa Prof. Oscar Rojas Caballero</v>
          </cell>
          <cell r="H132" t="str">
            <v>Pampa Ticti Sud</v>
          </cell>
          <cell r="I132" t="str">
            <v>Rio Yacuma y Prolongacion  Rio Caine</v>
          </cell>
          <cell r="J132" t="str">
            <v>21</v>
          </cell>
          <cell r="K132" t="str">
            <v>Uninominal</v>
          </cell>
          <cell r="L132" t="str">
            <v>-17.435</v>
          </cell>
          <cell r="M132" t="str">
            <v>-66.1514</v>
          </cell>
          <cell r="N132" t="str">
            <v>Urbano</v>
          </cell>
          <cell r="O132" t="str">
            <v>1906</v>
          </cell>
          <cell r="P132" t="str">
            <v>POINT (-66.1514 -17.435)</v>
          </cell>
          <cell r="Q132">
            <v>4</v>
          </cell>
          <cell r="R132">
            <v>0.5716644616049249</v>
          </cell>
        </row>
        <row r="133">
          <cell r="A133">
            <v>1907</v>
          </cell>
          <cell r="B133" t="str">
            <v>U.E. Madre De La Divina ProvidenciaCochabamba</v>
          </cell>
          <cell r="C133" t="str">
            <v>Cochabamba</v>
          </cell>
          <cell r="D133" t="str">
            <v>Cercado</v>
          </cell>
          <cell r="E133" t="str">
            <v>Cochabamba</v>
          </cell>
          <cell r="F133" t="str">
            <v>Cochabamba</v>
          </cell>
          <cell r="G133" t="str">
            <v>U.E. Madre De La Divina Providencia</v>
          </cell>
          <cell r="H133" t="str">
            <v>Villa Armonia</v>
          </cell>
          <cell r="I133" t="str">
            <v>Otb Villa Armonia, Av. Rio Bermejo Esq. Santa Catalina</v>
          </cell>
          <cell r="J133" t="str">
            <v>21</v>
          </cell>
          <cell r="K133" t="str">
            <v>Uninominal</v>
          </cell>
          <cell r="L133" t="str">
            <v>-17.4395</v>
          </cell>
          <cell r="M133" t="str">
            <v>-66.1498</v>
          </cell>
          <cell r="N133" t="str">
            <v>Urbano</v>
          </cell>
          <cell r="O133" t="str">
            <v>1907</v>
          </cell>
          <cell r="P133" t="str">
            <v>POINT (-66.1498 -17.4395)</v>
          </cell>
          <cell r="Q133">
            <v>5</v>
          </cell>
          <cell r="R133">
            <v>0.54360363859990057</v>
          </cell>
        </row>
        <row r="134">
          <cell r="A134">
            <v>1908</v>
          </cell>
          <cell r="B134" t="str">
            <v>U.E. Nacional San IsidroCochabamba</v>
          </cell>
          <cell r="C134" t="str">
            <v>Cochabamba</v>
          </cell>
          <cell r="D134" t="str">
            <v>Cercado</v>
          </cell>
          <cell r="E134" t="str">
            <v>Cochabamba</v>
          </cell>
          <cell r="F134" t="str">
            <v>Cochabamba</v>
          </cell>
          <cell r="G134" t="str">
            <v>U.E. Nacional San Isidro</v>
          </cell>
          <cell r="H134" t="str">
            <v>Alto Bella Vista</v>
          </cell>
          <cell r="I134" t="str">
            <v>Zona Alto Buena Vista Otb Kasa Wasa, Av. La Corona Imperial</v>
          </cell>
          <cell r="J134" t="str">
            <v>22</v>
          </cell>
          <cell r="K134" t="str">
            <v>Uninominal</v>
          </cell>
          <cell r="L134" t="str">
            <v>-17.4689</v>
          </cell>
          <cell r="M134" t="str">
            <v>-66.1512</v>
          </cell>
          <cell r="N134" t="str">
            <v>Urbano</v>
          </cell>
          <cell r="O134" t="str">
            <v>1908</v>
          </cell>
          <cell r="P134" t="str">
            <v>POINT (-66.1512 -17.4689)</v>
          </cell>
          <cell r="Q134">
            <v>20</v>
          </cell>
          <cell r="R134">
            <v>0.85865203079865748</v>
          </cell>
        </row>
        <row r="135">
          <cell r="A135">
            <v>1909</v>
          </cell>
          <cell r="B135" t="str">
            <v>U.E. IsraelCochabamba</v>
          </cell>
          <cell r="C135" t="str">
            <v>Cochabamba</v>
          </cell>
          <cell r="D135" t="str">
            <v>Cercado</v>
          </cell>
          <cell r="E135" t="str">
            <v>Cochabamba</v>
          </cell>
          <cell r="F135" t="str">
            <v>Cochabamba</v>
          </cell>
          <cell r="G135" t="str">
            <v>U.E. Israel</v>
          </cell>
          <cell r="H135" t="str">
            <v>El Paraiso</v>
          </cell>
          <cell r="I135" t="str">
            <v>Zona Villa Israel, Calle Innominada</v>
          </cell>
          <cell r="J135" t="str">
            <v>22</v>
          </cell>
          <cell r="K135" t="str">
            <v>Uninominal</v>
          </cell>
          <cell r="L135" t="str">
            <v>-17.49</v>
          </cell>
          <cell r="M135" t="str">
            <v>-66.1784</v>
          </cell>
          <cell r="N135" t="str">
            <v>Urbano</v>
          </cell>
          <cell r="O135" t="str">
            <v>1909</v>
          </cell>
          <cell r="P135" t="str">
            <v>POINT (-66.1784 -17.49)</v>
          </cell>
          <cell r="Q135">
            <v>16</v>
          </cell>
          <cell r="R135">
            <v>0.84388280003664207</v>
          </cell>
        </row>
        <row r="136">
          <cell r="A136">
            <v>1910</v>
          </cell>
          <cell r="B136" t="str">
            <v>Hogar Comunitario DisneylandiaCochabamba</v>
          </cell>
          <cell r="C136" t="str">
            <v>Cochabamba</v>
          </cell>
          <cell r="D136" t="str">
            <v>Cercado</v>
          </cell>
          <cell r="E136" t="str">
            <v>Cochabamba</v>
          </cell>
          <cell r="F136" t="str">
            <v>Cochabamba</v>
          </cell>
          <cell r="G136" t="str">
            <v>Hogar Comunitario Disneylandia</v>
          </cell>
          <cell r="H136" t="str">
            <v>San Isidro 24 de Junio</v>
          </cell>
          <cell r="I136" t="str">
            <v>Zona Sud, Calle Innominada, Lado Modulo Policial</v>
          </cell>
          <cell r="J136" t="str">
            <v>22</v>
          </cell>
          <cell r="K136" t="str">
            <v>Uninominal</v>
          </cell>
          <cell r="L136" t="str">
            <v>-17.4552</v>
          </cell>
          <cell r="M136" t="str">
            <v>-66.1573</v>
          </cell>
          <cell r="N136" t="str">
            <v>Urbano</v>
          </cell>
          <cell r="O136" t="str">
            <v>1910</v>
          </cell>
          <cell r="P136" t="str">
            <v>POINT (-66.1573 -17.4552)</v>
          </cell>
          <cell r="Q136">
            <v>2</v>
          </cell>
          <cell r="R136">
            <v>0.6256985863898934</v>
          </cell>
        </row>
        <row r="137">
          <cell r="A137">
            <v>1911</v>
          </cell>
          <cell r="B137" t="str">
            <v>U. E. Isaac AttieCochabamba</v>
          </cell>
          <cell r="C137" t="str">
            <v>Cochabamba</v>
          </cell>
          <cell r="D137" t="str">
            <v>Cercado</v>
          </cell>
          <cell r="E137" t="str">
            <v>Cochabamba</v>
          </cell>
          <cell r="F137" t="str">
            <v>Cochabamba</v>
          </cell>
          <cell r="G137" t="str">
            <v>U. E. Isaac Attie</v>
          </cell>
          <cell r="H137" t="str">
            <v>Portales</v>
          </cell>
          <cell r="I137" t="str">
            <v>Calle Aniceto Padilla Nº E-228 entre Av. Gualberto Villarroel y Av. Santa Cruz</v>
          </cell>
          <cell r="J137" t="str">
            <v>20</v>
          </cell>
          <cell r="K137" t="str">
            <v>Uninominal</v>
          </cell>
          <cell r="L137" t="str">
            <v>-17.378091</v>
          </cell>
          <cell r="M137" t="str">
            <v>-66.158643</v>
          </cell>
          <cell r="N137" t="str">
            <v>Urbano</v>
          </cell>
          <cell r="O137" t="str">
            <v>1911</v>
          </cell>
          <cell r="P137" t="str">
            <v>POINT (-66.158643 -17.378091)</v>
          </cell>
          <cell r="Q137">
            <v>4</v>
          </cell>
          <cell r="R137">
            <v>0.13594806068934573</v>
          </cell>
        </row>
        <row r="138">
          <cell r="A138">
            <v>1912</v>
          </cell>
          <cell r="B138" t="str">
            <v>U. E. EspañaCochabamba</v>
          </cell>
          <cell r="C138" t="str">
            <v>Cochabamba</v>
          </cell>
          <cell r="D138" t="str">
            <v>Cercado</v>
          </cell>
          <cell r="E138" t="str">
            <v>Cochabamba</v>
          </cell>
          <cell r="F138" t="str">
            <v>Cochabamba</v>
          </cell>
          <cell r="G138" t="str">
            <v>U. E. España</v>
          </cell>
          <cell r="H138" t="str">
            <v>Villa Galindo</v>
          </cell>
          <cell r="I138" t="str">
            <v>Plaza  Virrey Toledo, Calle Francisco Toledo Nº 1313 entre calle Francisco Viedma y calle Garcilazo de la Vega</v>
          </cell>
          <cell r="J138" t="str">
            <v>20</v>
          </cell>
          <cell r="K138" t="str">
            <v>Uninominal</v>
          </cell>
          <cell r="L138" t="str">
            <v>-17.391151</v>
          </cell>
          <cell r="M138" t="str">
            <v>-66.168721</v>
          </cell>
          <cell r="N138" t="str">
            <v>Urbano</v>
          </cell>
          <cell r="O138" t="str">
            <v>1912</v>
          </cell>
          <cell r="P138" t="str">
            <v>POINT (-66.168721 -17.391151)</v>
          </cell>
          <cell r="Q138">
            <v>7</v>
          </cell>
          <cell r="R138">
            <v>0.17386888132517841</v>
          </cell>
        </row>
        <row r="139">
          <cell r="A139">
            <v>1913</v>
          </cell>
          <cell r="B139" t="str">
            <v>U. E. San AgustínCochabamba</v>
          </cell>
          <cell r="C139" t="str">
            <v>Cochabamba</v>
          </cell>
          <cell r="D139" t="str">
            <v>Cercado</v>
          </cell>
          <cell r="E139" t="str">
            <v>Cochabamba</v>
          </cell>
          <cell r="F139" t="str">
            <v>Cochabamba</v>
          </cell>
          <cell r="G139" t="str">
            <v>U. E. San Agustín</v>
          </cell>
          <cell r="H139" t="str">
            <v>Aranjuez</v>
          </cell>
          <cell r="I139" t="str">
            <v>Av. América Nro.1359 entre Av. Gral. Galindo y calle Benjamín Guzmán</v>
          </cell>
          <cell r="J139" t="str">
            <v>20</v>
          </cell>
          <cell r="K139" t="str">
            <v>Uninominal</v>
          </cell>
          <cell r="L139" t="str">
            <v>-17.373356</v>
          </cell>
          <cell r="M139" t="str">
            <v>-66.143776</v>
          </cell>
          <cell r="N139" t="str">
            <v>Urbano</v>
          </cell>
          <cell r="O139" t="str">
            <v>1913</v>
          </cell>
          <cell r="P139" t="str">
            <v>POINT (-66.143776 -17.373356)</v>
          </cell>
          <cell r="Q139">
            <v>23</v>
          </cell>
          <cell r="R139">
            <v>0.18403572446567623</v>
          </cell>
        </row>
        <row r="140">
          <cell r="A140">
            <v>1914</v>
          </cell>
          <cell r="B140" t="str">
            <v>U. E. San JoséCochabamba</v>
          </cell>
          <cell r="C140" t="str">
            <v>Cochabamba</v>
          </cell>
          <cell r="D140" t="str">
            <v>Cercado</v>
          </cell>
          <cell r="E140" t="str">
            <v>Cochabamba</v>
          </cell>
          <cell r="F140" t="str">
            <v>Cochabamba</v>
          </cell>
          <cell r="G140" t="str">
            <v>U. E. San José</v>
          </cell>
          <cell r="H140" t="str">
            <v>Villa Busch Norte</v>
          </cell>
          <cell r="I140" t="str">
            <v>Calle Antonio Gonzales Nº 3141 entre calle Montero y calle A. Palmero</v>
          </cell>
          <cell r="J140" t="str">
            <v>20</v>
          </cell>
          <cell r="K140" t="str">
            <v>Uninominal</v>
          </cell>
          <cell r="L140" t="str">
            <v>-17.389791</v>
          </cell>
          <cell r="M140" t="str">
            <v>-66.19305</v>
          </cell>
          <cell r="N140" t="str">
            <v>Urbano</v>
          </cell>
          <cell r="O140" t="str">
            <v>1914</v>
          </cell>
          <cell r="P140" t="str">
            <v>POINT (-66.19305 -17.389791)</v>
          </cell>
          <cell r="Q140">
            <v>7</v>
          </cell>
          <cell r="R140">
            <v>0.23809603697750231</v>
          </cell>
        </row>
        <row r="141">
          <cell r="A141">
            <v>1915</v>
          </cell>
          <cell r="B141" t="str">
            <v>U. E. Oscar AlfaroCochabamba</v>
          </cell>
          <cell r="C141" t="str">
            <v>Cochabamba</v>
          </cell>
          <cell r="D141" t="str">
            <v>Cercado</v>
          </cell>
          <cell r="E141" t="str">
            <v>Cochabamba</v>
          </cell>
          <cell r="F141" t="str">
            <v>Cochabamba</v>
          </cell>
          <cell r="G141" t="str">
            <v>U. E. Oscar Alfaro</v>
          </cell>
          <cell r="H141" t="str">
            <v>B. Magisterio IV Centenario</v>
          </cell>
          <cell r="I141" t="str">
            <v>Calle Jack London entre calle Francisco Bedregal y Av. Miguel de Cervantes</v>
          </cell>
          <cell r="J141" t="str">
            <v>20</v>
          </cell>
          <cell r="K141" t="str">
            <v>Uninominal</v>
          </cell>
          <cell r="L141" t="str">
            <v>-17.360479</v>
          </cell>
          <cell r="M141" t="str">
            <v>-66.158582</v>
          </cell>
          <cell r="N141" t="str">
            <v>Urbano</v>
          </cell>
          <cell r="O141" t="str">
            <v>1915</v>
          </cell>
          <cell r="P141" t="str">
            <v>POINT (-66.158582 -17.360479)</v>
          </cell>
          <cell r="Q141">
            <v>3</v>
          </cell>
          <cell r="R141">
            <v>0.29773635655022784</v>
          </cell>
        </row>
        <row r="142">
          <cell r="A142">
            <v>1916</v>
          </cell>
          <cell r="B142" t="str">
            <v>U. E. Jorge VásquezCochabamba</v>
          </cell>
          <cell r="C142" t="str">
            <v>Cochabamba</v>
          </cell>
          <cell r="D142" t="str">
            <v>Cercado</v>
          </cell>
          <cell r="E142" t="str">
            <v>Cochabamba</v>
          </cell>
          <cell r="F142" t="str">
            <v>Cochabamba</v>
          </cell>
          <cell r="G142" t="str">
            <v>U. E. Jorge Vásquez</v>
          </cell>
          <cell r="H142" t="str">
            <v>Magisterio Rural Sarco</v>
          </cell>
          <cell r="I142" t="str">
            <v>Av. Juan de la Rosa esq. Av. Beijing</v>
          </cell>
          <cell r="J142" t="str">
            <v>20</v>
          </cell>
          <cell r="K142" t="str">
            <v>Uninominal</v>
          </cell>
          <cell r="L142" t="str">
            <v>-17.373906</v>
          </cell>
          <cell r="M142" t="str">
            <v>-66.181015</v>
          </cell>
          <cell r="N142" t="str">
            <v>Urbano</v>
          </cell>
          <cell r="O142" t="str">
            <v>1916</v>
          </cell>
          <cell r="P142" t="str">
            <v>POINT (-66.181015 -17.373906)</v>
          </cell>
          <cell r="Q142">
            <v>8</v>
          </cell>
          <cell r="R142">
            <v>0.13687992461635232</v>
          </cell>
        </row>
        <row r="143">
          <cell r="A143">
            <v>1917</v>
          </cell>
          <cell r="B143" t="str">
            <v>Sede Social Sindicato Agrario TaquiñaCochabamba</v>
          </cell>
          <cell r="C143" t="str">
            <v>Cochabamba</v>
          </cell>
          <cell r="D143" t="str">
            <v>Cercado</v>
          </cell>
          <cell r="E143" t="str">
            <v>Cochabamba</v>
          </cell>
          <cell r="F143" t="str">
            <v>Cochabamba</v>
          </cell>
          <cell r="G143" t="str">
            <v>Sede Social Sindicato Agrario Taquiña</v>
          </cell>
          <cell r="H143" t="str">
            <v>Sindicato Agrario Taquiña</v>
          </cell>
          <cell r="I143" t="str">
            <v>Av. 2 de Agosto esquina Av. Segunda Circunvalación</v>
          </cell>
          <cell r="J143" t="str">
            <v>20</v>
          </cell>
          <cell r="K143" t="str">
            <v>Uninominal</v>
          </cell>
          <cell r="L143" t="str">
            <v>-17.34225</v>
          </cell>
          <cell r="M143" t="str">
            <v>-66.178682</v>
          </cell>
          <cell r="N143" t="str">
            <v>Urbano</v>
          </cell>
          <cell r="O143" t="str">
            <v>1917</v>
          </cell>
          <cell r="P143" t="str">
            <v>POINT (-66.178682 -17.34225)</v>
          </cell>
          <cell r="Q143">
            <v>2</v>
          </cell>
          <cell r="R143">
            <v>0.54773869346733672</v>
          </cell>
        </row>
        <row r="144">
          <cell r="A144">
            <v>1918</v>
          </cell>
          <cell r="B144" t="str">
            <v>U. E. PenielCochabamba</v>
          </cell>
          <cell r="C144" t="str">
            <v>Cochabamba</v>
          </cell>
          <cell r="D144" t="str">
            <v>Cercado</v>
          </cell>
          <cell r="E144" t="str">
            <v>Cochabamba</v>
          </cell>
          <cell r="F144" t="str">
            <v>Cochabamba</v>
          </cell>
          <cell r="G144" t="str">
            <v>U. E. Peniel</v>
          </cell>
          <cell r="H144" t="str">
            <v>V. Sebastian Pagador 2do. Grupo</v>
          </cell>
          <cell r="I144" t="str">
            <v>Pasaje Vinces y Pasaje Julo, entre Av. Humberto Asin Rivero y Calle Saucari</v>
          </cell>
          <cell r="J144" t="str">
            <v>21</v>
          </cell>
          <cell r="K144" t="str">
            <v>Uninominal</v>
          </cell>
          <cell r="L144" t="str">
            <v>-17.439464</v>
          </cell>
          <cell r="M144" t="str">
            <v>-66.117405</v>
          </cell>
          <cell r="N144" t="str">
            <v>Urbano</v>
          </cell>
          <cell r="O144" t="str">
            <v>1918</v>
          </cell>
          <cell r="P144" t="str">
            <v>POINT (-66.117405 -17.439464)</v>
          </cell>
          <cell r="Q144">
            <v>4</v>
          </cell>
          <cell r="R144">
            <v>0.73348722048848425</v>
          </cell>
        </row>
        <row r="145">
          <cell r="A145">
            <v>1919</v>
          </cell>
          <cell r="B145" t="str">
            <v>U. E. San Miguel ArcángelCochabamba</v>
          </cell>
          <cell r="C145" t="str">
            <v>Cochabamba</v>
          </cell>
          <cell r="D145" t="str">
            <v>Cercado</v>
          </cell>
          <cell r="E145" t="str">
            <v>Cochabamba</v>
          </cell>
          <cell r="F145" t="str">
            <v>Cochabamba</v>
          </cell>
          <cell r="G145" t="str">
            <v>U. E. San Miguel Arcángel</v>
          </cell>
          <cell r="H145" t="str">
            <v>Barrio V. San Miguel</v>
          </cell>
          <cell r="I145" t="str">
            <v>Calle innominada entre Calles Vicente Caballero y José María de Lara</v>
          </cell>
          <cell r="J145" t="str">
            <v>21</v>
          </cell>
          <cell r="K145" t="str">
            <v>Uninominal</v>
          </cell>
          <cell r="L145" t="str">
            <v>-17.439328</v>
          </cell>
          <cell r="M145" t="str">
            <v>-66.139736</v>
          </cell>
          <cell r="N145" t="str">
            <v>Urbano</v>
          </cell>
          <cell r="O145" t="str">
            <v>1919</v>
          </cell>
          <cell r="P145" t="str">
            <v>POINT (-66.139736 -17.439328)</v>
          </cell>
          <cell r="Q145">
            <v>2</v>
          </cell>
          <cell r="R145">
            <v>0.75</v>
          </cell>
        </row>
        <row r="146">
          <cell r="A146">
            <v>1920</v>
          </cell>
          <cell r="B146" t="str">
            <v>U. E. Túpac KatariCochabamba</v>
          </cell>
          <cell r="C146" t="str">
            <v>Cochabamba</v>
          </cell>
          <cell r="D146" t="str">
            <v>Cercado</v>
          </cell>
          <cell r="E146" t="str">
            <v>Cochabamba</v>
          </cell>
          <cell r="F146" t="str">
            <v>Cochabamba</v>
          </cell>
          <cell r="G146" t="str">
            <v>U. E. Túpac Katari</v>
          </cell>
          <cell r="H146" t="str">
            <v>Chaska Rumi Trifon Velasco</v>
          </cell>
          <cell r="I146" t="str">
            <v>Av. Petrolera Calle innominada, zona Ticti Sur Chaskarumi</v>
          </cell>
          <cell r="J146" t="str">
            <v>21</v>
          </cell>
          <cell r="K146" t="str">
            <v>Uninominal</v>
          </cell>
          <cell r="L146" t="str">
            <v>-17.437137</v>
          </cell>
          <cell r="M146" t="str">
            <v>-66.135852</v>
          </cell>
          <cell r="N146" t="str">
            <v>Urbano</v>
          </cell>
          <cell r="O146" t="str">
            <v>1920</v>
          </cell>
          <cell r="P146" t="str">
            <v>POINT (-66.135852 -17.437137)</v>
          </cell>
          <cell r="Q146">
            <v>3</v>
          </cell>
          <cell r="R146">
            <v>0.85597434869030931</v>
          </cell>
        </row>
        <row r="147">
          <cell r="A147">
            <v>1921</v>
          </cell>
          <cell r="B147" t="str">
            <v>U. E. Vikinga BolivianaCochabamba</v>
          </cell>
          <cell r="C147" t="str">
            <v>Cochabamba</v>
          </cell>
          <cell r="D147" t="str">
            <v>Cercado</v>
          </cell>
          <cell r="E147" t="str">
            <v>Cochabamba</v>
          </cell>
          <cell r="F147" t="str">
            <v>Cochabamba</v>
          </cell>
          <cell r="G147" t="str">
            <v>U. E. Vikinga Boliviana</v>
          </cell>
          <cell r="H147" t="str">
            <v>Villa Progreso</v>
          </cell>
          <cell r="I147" t="str">
            <v>C/ Molino entre C/ Llalliy Pacha y Yawar Mallku</v>
          </cell>
          <cell r="J147" t="str">
            <v>21</v>
          </cell>
          <cell r="K147" t="str">
            <v>Uninominal</v>
          </cell>
          <cell r="L147" t="str">
            <v>-17.415824</v>
          </cell>
          <cell r="M147" t="str">
            <v>-66.146727</v>
          </cell>
          <cell r="N147" t="str">
            <v>Urbano</v>
          </cell>
          <cell r="O147" t="str">
            <v>1921</v>
          </cell>
          <cell r="P147" t="str">
            <v>POINT (-66.146727 -17.415824)</v>
          </cell>
          <cell r="Q147">
            <v>2</v>
          </cell>
          <cell r="R147">
            <v>0.5950413223140496</v>
          </cell>
        </row>
        <row r="148">
          <cell r="A148">
            <v>1922</v>
          </cell>
          <cell r="B148" t="str">
            <v>U. E. San Francisco JavierCochabamba</v>
          </cell>
          <cell r="C148" t="str">
            <v>Cochabamba</v>
          </cell>
          <cell r="D148" t="str">
            <v>Cercado</v>
          </cell>
          <cell r="E148" t="str">
            <v>Cochabamba</v>
          </cell>
          <cell r="F148" t="str">
            <v>Cochabamba</v>
          </cell>
          <cell r="G148" t="str">
            <v>U. E. San Francisco Javier</v>
          </cell>
          <cell r="H148" t="str">
            <v>Alto Bella Vista</v>
          </cell>
          <cell r="I148" t="str">
            <v>Zona Alto Buena Vista OTB ISIDRO</v>
          </cell>
          <cell r="J148" t="str">
            <v>22</v>
          </cell>
          <cell r="K148" t="str">
            <v>Uninominal</v>
          </cell>
          <cell r="L148" t="str">
            <v>-17.469251</v>
          </cell>
          <cell r="M148" t="str">
            <v>-66.150582</v>
          </cell>
          <cell r="N148" t="str">
            <v>Urbano</v>
          </cell>
          <cell r="O148" t="str">
            <v>1922</v>
          </cell>
          <cell r="P148" t="str">
            <v>POINT (-66.150582 -17.469251)</v>
          </cell>
          <cell r="Q148">
            <v>8</v>
          </cell>
          <cell r="R148">
            <v>0.83688003267592492</v>
          </cell>
        </row>
        <row r="149">
          <cell r="A149">
            <v>1923</v>
          </cell>
          <cell r="B149" t="str">
            <v>U. E. El MiradorCochabamba</v>
          </cell>
          <cell r="C149" t="str">
            <v>Cochabamba</v>
          </cell>
          <cell r="D149" t="str">
            <v>Cercado</v>
          </cell>
          <cell r="E149" t="str">
            <v>Cochabamba</v>
          </cell>
          <cell r="F149" t="str">
            <v>Cochabamba</v>
          </cell>
          <cell r="G149" t="str">
            <v>U. E. El Mirador</v>
          </cell>
          <cell r="H149" t="str">
            <v>Alto Mirador</v>
          </cell>
          <cell r="I149" t="str">
            <v>Zona 5 Alto Mirador, Barrio Primero de Mayo, calle innominada</v>
          </cell>
          <cell r="J149" t="str">
            <v>22</v>
          </cell>
          <cell r="K149" t="str">
            <v>Uninominal</v>
          </cell>
          <cell r="L149" t="str">
            <v>-17.472443</v>
          </cell>
          <cell r="M149" t="str">
            <v>-66.209187</v>
          </cell>
          <cell r="N149" t="str">
            <v>Urbano</v>
          </cell>
          <cell r="O149" t="str">
            <v>1923</v>
          </cell>
          <cell r="P149" t="str">
            <v>POINT (-66.209187 -17.472443)</v>
          </cell>
          <cell r="Q149">
            <v>2</v>
          </cell>
          <cell r="R149">
            <v>0.9191757779646762</v>
          </cell>
        </row>
        <row r="150">
          <cell r="A150">
            <v>1924</v>
          </cell>
          <cell r="B150" t="str">
            <v>U. E. 21 de SeptiembreCochabamba</v>
          </cell>
          <cell r="C150" t="str">
            <v>Cochabamba</v>
          </cell>
          <cell r="D150" t="str">
            <v>Cercado</v>
          </cell>
          <cell r="E150" t="str">
            <v>Cochabamba</v>
          </cell>
          <cell r="F150" t="str">
            <v>Cochabamba</v>
          </cell>
          <cell r="G150" t="str">
            <v>U. E. 21 de Septiembre</v>
          </cell>
          <cell r="H150" t="str">
            <v>21 de Septiembre</v>
          </cell>
          <cell r="I150" t="str">
            <v>Municipio de Cochabamba Av. 21 de Septiembre</v>
          </cell>
          <cell r="J150" t="str">
            <v>22</v>
          </cell>
          <cell r="K150" t="str">
            <v>Uninominal</v>
          </cell>
          <cell r="L150" t="str">
            <v>-17.482205</v>
          </cell>
          <cell r="M150" t="str">
            <v>-66.181012</v>
          </cell>
          <cell r="N150" t="str">
            <v>Urbano</v>
          </cell>
          <cell r="O150" t="str">
            <v>1924</v>
          </cell>
          <cell r="P150" t="str">
            <v>POINT (-66.181012 -17.482205)</v>
          </cell>
          <cell r="Q150">
            <v>2</v>
          </cell>
          <cell r="R150">
            <v>0.91082802547770703</v>
          </cell>
        </row>
        <row r="151">
          <cell r="A151">
            <v>1925</v>
          </cell>
          <cell r="B151" t="str">
            <v>U. E. Nuestra Señora de la Merced ACochabamba</v>
          </cell>
          <cell r="C151" t="str">
            <v>Cochabamba</v>
          </cell>
          <cell r="D151" t="str">
            <v>Cercado</v>
          </cell>
          <cell r="E151" t="str">
            <v>Cochabamba</v>
          </cell>
          <cell r="F151" t="str">
            <v>Cochabamba</v>
          </cell>
          <cell r="G151" t="str">
            <v>U. E. Nuestra Señora de la Merced A</v>
          </cell>
          <cell r="H151" t="str">
            <v>Pampa Grande</v>
          </cell>
          <cell r="I151" t="str">
            <v>Av. Capitán Víctor Ustariz entre calle Sir Roonald Ross y Calle Antenor de la VÍa Garcia</v>
          </cell>
          <cell r="J151" t="str">
            <v>20</v>
          </cell>
          <cell r="K151" t="str">
            <v>Uninominal</v>
          </cell>
          <cell r="L151" t="str">
            <v>-17.397455</v>
          </cell>
          <cell r="M151" t="str">
            <v>-66.207304</v>
          </cell>
          <cell r="N151" t="str">
            <v>Urbano</v>
          </cell>
          <cell r="O151" t="str">
            <v>1925</v>
          </cell>
          <cell r="P151" t="str">
            <v>POINT (-66.207304 -17.397455)</v>
          </cell>
          <cell r="Q151">
            <v>7</v>
          </cell>
          <cell r="R151">
            <v>0.44599260391166506</v>
          </cell>
        </row>
        <row r="152">
          <cell r="A152">
            <v>1926</v>
          </cell>
          <cell r="B152" t="str">
            <v>U. E. Nilo Soruco ArancibiaCochabamba</v>
          </cell>
          <cell r="C152" t="str">
            <v>Cochabamba</v>
          </cell>
          <cell r="D152" t="str">
            <v>Cercado</v>
          </cell>
          <cell r="E152" t="str">
            <v>Cochabamba</v>
          </cell>
          <cell r="F152" t="str">
            <v>Cochabamba</v>
          </cell>
          <cell r="G152" t="str">
            <v>U. E. Nilo Soruco Arancibia</v>
          </cell>
          <cell r="H152" t="str">
            <v>Hipodromo Sud</v>
          </cell>
          <cell r="I152" t="str">
            <v>Calle Mons. Ángel Maria Zeballos entre Av. Villavicencio y Av. Melchor Pérez de Olguín</v>
          </cell>
          <cell r="J152" t="str">
            <v>20</v>
          </cell>
          <cell r="K152" t="str">
            <v>Uninominal</v>
          </cell>
          <cell r="L152" t="str">
            <v>-17.397715</v>
          </cell>
          <cell r="M152" t="str">
            <v>-66.18245</v>
          </cell>
          <cell r="N152" t="str">
            <v>Urbano</v>
          </cell>
          <cell r="O152" t="str">
            <v>1926</v>
          </cell>
          <cell r="P152" t="str">
            <v>POINT (-66.18245 -17.397715)</v>
          </cell>
          <cell r="Q152">
            <v>3</v>
          </cell>
          <cell r="R152">
            <v>0.31973652405124486</v>
          </cell>
        </row>
        <row r="153">
          <cell r="A153">
            <v>1927</v>
          </cell>
          <cell r="B153" t="str">
            <v>U. E. Alcides Arguedas A.Cochabamba</v>
          </cell>
          <cell r="C153" t="str">
            <v>Cochabamba</v>
          </cell>
          <cell r="D153" t="str">
            <v>Cercado</v>
          </cell>
          <cell r="E153" t="str">
            <v>Cochabamba</v>
          </cell>
          <cell r="F153" t="str">
            <v>Cochabamba</v>
          </cell>
          <cell r="G153" t="str">
            <v>U. E. Alcides Arguedas A.</v>
          </cell>
          <cell r="H153" t="str">
            <v>San Juan Bosco</v>
          </cell>
          <cell r="I153" t="str">
            <v>Av. La Tamborada entre Av. Final Panamericana y calle María Auxiliadora</v>
          </cell>
          <cell r="J153" t="str">
            <v>21</v>
          </cell>
          <cell r="K153" t="str">
            <v>Uninominal</v>
          </cell>
          <cell r="L153" t="str">
            <v>-17.439902</v>
          </cell>
          <cell r="M153" t="str">
            <v>-66.161219</v>
          </cell>
          <cell r="N153" t="str">
            <v>Urbano</v>
          </cell>
          <cell r="O153" t="str">
            <v>1927</v>
          </cell>
          <cell r="P153" t="str">
            <v>POINT (-66.161219 -17.439902)</v>
          </cell>
          <cell r="Q153">
            <v>2</v>
          </cell>
          <cell r="R153">
            <v>0.42857142857142855</v>
          </cell>
        </row>
        <row r="154">
          <cell r="A154">
            <v>1928</v>
          </cell>
          <cell r="B154" t="str">
            <v>U. E. Santa MónicaCochabamba</v>
          </cell>
          <cell r="C154" t="str">
            <v>Cochabamba</v>
          </cell>
          <cell r="D154" t="str">
            <v>Cercado</v>
          </cell>
          <cell r="E154" t="str">
            <v>Cochabamba</v>
          </cell>
          <cell r="F154" t="str">
            <v>Cochabamba</v>
          </cell>
          <cell r="G154" t="str">
            <v>U. E. Santa Mónica</v>
          </cell>
          <cell r="H154" t="str">
            <v>Ticti Norte</v>
          </cell>
          <cell r="I154" t="str">
            <v>Calle Achanq'ara entre las calles Chariña y Qoyllur, OTB Ticti Norte</v>
          </cell>
          <cell r="J154" t="str">
            <v>20</v>
          </cell>
          <cell r="K154" t="str">
            <v>Uninominal</v>
          </cell>
          <cell r="L154" t="str">
            <v>-17.348139</v>
          </cell>
          <cell r="M154" t="str">
            <v>-66.168953</v>
          </cell>
          <cell r="N154" t="str">
            <v>Urbano</v>
          </cell>
          <cell r="O154" t="str">
            <v>1928</v>
          </cell>
          <cell r="P154" t="str">
            <v>POINT (-66.168953 -17.348139)</v>
          </cell>
          <cell r="Q154">
            <v>11</v>
          </cell>
          <cell r="R154">
            <v>0.46866387193245584</v>
          </cell>
        </row>
        <row r="155">
          <cell r="A155">
            <v>1929</v>
          </cell>
          <cell r="B155" t="str">
            <v>U. E. Juancito Pinto BCochabamba</v>
          </cell>
          <cell r="C155" t="str">
            <v>Cochabamba</v>
          </cell>
          <cell r="D155" t="str">
            <v>Cercado</v>
          </cell>
          <cell r="E155" t="str">
            <v>Cochabamba</v>
          </cell>
          <cell r="F155" t="str">
            <v>Cochabamba</v>
          </cell>
          <cell r="G155" t="str">
            <v>U. E. Juancito Pinto B</v>
          </cell>
          <cell r="H155" t="str">
            <v>Villa Flores</v>
          </cell>
          <cell r="I155" t="str">
            <v>OTB. Villa Flores, C/Mancomunidad K’ara  K’ara</v>
          </cell>
          <cell r="J155" t="str">
            <v>22</v>
          </cell>
          <cell r="K155" t="str">
            <v>Uninominal</v>
          </cell>
          <cell r="L155" t="str">
            <v>-17.476937</v>
          </cell>
          <cell r="M155" t="str">
            <v>-66.119958</v>
          </cell>
          <cell r="N155" t="str">
            <v>Urbano</v>
          </cell>
          <cell r="O155" t="str">
            <v>1929</v>
          </cell>
          <cell r="P155" t="str">
            <v>POINT (-66.119958 -17.476937)</v>
          </cell>
          <cell r="Q155">
            <v>16</v>
          </cell>
          <cell r="R155">
            <v>0.89593711216447369</v>
          </cell>
        </row>
        <row r="156">
          <cell r="A156">
            <v>1930</v>
          </cell>
          <cell r="B156" t="str">
            <v>U. E. 8 de MayoCochabamba</v>
          </cell>
          <cell r="C156" t="str">
            <v>Cochabamba</v>
          </cell>
          <cell r="D156" t="str">
            <v>Cercado</v>
          </cell>
          <cell r="E156" t="str">
            <v>Cochabamba</v>
          </cell>
          <cell r="F156" t="str">
            <v>Cochabamba</v>
          </cell>
          <cell r="G156" t="str">
            <v>U. E. 8 de Mayo</v>
          </cell>
          <cell r="H156" t="str">
            <v>Cobija</v>
          </cell>
          <cell r="I156" t="str">
            <v>Calle Ecuador entre C/ Junín y Amiraya</v>
          </cell>
          <cell r="J156" t="str">
            <v>21</v>
          </cell>
          <cell r="K156" t="str">
            <v>Uninominal</v>
          </cell>
          <cell r="L156" t="str">
            <v>-17.390503</v>
          </cell>
          <cell r="M156" t="str">
            <v>-66.161026</v>
          </cell>
          <cell r="N156" t="str">
            <v>Urbano</v>
          </cell>
          <cell r="O156" t="str">
            <v>1930</v>
          </cell>
          <cell r="P156" t="str">
            <v>POINT (-66.161026 -17.390503)</v>
          </cell>
          <cell r="Q156">
            <v>4</v>
          </cell>
          <cell r="R156">
            <v>0.18070224147504854</v>
          </cell>
        </row>
        <row r="157">
          <cell r="A157">
            <v>1931</v>
          </cell>
          <cell r="B157" t="str">
            <v>U. E. Francisco Javier Baldivieso LunaCochabamba</v>
          </cell>
          <cell r="C157" t="str">
            <v>Cochabamba</v>
          </cell>
          <cell r="D157" t="str">
            <v>Cercado</v>
          </cell>
          <cell r="E157" t="str">
            <v>Cochabamba</v>
          </cell>
          <cell r="F157" t="str">
            <v>Cochabamba</v>
          </cell>
          <cell r="G157" t="str">
            <v>U. E. Francisco Javier Baldivieso Luna</v>
          </cell>
          <cell r="H157" t="str">
            <v>Nueva Esperanza Kiñi Loma</v>
          </cell>
          <cell r="I157" t="str">
            <v>Av. Petrolera Km 8.5, OTB Kiñi Lama- Nueva Esperanza</v>
          </cell>
          <cell r="J157" t="str">
            <v>21</v>
          </cell>
          <cell r="K157" t="str">
            <v>Uninominal</v>
          </cell>
          <cell r="L157" t="str">
            <v>-17.466683</v>
          </cell>
          <cell r="M157" t="str">
            <v>-66.113129</v>
          </cell>
          <cell r="N157" t="str">
            <v>Urbano</v>
          </cell>
          <cell r="O157" t="str">
            <v>1931</v>
          </cell>
          <cell r="P157" t="str">
            <v>POINT (-66.113129 -17.466683)</v>
          </cell>
          <cell r="Q157">
            <v>7</v>
          </cell>
          <cell r="R157">
            <v>0.63801440808502219</v>
          </cell>
        </row>
        <row r="158">
          <cell r="A158">
            <v>1932</v>
          </cell>
          <cell r="B158" t="str">
            <v>U. E. San Vicente de PaulCochabamba</v>
          </cell>
          <cell r="C158" t="str">
            <v>Cochabamba</v>
          </cell>
          <cell r="D158" t="str">
            <v>Cercado</v>
          </cell>
          <cell r="E158" t="str">
            <v>Cochabamba</v>
          </cell>
          <cell r="F158" t="str">
            <v>Cochabamba</v>
          </cell>
          <cell r="G158" t="str">
            <v>U. E. San Vicente de Paul</v>
          </cell>
          <cell r="H158" t="str">
            <v>Juan Pablo II</v>
          </cell>
          <cell r="I158" t="str">
            <v>Av. Petrolera Km 10, barrio San Juan - Zona Uspha Uspha</v>
          </cell>
          <cell r="J158" t="str">
            <v>21</v>
          </cell>
          <cell r="K158" t="str">
            <v>Uninominal</v>
          </cell>
          <cell r="L158" t="str">
            <v>-17.480595</v>
          </cell>
          <cell r="M158" t="str">
            <v>-66.100886</v>
          </cell>
          <cell r="N158" t="str">
            <v>Urbano</v>
          </cell>
          <cell r="O158" t="str">
            <v>1932</v>
          </cell>
          <cell r="P158" t="str">
            <v>POINT (-66.100886 -17.480595)</v>
          </cell>
          <cell r="Q158">
            <v>7</v>
          </cell>
          <cell r="R158">
            <v>0.83432971074445561</v>
          </cell>
        </row>
        <row r="159">
          <cell r="A159">
            <v>1933</v>
          </cell>
          <cell r="B159" t="str">
            <v>U. E. San AndrésCochabamba</v>
          </cell>
          <cell r="C159" t="str">
            <v>Cochabamba</v>
          </cell>
          <cell r="D159" t="str">
            <v>Cercado</v>
          </cell>
          <cell r="E159" t="str">
            <v>Cochabamba</v>
          </cell>
          <cell r="F159" t="str">
            <v>Cochabamba</v>
          </cell>
          <cell r="G159" t="str">
            <v>U. E. San Andrés</v>
          </cell>
          <cell r="H159" t="str">
            <v>Villa San Andres</v>
          </cell>
          <cell r="I159" t="str">
            <v>Av. Uncía entre la calle la Joya y Av. Pisiga OTB. Villa San Andrés</v>
          </cell>
          <cell r="J159" t="str">
            <v>21</v>
          </cell>
          <cell r="K159" t="str">
            <v>Uninominal</v>
          </cell>
          <cell r="L159" t="str">
            <v>-17.457485</v>
          </cell>
          <cell r="M159" t="str">
            <v>-66.11302</v>
          </cell>
          <cell r="N159" t="str">
            <v>Urbano</v>
          </cell>
          <cell r="O159" t="str">
            <v>1933</v>
          </cell>
          <cell r="P159" t="str">
            <v>POINT (-66.11302 -17.457485)</v>
          </cell>
          <cell r="Q159">
            <v>1</v>
          </cell>
          <cell r="R159">
            <v>0.87903225806451613</v>
          </cell>
        </row>
        <row r="160">
          <cell r="A160">
            <v>1934</v>
          </cell>
          <cell r="B160" t="str">
            <v>U. E. CochabambaCochabamba</v>
          </cell>
          <cell r="C160" t="str">
            <v>Cochabamba</v>
          </cell>
          <cell r="D160" t="str">
            <v>Cercado</v>
          </cell>
          <cell r="E160" t="str">
            <v>Cochabamba</v>
          </cell>
          <cell r="F160" t="str">
            <v>Cochabamba</v>
          </cell>
          <cell r="G160" t="str">
            <v>U. E. Cochabamba</v>
          </cell>
          <cell r="H160" t="str">
            <v>Geronimo de Osorio</v>
          </cell>
          <cell r="I160" t="str">
            <v>Calle Jordán Nº 236, entre calle Junín y Hamiraya</v>
          </cell>
          <cell r="J160" t="str">
            <v>21</v>
          </cell>
          <cell r="K160" t="str">
            <v>Uninominal</v>
          </cell>
          <cell r="L160" t="str">
            <v>-17.395751</v>
          </cell>
          <cell r="M160" t="str">
            <v>-66.159833</v>
          </cell>
          <cell r="N160" t="str">
            <v>Urbano</v>
          </cell>
          <cell r="O160" t="str">
            <v>1934</v>
          </cell>
          <cell r="P160" t="str">
            <v>POINT (-66.159833 -17.395751)</v>
          </cell>
          <cell r="Q160">
            <v>1</v>
          </cell>
          <cell r="R160">
            <v>0.42307692307692307</v>
          </cell>
        </row>
        <row r="161">
          <cell r="A161">
            <v>1935</v>
          </cell>
          <cell r="B161" t="str">
            <v>U. E. Bolivia Japón TardeCochabamba</v>
          </cell>
          <cell r="C161" t="str">
            <v>Cochabamba</v>
          </cell>
          <cell r="D161" t="str">
            <v>Cercado</v>
          </cell>
          <cell r="E161" t="str">
            <v>Cochabamba</v>
          </cell>
          <cell r="F161" t="str">
            <v>Cochabamba</v>
          </cell>
          <cell r="G161" t="str">
            <v>U. E. Bolivia Japón Tarde</v>
          </cell>
          <cell r="H161" t="str">
            <v>San Juan Bosco</v>
          </cell>
          <cell r="I161" t="str">
            <v>Calle Santa Lucia entre Av. Santo Domingo y calle Nuestra Sra. de Lourdes, frente a la Cancha de la OTB</v>
          </cell>
          <cell r="J161" t="str">
            <v>21</v>
          </cell>
          <cell r="K161" t="str">
            <v>Uninominal</v>
          </cell>
          <cell r="L161" t="str">
            <v>-17.428363</v>
          </cell>
          <cell r="M161" t="str">
            <v>-66.157721</v>
          </cell>
          <cell r="N161" t="str">
            <v>Urbano</v>
          </cell>
          <cell r="O161" t="str">
            <v>1935</v>
          </cell>
          <cell r="P161" t="str">
            <v>POINT (-66.157721 -17.428363)</v>
          </cell>
          <cell r="Q161">
            <v>3</v>
          </cell>
          <cell r="R161">
            <v>0.46509986973512807</v>
          </cell>
        </row>
        <row r="162">
          <cell r="A162">
            <v>1936</v>
          </cell>
          <cell r="B162" t="str">
            <v>U. E. Pentecostal de BoliviaCochabamba</v>
          </cell>
          <cell r="C162" t="str">
            <v>Cochabamba</v>
          </cell>
          <cell r="D162" t="str">
            <v>Cercado</v>
          </cell>
          <cell r="E162" t="str">
            <v>Cochabamba</v>
          </cell>
          <cell r="F162" t="str">
            <v>Cochabamba</v>
          </cell>
          <cell r="G162" t="str">
            <v>U. E. Pentecostal de Bolivia</v>
          </cell>
          <cell r="H162" t="str">
            <v>V. Sebastian Pagador 2do. Grupo</v>
          </cell>
          <cell r="I162" t="str">
            <v>Av. Machacamarca entre Av. Humberto Asin Rivero y calle San Felipe de Austria</v>
          </cell>
          <cell r="J162" t="str">
            <v>21</v>
          </cell>
          <cell r="K162" t="str">
            <v>Uninominal</v>
          </cell>
          <cell r="L162" t="str">
            <v>-17.439697</v>
          </cell>
          <cell r="M162" t="str">
            <v>-66.117217</v>
          </cell>
          <cell r="N162" t="str">
            <v>Urbano</v>
          </cell>
          <cell r="O162" t="str">
            <v>1936</v>
          </cell>
          <cell r="P162" t="str">
            <v>POINT (-66.117217 -17.439697)</v>
          </cell>
          <cell r="Q162">
            <v>7</v>
          </cell>
          <cell r="R162">
            <v>0.74013352326049531</v>
          </cell>
        </row>
        <row r="163">
          <cell r="A163">
            <v>1937</v>
          </cell>
          <cell r="B163" t="str">
            <v>Sede Social de OTB Cerro San Miguel  AltoCochabamba</v>
          </cell>
          <cell r="C163" t="str">
            <v>Cochabamba</v>
          </cell>
          <cell r="D163" t="str">
            <v>Cercado</v>
          </cell>
          <cell r="E163" t="str">
            <v>Cochabamba</v>
          </cell>
          <cell r="F163" t="str">
            <v>Cochabamba</v>
          </cell>
          <cell r="G163" t="str">
            <v>Sede Social de OTB Cerro San Miguel  Alto</v>
          </cell>
          <cell r="H163" t="str">
            <v>Cerro San Miguel Alto</v>
          </cell>
          <cell r="I163" t="str">
            <v>Calle Ayllu esquina calle Bonifacio Chuquimanawi, OTB Cerro San Miguel</v>
          </cell>
          <cell r="J163" t="str">
            <v>21</v>
          </cell>
          <cell r="K163" t="str">
            <v>Uninominal</v>
          </cell>
          <cell r="L163" t="str">
            <v>-17.404477</v>
          </cell>
          <cell r="M163" t="str">
            <v>-66.148027</v>
          </cell>
          <cell r="N163" t="str">
            <v>Urbano</v>
          </cell>
          <cell r="O163" t="str">
            <v>1937</v>
          </cell>
          <cell r="P163" t="str">
            <v>POINT (-66.148027 -17.404477)</v>
          </cell>
          <cell r="Q163">
            <v>1</v>
          </cell>
          <cell r="R163">
            <v>0.72972972972972971</v>
          </cell>
        </row>
        <row r="164">
          <cell r="A164">
            <v>1938</v>
          </cell>
          <cell r="B164" t="str">
            <v>U. E. El MolinoCochabamba</v>
          </cell>
          <cell r="C164" t="str">
            <v>Cochabamba</v>
          </cell>
          <cell r="D164" t="str">
            <v>Cercado</v>
          </cell>
          <cell r="E164" t="str">
            <v>Cochabamba</v>
          </cell>
          <cell r="F164" t="str">
            <v>Cochabamba</v>
          </cell>
          <cell r="G164" t="str">
            <v>U. E. El Molino</v>
          </cell>
          <cell r="H164" t="str">
            <v>Chaska Rumi Trifon Velasco</v>
          </cell>
          <cell r="I164" t="str">
            <v>C/Pedro de Toledo esquina calle Montevideo (Zona El Molino Av. Petrolera Km 4 1/2)</v>
          </cell>
          <cell r="J164" t="str">
            <v>21</v>
          </cell>
          <cell r="K164" t="str">
            <v>Uninominal</v>
          </cell>
          <cell r="L164" t="str">
            <v>-17.443417</v>
          </cell>
          <cell r="M164" t="str">
            <v>-66.136044</v>
          </cell>
          <cell r="N164" t="str">
            <v>Urbano</v>
          </cell>
          <cell r="O164" t="str">
            <v>1938</v>
          </cell>
          <cell r="P164" t="str">
            <v>POINT (-66.136044 -17.443417)</v>
          </cell>
          <cell r="Q164">
            <v>7</v>
          </cell>
          <cell r="R164">
            <v>0.66926980928533908</v>
          </cell>
        </row>
        <row r="165">
          <cell r="A165">
            <v>1939</v>
          </cell>
          <cell r="B165" t="str">
            <v>U. E. CanaánCochabamba</v>
          </cell>
          <cell r="C165" t="str">
            <v>Cochabamba</v>
          </cell>
          <cell r="D165" t="str">
            <v>Cercado</v>
          </cell>
          <cell r="E165" t="str">
            <v>Cochabamba</v>
          </cell>
          <cell r="F165" t="str">
            <v>Cochabamba</v>
          </cell>
          <cell r="G165" t="str">
            <v>U. E. Canaán</v>
          </cell>
          <cell r="H165" t="str">
            <v>Valle Hermoso Norte</v>
          </cell>
          <cell r="I165" t="str">
            <v>Municipio Cochabamba Av. Pedro de Toledo entre Calle Juan de la Cruz Monje y Huanchaca</v>
          </cell>
          <cell r="J165" t="str">
            <v>21</v>
          </cell>
          <cell r="K165" t="str">
            <v>Uninominal</v>
          </cell>
          <cell r="L165" t="str">
            <v>-17.439799</v>
          </cell>
          <cell r="M165" t="str">
            <v>-66.123194</v>
          </cell>
          <cell r="N165" t="str">
            <v>Urbano</v>
          </cell>
          <cell r="O165" t="str">
            <v>1939</v>
          </cell>
          <cell r="P165" t="str">
            <v>POINT (-66.123194 -17.439799)</v>
          </cell>
          <cell r="Q165">
            <v>2</v>
          </cell>
          <cell r="R165">
            <v>0.57558626465661644</v>
          </cell>
        </row>
        <row r="166">
          <cell r="A166">
            <v>1940</v>
          </cell>
          <cell r="B166" t="str">
            <v>U. E. Luz y VerdadCochabamba</v>
          </cell>
          <cell r="C166" t="str">
            <v>Cochabamba</v>
          </cell>
          <cell r="D166" t="str">
            <v>Cercado</v>
          </cell>
          <cell r="E166" t="str">
            <v>Cochabamba</v>
          </cell>
          <cell r="F166" t="str">
            <v>Cochabamba</v>
          </cell>
          <cell r="G166" t="str">
            <v>U. E. Luz y Verdad</v>
          </cell>
          <cell r="H166" t="str">
            <v>Candelaria Sud Fa</v>
          </cell>
          <cell r="I166" t="str">
            <v>Av. Tamborada frente a las canchas de Costanera Sud, puente La Encañada</v>
          </cell>
          <cell r="J166" t="str">
            <v>22</v>
          </cell>
          <cell r="K166" t="str">
            <v>Uninominal</v>
          </cell>
          <cell r="L166" t="str">
            <v>-17.443461</v>
          </cell>
          <cell r="M166" t="str">
            <v>-66.153174</v>
          </cell>
          <cell r="N166" t="str">
            <v>Urbano</v>
          </cell>
          <cell r="O166" t="str">
            <v>1940</v>
          </cell>
          <cell r="P166" t="str">
            <v>POINT (-66.153174 -17.443461)</v>
          </cell>
          <cell r="Q166">
            <v>2</v>
          </cell>
          <cell r="R166">
            <v>0.61593211752786226</v>
          </cell>
        </row>
        <row r="167">
          <cell r="A167">
            <v>1941</v>
          </cell>
          <cell r="B167" t="str">
            <v>U. E. Padre Luis Diez del PozoCochabamba</v>
          </cell>
          <cell r="C167" t="str">
            <v>Cochabamba</v>
          </cell>
          <cell r="D167" t="str">
            <v>Cercado</v>
          </cell>
          <cell r="E167" t="str">
            <v>Cochabamba</v>
          </cell>
          <cell r="F167" t="str">
            <v>Cochabamba</v>
          </cell>
          <cell r="G167" t="str">
            <v>U. E. Padre Luis Diez del Pozo</v>
          </cell>
          <cell r="H167" t="str">
            <v>Sind. Agr. Tamborada  A</v>
          </cell>
          <cell r="I167" t="str">
            <v>Av. Zofraco, desvío por el camino a Pucarita Chica, Zona Tamborada "A"</v>
          </cell>
          <cell r="J167" t="str">
            <v>22</v>
          </cell>
          <cell r="K167" t="str">
            <v>Uninominal</v>
          </cell>
          <cell r="L167" t="str">
            <v>-17.443437</v>
          </cell>
          <cell r="M167" t="str">
            <v>-66.196199</v>
          </cell>
          <cell r="N167" t="str">
            <v>Urbano</v>
          </cell>
          <cell r="O167" t="str">
            <v>1941</v>
          </cell>
          <cell r="P167" t="str">
            <v>POINT (-66.196199 -17.443437)</v>
          </cell>
          <cell r="Q167">
            <v>9</v>
          </cell>
          <cell r="R167">
            <v>0.64403128420521671</v>
          </cell>
        </row>
        <row r="168">
          <cell r="A168">
            <v>1942</v>
          </cell>
          <cell r="B168" t="str">
            <v>U. E. Ave MaríaCochabamba</v>
          </cell>
          <cell r="C168" t="str">
            <v>Cochabamba</v>
          </cell>
          <cell r="D168" t="str">
            <v>Cercado</v>
          </cell>
          <cell r="E168" t="str">
            <v>Cochabamba</v>
          </cell>
          <cell r="F168" t="str">
            <v>Cochabamba</v>
          </cell>
          <cell r="G168" t="str">
            <v>U. E. Ave María</v>
          </cell>
          <cell r="H168" t="str">
            <v>Parque El Maestro</v>
          </cell>
          <cell r="I168" t="str">
            <v>C/ Hans Greter Nº 1646 Julio Kanaudt y Av. Pdte. Manuel Isidoro Belzu</v>
          </cell>
          <cell r="J168" t="str">
            <v>21</v>
          </cell>
          <cell r="K168" t="str">
            <v>Uninominal</v>
          </cell>
          <cell r="L168" t="str">
            <v>-17.397765</v>
          </cell>
          <cell r="M168" t="str">
            <v>-66.13866</v>
          </cell>
          <cell r="N168" t="str">
            <v>Urbano</v>
          </cell>
          <cell r="O168" t="str">
            <v>1942</v>
          </cell>
          <cell r="P168" t="str">
            <v>POINT (-66.13866 -17.397765)</v>
          </cell>
          <cell r="Q168">
            <v>5</v>
          </cell>
          <cell r="R168">
            <v>0.30042873557304794</v>
          </cell>
        </row>
        <row r="169">
          <cell r="A169">
            <v>1943</v>
          </cell>
          <cell r="B169" t="str">
            <v>U.E. Genoveva RíosCochabamba</v>
          </cell>
          <cell r="C169" t="str">
            <v>Cochabamba</v>
          </cell>
          <cell r="D169" t="str">
            <v>Cercado</v>
          </cell>
          <cell r="E169" t="str">
            <v>Cochabamba</v>
          </cell>
          <cell r="F169" t="str">
            <v>Cochabamba</v>
          </cell>
          <cell r="G169" t="str">
            <v>U.E. Genoveva Ríos</v>
          </cell>
          <cell r="H169" t="str">
            <v>Moises Asbun</v>
          </cell>
          <cell r="I169" t="str">
            <v>Calle Los Robles entre Av. Segunda Circunvalación y Calle Sófocles</v>
          </cell>
          <cell r="J169" t="str">
            <v>20</v>
          </cell>
          <cell r="K169" t="str">
            <v>Uninominal</v>
          </cell>
          <cell r="L169" t="str">
            <v>-17.35683</v>
          </cell>
          <cell r="M169" t="str">
            <v>-66.154277</v>
          </cell>
          <cell r="N169" t="str">
            <v>Urbano</v>
          </cell>
          <cell r="O169" t="str">
            <v>1943</v>
          </cell>
          <cell r="P169" t="str">
            <v>POINT (-66.154277 -17.35683)</v>
          </cell>
          <cell r="Q169">
            <v>7</v>
          </cell>
          <cell r="R169">
            <v>0.30391893807853515</v>
          </cell>
        </row>
        <row r="170">
          <cell r="A170">
            <v>1944</v>
          </cell>
          <cell r="B170" t="str">
            <v>U. E. John DeweyCochabamba</v>
          </cell>
          <cell r="C170" t="str">
            <v>Cochabamba</v>
          </cell>
          <cell r="D170" t="str">
            <v>Cercado</v>
          </cell>
          <cell r="E170" t="str">
            <v>Cochabamba</v>
          </cell>
          <cell r="F170" t="str">
            <v>Cochabamba</v>
          </cell>
          <cell r="G170" t="str">
            <v>U. E. John Dewey</v>
          </cell>
          <cell r="H170" t="str">
            <v>Calampampa Mayorazgo</v>
          </cell>
          <cell r="I170" t="str">
            <v>C/ Eduardo Laredo esquina, C/ Mercedes Anaya y Av. Simón López</v>
          </cell>
          <cell r="J170" t="str">
            <v>20</v>
          </cell>
          <cell r="K170" t="str">
            <v>Uninominal</v>
          </cell>
          <cell r="L170" t="str">
            <v>-17.364903</v>
          </cell>
          <cell r="M170" t="str">
            <v>-66.173878</v>
          </cell>
          <cell r="N170" t="str">
            <v>Urbano</v>
          </cell>
          <cell r="O170" t="str">
            <v>1944</v>
          </cell>
          <cell r="P170" t="str">
            <v>POINT (-66.173878 -17.364903)</v>
          </cell>
          <cell r="Q170">
            <v>5</v>
          </cell>
          <cell r="R170">
            <v>0.20274953559634751</v>
          </cell>
        </row>
        <row r="171">
          <cell r="A171">
            <v>1945</v>
          </cell>
          <cell r="B171" t="str">
            <v>U. E. Patria NuevaCochabamba</v>
          </cell>
          <cell r="C171" t="str">
            <v>Cochabamba</v>
          </cell>
          <cell r="D171" t="str">
            <v>Cercado</v>
          </cell>
          <cell r="E171" t="str">
            <v>Cochabamba</v>
          </cell>
          <cell r="F171" t="str">
            <v>Cochabamba</v>
          </cell>
          <cell r="G171" t="str">
            <v>U. E. Patria Nueva</v>
          </cell>
          <cell r="H171" t="str">
            <v>Ladislao Cabrera</v>
          </cell>
          <cell r="I171" t="str">
            <v>Zona Sud Barrio 1ro. De Mayo OTB El Palmar, C/ Salinas de Garci Mendoza</v>
          </cell>
          <cell r="J171" t="str">
            <v>22</v>
          </cell>
          <cell r="K171" t="str">
            <v>Uninominal</v>
          </cell>
          <cell r="L171" t="str">
            <v>-17.465193</v>
          </cell>
          <cell r="M171" t="str">
            <v>-66.206</v>
          </cell>
          <cell r="N171" t="str">
            <v>Urbano</v>
          </cell>
          <cell r="O171" t="str">
            <v>1945</v>
          </cell>
          <cell r="P171" t="str">
            <v>POINT (-66.206 -17.465193)</v>
          </cell>
          <cell r="Q171">
            <v>23</v>
          </cell>
          <cell r="R171">
            <v>0.85462532852585948</v>
          </cell>
        </row>
        <row r="172">
          <cell r="A172">
            <v>1946</v>
          </cell>
          <cell r="B172" t="str">
            <v>U. E. TiquiraniCochabamba</v>
          </cell>
          <cell r="C172" t="str">
            <v>Cochabamba</v>
          </cell>
          <cell r="D172" t="str">
            <v>Cercado</v>
          </cell>
          <cell r="E172" t="str">
            <v>Cochabamba</v>
          </cell>
          <cell r="F172" t="str">
            <v>Cochabamba</v>
          </cell>
          <cell r="G172" t="str">
            <v>U. E. Tiquirani</v>
          </cell>
          <cell r="H172" t="str">
            <v>Sind. Agr. Pampas San Miguel</v>
          </cell>
          <cell r="I172" t="str">
            <v>OTB Tiquirani, zona Pampa San Miguel, Calle Cerro Bravo</v>
          </cell>
          <cell r="J172" t="str">
            <v>22</v>
          </cell>
          <cell r="K172" t="str">
            <v>Uninominal</v>
          </cell>
          <cell r="L172" t="str">
            <v>-17.463887</v>
          </cell>
          <cell r="M172" t="str">
            <v>-66.135813</v>
          </cell>
          <cell r="N172" t="str">
            <v>Urbano</v>
          </cell>
          <cell r="O172" t="str">
            <v>1946</v>
          </cell>
          <cell r="P172" t="str">
            <v>POINT (-66.135813 -17.463887)</v>
          </cell>
          <cell r="Q172">
            <v>8</v>
          </cell>
          <cell r="R172">
            <v>0.69406877617370233</v>
          </cell>
        </row>
        <row r="173">
          <cell r="A173">
            <v>1947</v>
          </cell>
          <cell r="B173" t="str">
            <v>U.E. Marina Nuñez del PradoCochabamba</v>
          </cell>
          <cell r="C173" t="str">
            <v>Cochabamba</v>
          </cell>
          <cell r="D173" t="str">
            <v>Cercado</v>
          </cell>
          <cell r="E173" t="str">
            <v>Cochabamba</v>
          </cell>
          <cell r="F173" t="str">
            <v>Cochabamba</v>
          </cell>
          <cell r="G173" t="str">
            <v>U.E. Marina Nuñez del Prado</v>
          </cell>
          <cell r="H173" t="str">
            <v>Alto Mirador Ticti Sud</v>
          </cell>
          <cell r="I173" t="str">
            <v>OTB Alto Mirador Ticti Sud situada al sur del centro de la ciudad de Cochabamba</v>
          </cell>
          <cell r="J173" t="str">
            <v>21</v>
          </cell>
          <cell r="K173" t="str">
            <v>Uninominal</v>
          </cell>
          <cell r="L173" t="str">
            <v>-17.431528</v>
          </cell>
          <cell r="M173" t="str">
            <v>-66.136751</v>
          </cell>
          <cell r="N173" t="str">
            <v>Urbano</v>
          </cell>
          <cell r="O173" t="str">
            <v>1947</v>
          </cell>
          <cell r="P173" t="str">
            <v>POINT (-66.136751 -17.431528)</v>
          </cell>
          <cell r="Q173">
            <v>2</v>
          </cell>
          <cell r="R173" t="str">
            <v>Sin Info</v>
          </cell>
        </row>
        <row r="174">
          <cell r="A174">
            <v>1948</v>
          </cell>
          <cell r="B174" t="str">
            <v>U.E. Prof. Jaime Alfonso Escalante GutierrezCochabamba</v>
          </cell>
          <cell r="C174" t="str">
            <v>Cochabamba</v>
          </cell>
          <cell r="D174" t="str">
            <v>Cercado</v>
          </cell>
          <cell r="E174" t="str">
            <v>Cochabamba</v>
          </cell>
          <cell r="F174" t="str">
            <v>Cochabamba</v>
          </cell>
          <cell r="G174" t="str">
            <v>U.E. Prof. Jaime Alfonso Escalante Gutierrez</v>
          </cell>
          <cell r="H174" t="str">
            <v>Las delicias</v>
          </cell>
          <cell r="I174" t="str">
            <v>Barrio Magisterio Las Delicias</v>
          </cell>
          <cell r="J174" t="str">
            <v>22</v>
          </cell>
          <cell r="K174" t="str">
            <v>Uninominal</v>
          </cell>
          <cell r="L174" t="str">
            <v>-17.45265</v>
          </cell>
          <cell r="M174" t="str">
            <v>-66.147522</v>
          </cell>
          <cell r="N174" t="str">
            <v>Urbano</v>
          </cell>
          <cell r="O174" t="str">
            <v>1948</v>
          </cell>
          <cell r="P174" t="str">
            <v>POINT (-66.147522 -17.45265)</v>
          </cell>
          <cell r="Q174">
            <v>2</v>
          </cell>
          <cell r="R174" t="str">
            <v>Sin Info</v>
          </cell>
        </row>
        <row r="175">
          <cell r="A175">
            <v>1949</v>
          </cell>
          <cell r="B175" t="str">
            <v>U.E. Ana María Romero de CamperoCochabamba</v>
          </cell>
          <cell r="C175" t="str">
            <v>Cochabamba</v>
          </cell>
          <cell r="D175" t="str">
            <v>Cercado</v>
          </cell>
          <cell r="E175" t="str">
            <v>Cochabamba</v>
          </cell>
          <cell r="F175" t="str">
            <v>Cochabamba</v>
          </cell>
          <cell r="G175" t="str">
            <v>U.E. Ana María Romero de Campero</v>
          </cell>
          <cell r="H175" t="str">
            <v>Villa Victoria</v>
          </cell>
          <cell r="I175" t="str">
            <v>Villa Victoria</v>
          </cell>
          <cell r="J175" t="str">
            <v>22</v>
          </cell>
          <cell r="K175" t="str">
            <v>Uninominal</v>
          </cell>
          <cell r="L175" t="str">
            <v>-17.475456</v>
          </cell>
          <cell r="M175" t="str">
            <v>-66.168816</v>
          </cell>
          <cell r="N175" t="str">
            <v>Urbano</v>
          </cell>
          <cell r="O175" t="str">
            <v>1949</v>
          </cell>
          <cell r="P175" t="str">
            <v>POINT (-66.168816 -17.475456)</v>
          </cell>
          <cell r="Q175">
            <v>2</v>
          </cell>
          <cell r="R175" t="str">
            <v>Sin Info</v>
          </cell>
        </row>
        <row r="176">
          <cell r="A176">
            <v>1950</v>
          </cell>
          <cell r="B176" t="str">
            <v>U. E. Saúl MendozaCochabamba</v>
          </cell>
          <cell r="C176" t="str">
            <v>Cochabamba</v>
          </cell>
          <cell r="D176" t="str">
            <v>Cercado</v>
          </cell>
          <cell r="E176" t="str">
            <v>Cochabamba</v>
          </cell>
          <cell r="F176" t="str">
            <v>Cochabamba</v>
          </cell>
          <cell r="G176" t="str">
            <v>U. E. Saúl Mendoza</v>
          </cell>
          <cell r="H176" t="str">
            <v>Chavez Rancho</v>
          </cell>
          <cell r="I176" t="str">
            <v>OTB Villa Buch Sud-Calle Juan Muñoz Reyes esquina Ernesto Mach</v>
          </cell>
          <cell r="J176" t="str">
            <v>20</v>
          </cell>
          <cell r="K176" t="str">
            <v>Uninominal</v>
          </cell>
          <cell r="L176" t="str">
            <v>-17.397724</v>
          </cell>
          <cell r="M176" t="str">
            <v>-66.193972</v>
          </cell>
          <cell r="N176" t="str">
            <v>Urbano</v>
          </cell>
          <cell r="O176" t="str">
            <v>1950</v>
          </cell>
          <cell r="P176" t="str">
            <v>POINT (-66.193972 -17.397724)</v>
          </cell>
          <cell r="Q176">
            <v>1</v>
          </cell>
          <cell r="R176" t="str">
            <v>Sin Info</v>
          </cell>
        </row>
        <row r="177">
          <cell r="A177">
            <v>1951</v>
          </cell>
          <cell r="B177" t="str">
            <v>U. E. Bolivia HolandaCochabamba</v>
          </cell>
          <cell r="C177" t="str">
            <v>Cochabamba</v>
          </cell>
          <cell r="D177" t="str">
            <v>Cercado</v>
          </cell>
          <cell r="E177" t="str">
            <v>Cochabamba</v>
          </cell>
          <cell r="F177" t="str">
            <v>Cochabamba</v>
          </cell>
          <cell r="G177" t="str">
            <v>U. E. Bolivia Holanda</v>
          </cell>
          <cell r="H177" t="str">
            <v>Union Kasa Huasa</v>
          </cell>
          <cell r="I177" t="str">
            <v>OTB Unión Kasa Huasa</v>
          </cell>
          <cell r="J177" t="str">
            <v>22</v>
          </cell>
          <cell r="K177" t="str">
            <v>Uninominal</v>
          </cell>
          <cell r="L177" t="str">
            <v>-17.474947</v>
          </cell>
          <cell r="M177" t="str">
            <v>-66.147394</v>
          </cell>
          <cell r="N177" t="str">
            <v>Urbano</v>
          </cell>
          <cell r="O177" t="str">
            <v>1951</v>
          </cell>
          <cell r="P177" t="str">
            <v>POINT (-66.147394 -17.474947)</v>
          </cell>
          <cell r="Q177">
            <v>1</v>
          </cell>
          <cell r="R177" t="str">
            <v>Sin Info</v>
          </cell>
        </row>
        <row r="178">
          <cell r="A178">
            <v>1952</v>
          </cell>
          <cell r="B178" t="str">
            <v>U. E. LibertadCochabamba</v>
          </cell>
          <cell r="C178" t="str">
            <v>Cochabamba</v>
          </cell>
          <cell r="D178" t="str">
            <v>Cercado</v>
          </cell>
          <cell r="E178" t="str">
            <v>Cochabamba</v>
          </cell>
          <cell r="F178" t="str">
            <v>Cochabamba</v>
          </cell>
          <cell r="G178" t="str">
            <v>U. E. Libertad</v>
          </cell>
          <cell r="H178" t="str">
            <v>Villa Urkupiña</v>
          </cell>
          <cell r="I178" t="str">
            <v>OTB Villa Urkupiña, Av. Jujuy</v>
          </cell>
          <cell r="J178" t="str">
            <v>21</v>
          </cell>
          <cell r="K178" t="str">
            <v>Uninominal</v>
          </cell>
          <cell r="L178" t="str">
            <v>-17.426065</v>
          </cell>
          <cell r="M178" t="str">
            <v>-66.1143</v>
          </cell>
          <cell r="N178" t="str">
            <v>Urbano</v>
          </cell>
          <cell r="O178" t="str">
            <v>1952</v>
          </cell>
          <cell r="P178" t="str">
            <v>POINT (-66.1143 -17.426065)</v>
          </cell>
          <cell r="Q178">
            <v>15</v>
          </cell>
          <cell r="R178" t="str">
            <v>Sin Info</v>
          </cell>
        </row>
        <row r="179">
          <cell r="A179">
            <v>1953</v>
          </cell>
          <cell r="B179" t="str">
            <v>U. E. Juan Lechin OquendoCochabamba</v>
          </cell>
          <cell r="C179" t="str">
            <v>Cochabamba</v>
          </cell>
          <cell r="D179" t="str">
            <v>Cercado</v>
          </cell>
          <cell r="E179" t="str">
            <v>Cochabamba</v>
          </cell>
          <cell r="F179" t="str">
            <v>Cochabamba</v>
          </cell>
          <cell r="G179" t="str">
            <v>U. E. Juan Lechin Oquendo</v>
          </cell>
          <cell r="H179" t="str">
            <v>Central Itocta</v>
          </cell>
          <cell r="I179" t="str">
            <v>Av. Pampa Aullagas Esq. Calle Paria</v>
          </cell>
          <cell r="J179" t="str">
            <v>21</v>
          </cell>
          <cell r="K179" t="str">
            <v>Uninominal</v>
          </cell>
          <cell r="L179" t="str">
            <v>-17.452202</v>
          </cell>
          <cell r="M179" t="str">
            <v>-66.117014</v>
          </cell>
          <cell r="N179" t="str">
            <v>Urbano</v>
          </cell>
          <cell r="O179" t="str">
            <v>1953</v>
          </cell>
          <cell r="P179" t="str">
            <v>POINT (-66.117014 -17.452202)</v>
          </cell>
          <cell r="Q179">
            <v>13</v>
          </cell>
          <cell r="R179" t="str">
            <v>Sin Info</v>
          </cell>
        </row>
        <row r="180">
          <cell r="A180">
            <v>1954</v>
          </cell>
          <cell r="B180" t="str">
            <v>Sede Social Alto HigueraniCochabamba</v>
          </cell>
          <cell r="C180" t="str">
            <v>Cochabamba</v>
          </cell>
          <cell r="D180" t="str">
            <v>Cercado</v>
          </cell>
          <cell r="E180" t="str">
            <v>Cochabamba</v>
          </cell>
          <cell r="F180" t="str">
            <v>Cochabamba</v>
          </cell>
          <cell r="G180" t="str">
            <v>Sede Social Alto Higuerani</v>
          </cell>
          <cell r="H180" t="str">
            <v>Sind. Agr. Higuerani</v>
          </cell>
          <cell r="I180" t="str">
            <v>Junta Vecinal Alto Higuerani al sudoeste del municipio de Cochabamba</v>
          </cell>
          <cell r="J180" t="str">
            <v>22</v>
          </cell>
          <cell r="K180" t="str">
            <v>Uninominal</v>
          </cell>
          <cell r="L180" t="str">
            <v>-17.475543</v>
          </cell>
          <cell r="M180" t="str">
            <v>-66.240434</v>
          </cell>
          <cell r="N180" t="str">
            <v>Urbano</v>
          </cell>
          <cell r="O180" t="str">
            <v>1954</v>
          </cell>
          <cell r="P180" t="str">
            <v>POINT (-66.240434 -17.475543)</v>
          </cell>
          <cell r="Q180">
            <v>2</v>
          </cell>
          <cell r="R180" t="str">
            <v>Sin Info</v>
          </cell>
        </row>
        <row r="181">
          <cell r="A181">
            <v>1955</v>
          </cell>
          <cell r="B181" t="str">
            <v>U. E. Rey de ReyesCochabamba</v>
          </cell>
          <cell r="C181" t="str">
            <v>Cochabamba</v>
          </cell>
          <cell r="D181" t="str">
            <v>Cercado</v>
          </cell>
          <cell r="E181" t="str">
            <v>Cochabamba</v>
          </cell>
          <cell r="F181" t="str">
            <v>Cochabamba</v>
          </cell>
          <cell r="G181" t="str">
            <v>U. E. Rey de Reyes</v>
          </cell>
          <cell r="H181" t="str">
            <v>Carlos III</v>
          </cell>
          <cell r="I181" t="str">
            <v>Parque Ex Combatientes Nro 2022 entre San Loranzo</v>
          </cell>
          <cell r="J181" t="str">
            <v>20</v>
          </cell>
          <cell r="K181" t="str">
            <v>Uninominal</v>
          </cell>
          <cell r="L181" t="str">
            <v>-17.384716</v>
          </cell>
          <cell r="M181" t="str">
            <v>-66.175332</v>
          </cell>
          <cell r="N181" t="str">
            <v>Urbano</v>
          </cell>
          <cell r="O181" t="str">
            <v>1955</v>
          </cell>
          <cell r="P181" t="str">
            <v>POINT (-66.175332 -17.384716)</v>
          </cell>
          <cell r="Q181">
            <v>14</v>
          </cell>
          <cell r="R181" t="str">
            <v>Sin Info</v>
          </cell>
        </row>
        <row r="182">
          <cell r="A182">
            <v>1956</v>
          </cell>
          <cell r="B182" t="str">
            <v>U. E. Adventista CochabambaCochabamba</v>
          </cell>
          <cell r="C182" t="str">
            <v>Cochabamba</v>
          </cell>
          <cell r="D182" t="str">
            <v>Cercado</v>
          </cell>
          <cell r="E182" t="str">
            <v>Cochabamba</v>
          </cell>
          <cell r="F182" t="str">
            <v>Cochabamba</v>
          </cell>
          <cell r="G182" t="str">
            <v>U. E. Adventista Cochabamba</v>
          </cell>
          <cell r="H182" t="str">
            <v>Adela Zamudio</v>
          </cell>
          <cell r="I182" t="str">
            <v>Calle Adela Zamudio y pasaje de la Tapia</v>
          </cell>
          <cell r="J182" t="str">
            <v>20</v>
          </cell>
          <cell r="K182" t="str">
            <v>Uninominal</v>
          </cell>
          <cell r="L182" t="str">
            <v>-17.373513</v>
          </cell>
          <cell r="M182" t="str">
            <v>-66.163505</v>
          </cell>
          <cell r="N182" t="str">
            <v>Urbano</v>
          </cell>
          <cell r="O182" t="str">
            <v>1956</v>
          </cell>
          <cell r="P182" t="str">
            <v>POINT (-66.163505 -17.373513)</v>
          </cell>
          <cell r="Q182">
            <v>7</v>
          </cell>
          <cell r="R182" t="str">
            <v>Sin Info</v>
          </cell>
        </row>
        <row r="183">
          <cell r="A183">
            <v>1957</v>
          </cell>
          <cell r="B183" t="str">
            <v>Colegio Despertad Montessori (Secundario)Cochabamba</v>
          </cell>
          <cell r="C183" t="str">
            <v>Cochabamba</v>
          </cell>
          <cell r="D183" t="str">
            <v>Cercado</v>
          </cell>
          <cell r="E183" t="str">
            <v>Cochabamba</v>
          </cell>
          <cell r="F183" t="str">
            <v>Cochabamba</v>
          </cell>
          <cell r="G183" t="str">
            <v>Colegio Despertad Montessori (Secundario)</v>
          </cell>
          <cell r="H183" t="str">
            <v>Villa Montenegro</v>
          </cell>
          <cell r="I183" t="str">
            <v>Av. Martín de la Rocha y Av. Calancha</v>
          </cell>
          <cell r="J183" t="str">
            <v>20</v>
          </cell>
          <cell r="K183" t="str">
            <v>Uninominal</v>
          </cell>
          <cell r="L183" t="str">
            <v>-17.382687</v>
          </cell>
          <cell r="M183" t="str">
            <v>-66.166218</v>
          </cell>
          <cell r="N183" t="str">
            <v>Urbano</v>
          </cell>
          <cell r="O183" t="str">
            <v>1957</v>
          </cell>
          <cell r="P183" t="str">
            <v>POINT (-66.166218 -17.382687)</v>
          </cell>
          <cell r="Q183">
            <v>1</v>
          </cell>
          <cell r="R183" t="str">
            <v>Sin Info</v>
          </cell>
        </row>
        <row r="184">
          <cell r="A184">
            <v>1958</v>
          </cell>
          <cell r="B184" t="str">
            <v>U. E. Lía Rivera de GuzmánCochabamba</v>
          </cell>
          <cell r="C184" t="str">
            <v>Cochabamba</v>
          </cell>
          <cell r="D184" t="str">
            <v>Cercado</v>
          </cell>
          <cell r="E184" t="str">
            <v>Cochabamba</v>
          </cell>
          <cell r="F184" t="str">
            <v>Cochabamba</v>
          </cell>
          <cell r="G184" t="str">
            <v>U. E. Lía Rivera de Guzmán</v>
          </cell>
          <cell r="H184" t="str">
            <v>Faro de Aranjuez</v>
          </cell>
          <cell r="I184" t="str">
            <v>Av. Los Tajibos y Av. Circunvalación</v>
          </cell>
          <cell r="J184" t="str">
            <v>20</v>
          </cell>
          <cell r="K184" t="str">
            <v>Uninominal</v>
          </cell>
          <cell r="L184" t="str">
            <v>-17.365706</v>
          </cell>
          <cell r="M184" t="str">
            <v>-66.148284</v>
          </cell>
          <cell r="N184" t="str">
            <v>Urbano</v>
          </cell>
          <cell r="O184" t="str">
            <v>1958</v>
          </cell>
          <cell r="P184" t="str">
            <v>POINT (-66.148284 -17.365706)</v>
          </cell>
          <cell r="Q184">
            <v>1</v>
          </cell>
          <cell r="R184" t="str">
            <v>Sin Info</v>
          </cell>
        </row>
        <row r="185">
          <cell r="A185">
            <v>1959</v>
          </cell>
          <cell r="B185" t="str">
            <v>kinder AntofagastaCochabamba</v>
          </cell>
          <cell r="C185" t="str">
            <v>Cochabamba</v>
          </cell>
          <cell r="D185" t="str">
            <v>Cercado</v>
          </cell>
          <cell r="E185" t="str">
            <v>Cochabamba</v>
          </cell>
          <cell r="F185" t="str">
            <v>Cochabamba</v>
          </cell>
          <cell r="G185" t="str">
            <v>kinder Antofagasta</v>
          </cell>
          <cell r="H185" t="str">
            <v>Villa Antofagasta</v>
          </cell>
          <cell r="I185" t="str">
            <v>Calle 12 de Junio esq. 30 de Abril</v>
          </cell>
          <cell r="J185" t="str">
            <v>20</v>
          </cell>
          <cell r="K185" t="str">
            <v>Uninominal</v>
          </cell>
          <cell r="L185" t="str">
            <v>-17.387102</v>
          </cell>
          <cell r="M185" t="str">
            <v>-66.184902</v>
          </cell>
          <cell r="N185" t="str">
            <v>Urbano</v>
          </cell>
          <cell r="O185" t="str">
            <v>1959</v>
          </cell>
          <cell r="P185" t="str">
            <v>POINT (-66.184902 -17.387102)</v>
          </cell>
          <cell r="Q185">
            <v>4</v>
          </cell>
          <cell r="R185" t="str">
            <v>Sin Info</v>
          </cell>
        </row>
        <row r="186">
          <cell r="A186">
            <v>1960</v>
          </cell>
          <cell r="B186" t="str">
            <v>Centro de Educación Alternativa Don Bosco CCochabamba</v>
          </cell>
          <cell r="C186" t="str">
            <v>Cochabamba</v>
          </cell>
          <cell r="D186" t="str">
            <v>Cercado</v>
          </cell>
          <cell r="E186" t="str">
            <v>Cochabamba</v>
          </cell>
          <cell r="F186" t="str">
            <v>Cochabamba</v>
          </cell>
          <cell r="G186" t="str">
            <v>Centro de Educación Alternativa Don Bosco C</v>
          </cell>
          <cell r="H186" t="str">
            <v>Villa Ingavi</v>
          </cell>
          <cell r="I186" t="str">
            <v>Calle Francisco Pizarro esq. Calle Nueva Granada</v>
          </cell>
          <cell r="J186" t="str">
            <v>20</v>
          </cell>
          <cell r="K186" t="str">
            <v>Uninominal</v>
          </cell>
          <cell r="L186" t="str">
            <v>-17.391404</v>
          </cell>
          <cell r="M186" t="str">
            <v>-66.17398</v>
          </cell>
          <cell r="N186" t="str">
            <v>Urbano</v>
          </cell>
          <cell r="O186" t="str">
            <v>1960</v>
          </cell>
          <cell r="P186" t="str">
            <v>POINT (-66.17398 -17.391404)</v>
          </cell>
          <cell r="Q186">
            <v>1</v>
          </cell>
          <cell r="R186" t="str">
            <v>Sin Info</v>
          </cell>
        </row>
        <row r="187">
          <cell r="A187">
            <v>1961</v>
          </cell>
          <cell r="B187" t="str">
            <v>U.E. Mariscal Otto Felipe BraumCochabamba</v>
          </cell>
          <cell r="C187" t="str">
            <v>Cochabamba</v>
          </cell>
          <cell r="D187" t="str">
            <v>Cercado</v>
          </cell>
          <cell r="E187" t="str">
            <v>Cochabamba</v>
          </cell>
          <cell r="F187" t="str">
            <v>Cochabamba</v>
          </cell>
          <cell r="G187" t="str">
            <v>U.E. Mariscal Otto Felipe Braum</v>
          </cell>
          <cell r="H187" t="str">
            <v>B. Policial</v>
          </cell>
          <cell r="I187" t="str">
            <v>Calle Eucalipto y Av. Circunvalación</v>
          </cell>
          <cell r="J187" t="str">
            <v>20</v>
          </cell>
          <cell r="K187" t="str">
            <v>Uninominal</v>
          </cell>
          <cell r="L187" t="str">
            <v>-17.350123</v>
          </cell>
          <cell r="M187" t="str">
            <v>-66.186162</v>
          </cell>
          <cell r="N187" t="str">
            <v>Urbano</v>
          </cell>
          <cell r="O187" t="str">
            <v>1961</v>
          </cell>
          <cell r="P187" t="str">
            <v>POINT (-66.186162 -17.350123)</v>
          </cell>
          <cell r="Q187">
            <v>3</v>
          </cell>
          <cell r="R187" t="str">
            <v>Sin Info</v>
          </cell>
        </row>
        <row r="188">
          <cell r="A188">
            <v>1962</v>
          </cell>
          <cell r="B188" t="str">
            <v>kinder Branko Petricevic BCochabamba</v>
          </cell>
          <cell r="C188" t="str">
            <v>Cochabamba</v>
          </cell>
          <cell r="D188" t="str">
            <v>Cercado</v>
          </cell>
          <cell r="E188" t="str">
            <v>Cochabamba</v>
          </cell>
          <cell r="F188" t="str">
            <v>Cochabamba</v>
          </cell>
          <cell r="G188" t="str">
            <v>kinder Branko Petricevic B</v>
          </cell>
          <cell r="H188" t="str">
            <v>Urb. Carolina</v>
          </cell>
          <cell r="I188" t="str">
            <v>C. Yuracare entre Av. Thunupa y C. Chiriguano</v>
          </cell>
          <cell r="J188" t="str">
            <v>20</v>
          </cell>
          <cell r="K188" t="str">
            <v>Uninominal</v>
          </cell>
          <cell r="L188" t="str">
            <v>-17.373521</v>
          </cell>
          <cell r="M188" t="str">
            <v>-66.188421</v>
          </cell>
          <cell r="N188" t="str">
            <v>Urbano</v>
          </cell>
          <cell r="O188" t="str">
            <v>1962</v>
          </cell>
          <cell r="P188" t="str">
            <v>POINT (-66.188421 -17.373521)</v>
          </cell>
          <cell r="Q188">
            <v>3</v>
          </cell>
          <cell r="R188" t="str">
            <v>Sin Info</v>
          </cell>
        </row>
        <row r="189">
          <cell r="A189">
            <v>1963</v>
          </cell>
          <cell r="B189" t="str">
            <v>Colegio Evangelico EmanuelCochabamba</v>
          </cell>
          <cell r="C189" t="str">
            <v>Cochabamba</v>
          </cell>
          <cell r="D189" t="str">
            <v>Cercado</v>
          </cell>
          <cell r="E189" t="str">
            <v>Cochabamba</v>
          </cell>
          <cell r="F189" t="str">
            <v>Cochabamba</v>
          </cell>
          <cell r="G189" t="str">
            <v>Colegio Evangelico Emanuel</v>
          </cell>
          <cell r="H189" t="str">
            <v>Sebastian Barba de Padilla</v>
          </cell>
          <cell r="I189" t="str">
            <v>C. Baptista entre C. La Paz y C. J. de la Reza</v>
          </cell>
          <cell r="J189" t="str">
            <v>21</v>
          </cell>
          <cell r="K189" t="str">
            <v>Uninominal</v>
          </cell>
          <cell r="L189" t="str">
            <v>-17.386423</v>
          </cell>
          <cell r="M189" t="str">
            <v>-66.15876</v>
          </cell>
          <cell r="N189" t="str">
            <v>Urbano</v>
          </cell>
          <cell r="O189" t="str">
            <v>1963</v>
          </cell>
          <cell r="P189" t="str">
            <v>POINT (-66.15876 -17.386423)</v>
          </cell>
          <cell r="Q189">
            <v>1</v>
          </cell>
          <cell r="R189" t="str">
            <v>Sin Info</v>
          </cell>
        </row>
        <row r="190">
          <cell r="A190">
            <v>1964</v>
          </cell>
          <cell r="B190" t="str">
            <v>U. E. Ayni PachaCochabamba</v>
          </cell>
          <cell r="C190" t="str">
            <v>Cochabamba</v>
          </cell>
          <cell r="D190" t="str">
            <v>Cercado</v>
          </cell>
          <cell r="E190" t="str">
            <v>Cochabamba</v>
          </cell>
          <cell r="F190" t="str">
            <v>Cochabamba</v>
          </cell>
          <cell r="G190" t="str">
            <v>U. E. Ayni Pacha</v>
          </cell>
          <cell r="H190" t="str">
            <v>Alalay Alto Mirador</v>
          </cell>
          <cell r="I190" t="str">
            <v>C. Santa Elena entre Av. Pisiga y C. Innominada – OTB Alalay Alto Mirador</v>
          </cell>
          <cell r="J190" t="str">
            <v>21</v>
          </cell>
          <cell r="K190" t="str">
            <v>Uninominal</v>
          </cell>
          <cell r="L190" t="str">
            <v>-17.454544</v>
          </cell>
          <cell r="M190" t="str">
            <v>-66.1106</v>
          </cell>
          <cell r="N190" t="str">
            <v>Urbano</v>
          </cell>
          <cell r="O190" t="str">
            <v>1964</v>
          </cell>
          <cell r="P190" t="str">
            <v>POINT (-66.1106 -17.454544)</v>
          </cell>
          <cell r="Q190">
            <v>3</v>
          </cell>
          <cell r="R190" t="str">
            <v>Sin Info</v>
          </cell>
        </row>
        <row r="191">
          <cell r="A191">
            <v>1965</v>
          </cell>
          <cell r="B191" t="str">
            <v>Universidad LatinoamericanaCochabamba</v>
          </cell>
          <cell r="C191" t="str">
            <v>Cochabamba</v>
          </cell>
          <cell r="D191" t="str">
            <v>Cercado</v>
          </cell>
          <cell r="E191" t="str">
            <v>Cochabamba</v>
          </cell>
          <cell r="F191" t="str">
            <v>Cochabamba</v>
          </cell>
          <cell r="G191" t="str">
            <v>Universidad Latinoamericana</v>
          </cell>
          <cell r="H191" t="str">
            <v>Alejo Calatayud</v>
          </cell>
          <cell r="I191" t="str">
            <v>C. Uruguay entre C. 16 de Julio y Av. Oquendo</v>
          </cell>
          <cell r="J191" t="str">
            <v>21</v>
          </cell>
          <cell r="K191" t="str">
            <v>Uninominal</v>
          </cell>
          <cell r="L191" t="str">
            <v>-17.397733</v>
          </cell>
          <cell r="M191" t="str">
            <v>-66.14945</v>
          </cell>
          <cell r="N191" t="str">
            <v>Urbano</v>
          </cell>
          <cell r="O191" t="str">
            <v>1965</v>
          </cell>
          <cell r="P191" t="str">
            <v>POINT (-66.14945 -17.397733)</v>
          </cell>
          <cell r="Q191">
            <v>1</v>
          </cell>
          <cell r="R191" t="str">
            <v>Sin Info</v>
          </cell>
        </row>
        <row r="192">
          <cell r="A192">
            <v>1966</v>
          </cell>
          <cell r="B192" t="str">
            <v>Kinder San JoaquínCochabamba</v>
          </cell>
          <cell r="C192" t="str">
            <v>Cochabamba</v>
          </cell>
          <cell r="D192" t="str">
            <v>Cercado</v>
          </cell>
          <cell r="E192" t="str">
            <v>Cochabamba</v>
          </cell>
          <cell r="F192" t="str">
            <v>Cochabamba</v>
          </cell>
          <cell r="G192" t="str">
            <v>Kinder San Joaquín</v>
          </cell>
          <cell r="H192" t="str">
            <v>Jaihuayco</v>
          </cell>
          <cell r="I192" t="str">
            <v>C. Viloma entre C. Colomi y Av. De la Fuerza Aerea</v>
          </cell>
          <cell r="J192" t="str">
            <v>21</v>
          </cell>
          <cell r="K192" t="str">
            <v>Uninominal</v>
          </cell>
          <cell r="L192" t="str">
            <v>-17.415105</v>
          </cell>
          <cell r="M192" t="str">
            <v>-66.16573</v>
          </cell>
          <cell r="N192" t="str">
            <v>Urbano</v>
          </cell>
          <cell r="O192" t="str">
            <v>1966</v>
          </cell>
          <cell r="P192" t="str">
            <v>POINT (-66.16573 -17.415105)</v>
          </cell>
          <cell r="Q192">
            <v>1</v>
          </cell>
          <cell r="R192" t="str">
            <v>Sin Info</v>
          </cell>
        </row>
        <row r="193">
          <cell r="A193">
            <v>1967</v>
          </cell>
          <cell r="B193" t="str">
            <v>U. E. Guillermo UrquidiCochabamba</v>
          </cell>
          <cell r="C193" t="str">
            <v>Cochabamba</v>
          </cell>
          <cell r="D193" t="str">
            <v>Cercado</v>
          </cell>
          <cell r="E193" t="str">
            <v>Cochabamba</v>
          </cell>
          <cell r="F193" t="str">
            <v>Cochabamba</v>
          </cell>
          <cell r="G193" t="str">
            <v>U. E. Guillermo Urquidi</v>
          </cell>
          <cell r="H193" t="str">
            <v>Riosinho</v>
          </cell>
          <cell r="I193" t="str">
            <v>Av. Humboldt entre Av. Victor Ustariz y Av. Blanco Galindo</v>
          </cell>
          <cell r="J193" t="str">
            <v>20</v>
          </cell>
          <cell r="K193" t="str">
            <v>Uninominal</v>
          </cell>
          <cell r="L193" t="str">
            <v>-17.395665</v>
          </cell>
          <cell r="M193" t="str">
            <v>-66.16828</v>
          </cell>
          <cell r="N193" t="str">
            <v>Urbano</v>
          </cell>
          <cell r="O193" t="str">
            <v>1967</v>
          </cell>
          <cell r="P193" t="str">
            <v>POINT (-66.16828 -17.395665)</v>
          </cell>
          <cell r="Q193">
            <v>1</v>
          </cell>
          <cell r="R193" t="str">
            <v>Sin Info</v>
          </cell>
        </row>
        <row r="194">
          <cell r="A194">
            <v>1968</v>
          </cell>
          <cell r="B194" t="str">
            <v>U.E. Mariano Ricardo TerrazasCochabamba</v>
          </cell>
          <cell r="C194" t="str">
            <v>Cochabamba</v>
          </cell>
          <cell r="D194" t="str">
            <v>Cercado</v>
          </cell>
          <cell r="E194" t="str">
            <v>Cochabamba</v>
          </cell>
          <cell r="F194" t="str">
            <v>Cochabamba</v>
          </cell>
          <cell r="G194" t="str">
            <v>U.E. Mariano Ricardo Terrazas</v>
          </cell>
          <cell r="H194" t="str">
            <v>Sebastian Barba de Padilla</v>
          </cell>
          <cell r="I194" t="str">
            <v>Zona Norte del Distrito 10, Calle La Paz esq. Baptista</v>
          </cell>
          <cell r="J194" t="str">
            <v>21</v>
          </cell>
          <cell r="K194" t="str">
            <v>Uninominal</v>
          </cell>
          <cell r="L194" t="str">
            <v>-17.386049</v>
          </cell>
          <cell r="M194" t="str">
            <v>-66.159156</v>
          </cell>
          <cell r="N194" t="str">
            <v>Urbano</v>
          </cell>
          <cell r="O194" t="str">
            <v>1968</v>
          </cell>
          <cell r="P194" t="str">
            <v>POINT (-66.159156 -17.386049)</v>
          </cell>
          <cell r="Q194">
            <v>1</v>
          </cell>
          <cell r="R194" t="str">
            <v>Sin Info</v>
          </cell>
        </row>
        <row r="195">
          <cell r="A195">
            <v>1969</v>
          </cell>
          <cell r="B195" t="str">
            <v>U.E. Alejo CalatayudCochabamba</v>
          </cell>
          <cell r="C195" t="str">
            <v>Cochabamba</v>
          </cell>
          <cell r="D195" t="str">
            <v>Cercado</v>
          </cell>
          <cell r="E195" t="str">
            <v>Cochabamba</v>
          </cell>
          <cell r="F195" t="str">
            <v>Cochabamba</v>
          </cell>
          <cell r="G195" t="str">
            <v>U.E. Alejo Calatayud</v>
          </cell>
          <cell r="H195" t="str">
            <v>Taquiña Norte</v>
          </cell>
          <cell r="I195" t="str">
            <v>Ubicado en la zona Taquiña, OTB. Taquiña Norte, final Av. Centenario frente a la parada de trufis línea N° 40 casi fábrica de cerveza Taquiña.</v>
          </cell>
          <cell r="J195" t="str">
            <v>20</v>
          </cell>
          <cell r="K195" t="str">
            <v>Uninominal</v>
          </cell>
          <cell r="L195" t="str">
            <v>-17.330295</v>
          </cell>
          <cell r="M195" t="str">
            <v>-66.185128</v>
          </cell>
          <cell r="N195" t="str">
            <v>Urbano</v>
          </cell>
          <cell r="O195" t="str">
            <v>1969</v>
          </cell>
          <cell r="P195" t="str">
            <v>POINT (-66.185128 -17.330295)</v>
          </cell>
          <cell r="Q195">
            <v>0</v>
          </cell>
          <cell r="R195" t="str">
            <v>Sin Info</v>
          </cell>
        </row>
        <row r="196">
          <cell r="A196">
            <v>1970</v>
          </cell>
          <cell r="B196" t="str">
            <v>U.E. Octavio Campero EchazuCochabamba</v>
          </cell>
          <cell r="C196" t="str">
            <v>Cochabamba</v>
          </cell>
          <cell r="D196" t="str">
            <v>Cercado</v>
          </cell>
          <cell r="E196" t="str">
            <v>Cochabamba</v>
          </cell>
          <cell r="F196" t="str">
            <v>Cochabamba</v>
          </cell>
          <cell r="G196" t="str">
            <v>U.E. Octavio Campero Echazu</v>
          </cell>
          <cell r="H196" t="str">
            <v>Sind. Agr. Caico</v>
          </cell>
          <cell r="I196" t="str">
            <v>Ubicado en la OTB Azirumarca, zona Sud Oeste del municipio de Cochabamba.</v>
          </cell>
          <cell r="J196" t="str">
            <v>22</v>
          </cell>
          <cell r="K196" t="str">
            <v>Uninominal</v>
          </cell>
          <cell r="L196" t="str">
            <v>-17.458793</v>
          </cell>
          <cell r="M196" t="str">
            <v>-66.2242</v>
          </cell>
          <cell r="N196" t="str">
            <v>Urbano</v>
          </cell>
          <cell r="O196" t="str">
            <v>1970</v>
          </cell>
          <cell r="P196" t="str">
            <v>POINT (-66.2242 -17.458793)</v>
          </cell>
          <cell r="Q196">
            <v>0</v>
          </cell>
          <cell r="R196" t="str">
            <v>Sin Info</v>
          </cell>
        </row>
        <row r="197">
          <cell r="A197">
            <v>1971</v>
          </cell>
          <cell r="B197" t="str">
            <v>U.E. La FronteraCochabamba</v>
          </cell>
          <cell r="C197" t="str">
            <v>Cochabamba</v>
          </cell>
          <cell r="D197" t="str">
            <v>Cercado</v>
          </cell>
          <cell r="E197" t="str">
            <v>Cochabamba</v>
          </cell>
          <cell r="F197" t="str">
            <v>Cochabamba</v>
          </cell>
          <cell r="G197" t="str">
            <v>U.E. La Frontera</v>
          </cell>
          <cell r="H197" t="str">
            <v>La Frontera</v>
          </cell>
          <cell r="I197" t="str">
            <v>Pucara Grande zona Oeste Distrito N° 9 Sub Distrito 36, zona sud, de Villa Israel al sud “Junta vecinal la Frontera”</v>
          </cell>
          <cell r="J197" t="str">
            <v>22</v>
          </cell>
          <cell r="K197" t="str">
            <v>Uninominal</v>
          </cell>
          <cell r="L197" t="str">
            <v>-17.501583</v>
          </cell>
          <cell r="M197" t="str">
            <v>-66.179038</v>
          </cell>
          <cell r="N197" t="str">
            <v>Urbano</v>
          </cell>
          <cell r="O197" t="str">
            <v>1971</v>
          </cell>
          <cell r="P197" t="str">
            <v>POINT (-66.179038 -17.501583)</v>
          </cell>
          <cell r="Q197">
            <v>0</v>
          </cell>
          <cell r="R197" t="str">
            <v>Sin Info</v>
          </cell>
        </row>
        <row r="198">
          <cell r="A198">
            <v>1972</v>
          </cell>
          <cell r="B198" t="str">
            <v>U.E. Alto FloridaCochabamba</v>
          </cell>
          <cell r="C198" t="str">
            <v>Cochabamba</v>
          </cell>
          <cell r="D198" t="str">
            <v>Cercado</v>
          </cell>
          <cell r="E198" t="str">
            <v>Cochabamba</v>
          </cell>
          <cell r="F198" t="str">
            <v>Cochabamba</v>
          </cell>
          <cell r="G198" t="str">
            <v>U.E. Alto Florida</v>
          </cell>
          <cell r="H198" t="str">
            <v>Villa Alto Florida</v>
          </cell>
          <cell r="I198" t="str">
            <v>O.T.B.  Villa Alto Florida, zona Sud</v>
          </cell>
          <cell r="J198" t="str">
            <v>22</v>
          </cell>
          <cell r="K198" t="str">
            <v>Uninominal</v>
          </cell>
          <cell r="L198" t="str">
            <v>-17.490281</v>
          </cell>
          <cell r="M198" t="str">
            <v>-66.190805</v>
          </cell>
          <cell r="N198" t="str">
            <v>Urbano</v>
          </cell>
          <cell r="O198" t="str">
            <v>1972</v>
          </cell>
          <cell r="P198" t="str">
            <v>POINT (-66.190805 -17.490281)</v>
          </cell>
          <cell r="Q198">
            <v>0</v>
          </cell>
          <cell r="R198" t="str">
            <v>Sin Info</v>
          </cell>
        </row>
        <row r="199">
          <cell r="A199">
            <v>1973</v>
          </cell>
          <cell r="B199" t="str">
            <v>Sede Social Barrio ColquiriCochabamba</v>
          </cell>
          <cell r="C199" t="str">
            <v>Cochabamba</v>
          </cell>
          <cell r="D199" t="str">
            <v>Cercado</v>
          </cell>
          <cell r="E199" t="str">
            <v>Cochabamba</v>
          </cell>
          <cell r="F199" t="str">
            <v>Cochabamba</v>
          </cell>
          <cell r="G199" t="str">
            <v>Sede Social Barrio Colquiri</v>
          </cell>
          <cell r="H199" t="str">
            <v>Barrio Colquiri</v>
          </cell>
          <cell r="I199" t="str">
            <v>Barrio Colquiri Norte, Av. Sinchi Roq’a entre Calle Inka Roq’a y Calle Yawar Wacajj</v>
          </cell>
          <cell r="J199" t="str">
            <v>20</v>
          </cell>
          <cell r="K199" t="str">
            <v>Uninominal</v>
          </cell>
          <cell r="L199" t="str">
            <v>-17.356715</v>
          </cell>
          <cell r="M199" t="str">
            <v>-66.181809</v>
          </cell>
          <cell r="N199" t="str">
            <v>Urbano</v>
          </cell>
          <cell r="O199" t="str">
            <v>1973</v>
          </cell>
          <cell r="P199" t="str">
            <v>POINT (-66.181809 -17.356715)</v>
          </cell>
          <cell r="Q199">
            <v>0</v>
          </cell>
          <cell r="R199" t="str">
            <v>Sin Info</v>
          </cell>
        </row>
        <row r="200">
          <cell r="A200">
            <v>1974</v>
          </cell>
          <cell r="B200" t="str">
            <v>U.E. Pedro PovedaCochabamba</v>
          </cell>
          <cell r="C200" t="str">
            <v>Cochabamba</v>
          </cell>
          <cell r="D200" t="str">
            <v>Cercado</v>
          </cell>
          <cell r="E200" t="str">
            <v>Cochabamba</v>
          </cell>
          <cell r="F200" t="str">
            <v>Cochabamba</v>
          </cell>
          <cell r="G200" t="str">
            <v>U.E. Pedro Poveda</v>
          </cell>
          <cell r="H200" t="str">
            <v>Bajo Aranjuez</v>
          </cell>
          <cell r="I200" t="str">
            <v>Zona Tupuraya Av. América -Plaza Tarija acera Sudoeste N° 1287</v>
          </cell>
          <cell r="J200" t="str">
            <v>20</v>
          </cell>
          <cell r="K200" t="str">
            <v>Uninominal</v>
          </cell>
          <cell r="L200" t="str">
            <v>-17.374023</v>
          </cell>
          <cell r="M200" t="str">
            <v>-66.14343</v>
          </cell>
          <cell r="N200" t="str">
            <v>Urbano</v>
          </cell>
          <cell r="O200" t="str">
            <v>1974</v>
          </cell>
          <cell r="P200" t="str">
            <v>POINT (-66.14343 -17.374023)</v>
          </cell>
          <cell r="Q200">
            <v>0</v>
          </cell>
          <cell r="R200" t="str">
            <v>Sin Info</v>
          </cell>
        </row>
        <row r="201">
          <cell r="A201">
            <v>1975</v>
          </cell>
          <cell r="B201" t="str">
            <v>U.E. José Carlos CarrilloCochabamba</v>
          </cell>
          <cell r="C201" t="str">
            <v>Cochabamba</v>
          </cell>
          <cell r="D201" t="str">
            <v>Cercado</v>
          </cell>
          <cell r="E201" t="str">
            <v>Cochabamba</v>
          </cell>
          <cell r="F201" t="str">
            <v>Tirani</v>
          </cell>
          <cell r="G201" t="str">
            <v>U.E. José Carlos Carrillo</v>
          </cell>
          <cell r="H201" t="str">
            <v>Sindicato Agrario Tirani</v>
          </cell>
          <cell r="I201" t="str">
            <v>Comunidad Tirani - Final Av. Atahuallpa segunda circunvalación</v>
          </cell>
          <cell r="J201" t="str">
            <v>20</v>
          </cell>
          <cell r="K201" t="str">
            <v>Uninominal</v>
          </cell>
          <cell r="L201" t="str">
            <v>-17.344445</v>
          </cell>
          <cell r="M201" t="str">
            <v>-66.157</v>
          </cell>
          <cell r="N201" t="str">
            <v>Urbano</v>
          </cell>
          <cell r="O201" t="str">
            <v>1975</v>
          </cell>
          <cell r="P201" t="str">
            <v>POINT (-66.157 -17.344445)</v>
          </cell>
          <cell r="Q201">
            <v>8</v>
          </cell>
          <cell r="R201">
            <v>0.70559542208806891</v>
          </cell>
        </row>
        <row r="202">
          <cell r="A202">
            <v>1976</v>
          </cell>
          <cell r="B202" t="str">
            <v>Escuela Simon RodriguezAiquile</v>
          </cell>
          <cell r="C202" t="str">
            <v>Cochabamba</v>
          </cell>
          <cell r="D202" t="str">
            <v>Campero</v>
          </cell>
          <cell r="E202" t="str">
            <v>Aiquile</v>
          </cell>
          <cell r="F202" t="str">
            <v>Aiquile</v>
          </cell>
          <cell r="G202" t="str">
            <v>Escuela Simon Rodriguez</v>
          </cell>
          <cell r="H202" t="str">
            <v>Zona 4367</v>
          </cell>
          <cell r="I202" t="str">
            <v>Aiquile</v>
          </cell>
          <cell r="J202" t="str">
            <v>25</v>
          </cell>
          <cell r="K202" t="str">
            <v>Uninominal</v>
          </cell>
          <cell r="L202" t="str">
            <v>-18.2007</v>
          </cell>
          <cell r="M202" t="str">
            <v>-65.1838</v>
          </cell>
          <cell r="N202" t="str">
            <v>Urbano</v>
          </cell>
          <cell r="O202" t="str">
            <v>1976</v>
          </cell>
          <cell r="P202" t="str">
            <v>POINT (-65.1838 -18.2007)</v>
          </cell>
          <cell r="Q202">
            <v>12</v>
          </cell>
          <cell r="R202">
            <v>0.7075600227564961</v>
          </cell>
        </row>
        <row r="203">
          <cell r="A203">
            <v>1977</v>
          </cell>
          <cell r="B203" t="str">
            <v>Escuela Manuel De UgarteAiquile</v>
          </cell>
          <cell r="C203" t="str">
            <v>Cochabamba</v>
          </cell>
          <cell r="D203" t="str">
            <v>Campero</v>
          </cell>
          <cell r="E203" t="str">
            <v>Aiquile</v>
          </cell>
          <cell r="F203" t="str">
            <v>Aiquile</v>
          </cell>
          <cell r="G203" t="str">
            <v>Escuela Manuel De Ugarte</v>
          </cell>
          <cell r="H203" t="str">
            <v>Zona 4367</v>
          </cell>
          <cell r="I203" t="str">
            <v>Aiquile</v>
          </cell>
          <cell r="J203" t="str">
            <v>25</v>
          </cell>
          <cell r="K203" t="str">
            <v>Uninominal</v>
          </cell>
          <cell r="L203" t="str">
            <v>-18.2004</v>
          </cell>
          <cell r="M203" t="str">
            <v>-65.1826</v>
          </cell>
          <cell r="N203" t="str">
            <v>Urbano</v>
          </cell>
          <cell r="O203" t="str">
            <v>1977</v>
          </cell>
          <cell r="P203" t="str">
            <v>POINT (-65.1826 -18.2004)</v>
          </cell>
          <cell r="Q203">
            <v>12</v>
          </cell>
          <cell r="R203">
            <v>0.71070095913391207</v>
          </cell>
        </row>
        <row r="204">
          <cell r="A204">
            <v>1978</v>
          </cell>
          <cell r="B204" t="str">
            <v>Escuela 20 de DiciembreAiquile</v>
          </cell>
          <cell r="C204" t="str">
            <v>Cochabamba</v>
          </cell>
          <cell r="D204" t="str">
            <v>Campero</v>
          </cell>
          <cell r="E204" t="str">
            <v>Aiquile</v>
          </cell>
          <cell r="F204" t="str">
            <v>Aiquile</v>
          </cell>
          <cell r="G204" t="str">
            <v>Escuela 20 de Diciembre</v>
          </cell>
          <cell r="H204" t="str">
            <v>Zona 4367</v>
          </cell>
          <cell r="I204" t="str">
            <v>Aiquile</v>
          </cell>
          <cell r="J204" t="str">
            <v>25</v>
          </cell>
          <cell r="K204" t="str">
            <v>Uninominal</v>
          </cell>
          <cell r="L204" t="str">
            <v>-18.2033</v>
          </cell>
          <cell r="M204" t="str">
            <v>-65.179</v>
          </cell>
          <cell r="N204" t="str">
            <v>Rural</v>
          </cell>
          <cell r="O204" t="str">
            <v>1978</v>
          </cell>
          <cell r="P204" t="str">
            <v>POINT (-65.179 -18.2033)</v>
          </cell>
          <cell r="Q204">
            <v>11</v>
          </cell>
          <cell r="R204">
            <v>0.64633924024251244</v>
          </cell>
        </row>
        <row r="205">
          <cell r="A205">
            <v>1979</v>
          </cell>
          <cell r="B205" t="str">
            <v>U.E. San Adalberto Fe y AlegríaAiquile</v>
          </cell>
          <cell r="C205" t="str">
            <v>Cochabamba</v>
          </cell>
          <cell r="D205" t="str">
            <v>Campero</v>
          </cell>
          <cell r="E205" t="str">
            <v>Aiquile</v>
          </cell>
          <cell r="F205" t="str">
            <v>Aiquile</v>
          </cell>
          <cell r="G205" t="str">
            <v>U.E. San Adalberto Fe y Alegría</v>
          </cell>
          <cell r="H205" t="str">
            <v>Zona 4367</v>
          </cell>
          <cell r="I205" t="str">
            <v>Zona Cementerio Calle Sucre Final</v>
          </cell>
          <cell r="J205" t="str">
            <v>25</v>
          </cell>
          <cell r="K205" t="str">
            <v>Uninominal</v>
          </cell>
          <cell r="L205" t="str">
            <v>-18.204917</v>
          </cell>
          <cell r="M205" t="str">
            <v>-65.180212</v>
          </cell>
          <cell r="N205" t="str">
            <v>Rural</v>
          </cell>
          <cell r="O205" t="str">
            <v>1979</v>
          </cell>
          <cell r="P205" t="str">
            <v>POINT (-65.180212 -18.204917)</v>
          </cell>
          <cell r="Q205">
            <v>1</v>
          </cell>
          <cell r="R205" t="str">
            <v>Sin Info</v>
          </cell>
        </row>
        <row r="206">
          <cell r="A206">
            <v>1980</v>
          </cell>
          <cell r="B206" t="str">
            <v>U.E. Simón BolivarAiquile</v>
          </cell>
          <cell r="C206" t="str">
            <v>Cochabamba</v>
          </cell>
          <cell r="D206" t="str">
            <v>Campero</v>
          </cell>
          <cell r="E206" t="str">
            <v>Aiquile</v>
          </cell>
          <cell r="F206" t="str">
            <v>Aiquile</v>
          </cell>
          <cell r="G206" t="str">
            <v>U.E. Simón Bolivar</v>
          </cell>
          <cell r="H206" t="str">
            <v>Zona 4367</v>
          </cell>
          <cell r="I206" t="str">
            <v>Calle Sucre a lado del Cementerio General</v>
          </cell>
          <cell r="J206" t="str">
            <v>25</v>
          </cell>
          <cell r="K206" t="str">
            <v>Uninominal</v>
          </cell>
          <cell r="L206" t="str">
            <v>-18.20271</v>
          </cell>
          <cell r="M206" t="str">
            <v>-65.176451</v>
          </cell>
          <cell r="N206" t="str">
            <v>Rural</v>
          </cell>
          <cell r="O206" t="str">
            <v>1980</v>
          </cell>
          <cell r="P206" t="str">
            <v>POINT (-65.176451 -18.20271)</v>
          </cell>
          <cell r="Q206">
            <v>1</v>
          </cell>
          <cell r="R206" t="str">
            <v>Sin Info</v>
          </cell>
        </row>
        <row r="207">
          <cell r="A207">
            <v>1981</v>
          </cell>
          <cell r="B207" t="str">
            <v>U.E. Jose Nabor Quintana NaviaAiquile</v>
          </cell>
          <cell r="C207" t="str">
            <v>Cochabamba</v>
          </cell>
          <cell r="D207" t="str">
            <v>Campero</v>
          </cell>
          <cell r="E207" t="str">
            <v>Aiquile</v>
          </cell>
          <cell r="F207" t="str">
            <v>Aiquile</v>
          </cell>
          <cell r="G207" t="str">
            <v>U.E. Jose Nabor Quintana Navia</v>
          </cell>
          <cell r="H207" t="str">
            <v>Zona 4367</v>
          </cell>
          <cell r="I207" t="str">
            <v>Calle Cochabamba frente a la capilla Virgen de Guadalupe</v>
          </cell>
          <cell r="J207" t="str">
            <v>25</v>
          </cell>
          <cell r="K207" t="str">
            <v>Uninominal</v>
          </cell>
          <cell r="L207" t="str">
            <v>-18.214297</v>
          </cell>
          <cell r="M207" t="str">
            <v>-65.18704</v>
          </cell>
          <cell r="N207" t="str">
            <v>Rural</v>
          </cell>
          <cell r="O207" t="str">
            <v>1981</v>
          </cell>
          <cell r="P207" t="str">
            <v>POINT (-65.18704 -18.214297)</v>
          </cell>
          <cell r="Q207">
            <v>2</v>
          </cell>
          <cell r="R207" t="str">
            <v>Sin Info</v>
          </cell>
        </row>
        <row r="208">
          <cell r="A208">
            <v>1982</v>
          </cell>
          <cell r="B208" t="str">
            <v>Nucleo Escolar El CercadoAiquile</v>
          </cell>
          <cell r="C208" t="str">
            <v>Cochabamba</v>
          </cell>
          <cell r="D208" t="str">
            <v>Campero</v>
          </cell>
          <cell r="E208" t="str">
            <v>Aiquile</v>
          </cell>
          <cell r="F208" t="str">
            <v>El Cercado</v>
          </cell>
          <cell r="G208" t="str">
            <v>Nucleo Escolar El Cercado</v>
          </cell>
          <cell r="H208" t="str">
            <v>Zona 4369</v>
          </cell>
          <cell r="I208" t="str">
            <v>El Cercado</v>
          </cell>
          <cell r="J208" t="str">
            <v>25</v>
          </cell>
          <cell r="K208" t="str">
            <v>Uninominal</v>
          </cell>
          <cell r="L208" t="str">
            <v>-18.1024</v>
          </cell>
          <cell r="M208" t="str">
            <v>-65.1779</v>
          </cell>
          <cell r="N208" t="str">
            <v>Rural</v>
          </cell>
          <cell r="O208" t="str">
            <v>1982</v>
          </cell>
          <cell r="P208" t="str">
            <v>POINT (-65.1779 -18.1024)</v>
          </cell>
          <cell r="Q208">
            <v>2</v>
          </cell>
          <cell r="R208">
            <v>0.90688131313131315</v>
          </cell>
        </row>
        <row r="209">
          <cell r="A209">
            <v>1983</v>
          </cell>
          <cell r="B209" t="str">
            <v>Nucleo Educativo TipajaraAiquile</v>
          </cell>
          <cell r="C209" t="str">
            <v>Cochabamba</v>
          </cell>
          <cell r="D209" t="str">
            <v>Campero</v>
          </cell>
          <cell r="E209" t="str">
            <v>Aiquile</v>
          </cell>
          <cell r="F209" t="str">
            <v>Tipajara</v>
          </cell>
          <cell r="G209" t="str">
            <v>Nucleo Educativo Tipajara</v>
          </cell>
          <cell r="H209" t="str">
            <v>Zona 4369</v>
          </cell>
          <cell r="I209" t="str">
            <v>Tipajara</v>
          </cell>
          <cell r="J209" t="str">
            <v>25</v>
          </cell>
          <cell r="K209" t="str">
            <v>Uninominal</v>
          </cell>
          <cell r="L209" t="str">
            <v>-18.1344</v>
          </cell>
          <cell r="M209" t="str">
            <v>-65.2803</v>
          </cell>
          <cell r="N209" t="str">
            <v>Rural</v>
          </cell>
          <cell r="O209" t="str">
            <v>1983</v>
          </cell>
          <cell r="P209" t="str">
            <v>POINT (-65.2803 -18.1344)</v>
          </cell>
          <cell r="Q209">
            <v>2</v>
          </cell>
          <cell r="R209">
            <v>0.94460526315789473</v>
          </cell>
        </row>
        <row r="210">
          <cell r="A210">
            <v>1984</v>
          </cell>
          <cell r="B210" t="str">
            <v>Unidad Educativa NovilleroAiquile</v>
          </cell>
          <cell r="C210" t="str">
            <v>Cochabamba</v>
          </cell>
          <cell r="D210" t="str">
            <v>Campero</v>
          </cell>
          <cell r="E210" t="str">
            <v>Aiquile</v>
          </cell>
          <cell r="F210" t="str">
            <v>Novillero</v>
          </cell>
          <cell r="G210" t="str">
            <v>Unidad Educativa Novillero</v>
          </cell>
          <cell r="H210" t="str">
            <v>Zona 4369</v>
          </cell>
          <cell r="I210" t="str">
            <v>Novillero</v>
          </cell>
          <cell r="J210" t="str">
            <v>25</v>
          </cell>
          <cell r="K210" t="str">
            <v>Uninominal</v>
          </cell>
          <cell r="L210" t="str">
            <v>-18.3009</v>
          </cell>
          <cell r="M210" t="str">
            <v>-65.2346</v>
          </cell>
          <cell r="N210" t="str">
            <v>Rural</v>
          </cell>
          <cell r="O210" t="str">
            <v>1984</v>
          </cell>
          <cell r="P210" t="str">
            <v>POINT (-65.2346 -18.3009)</v>
          </cell>
          <cell r="Q210">
            <v>2</v>
          </cell>
          <cell r="R210">
            <v>0.88144891122278057</v>
          </cell>
        </row>
        <row r="211">
          <cell r="A211">
            <v>1985</v>
          </cell>
          <cell r="B211" t="str">
            <v>Nucleo Escolar Villa GranadoAiquile</v>
          </cell>
          <cell r="C211" t="str">
            <v>Cochabamba</v>
          </cell>
          <cell r="D211" t="str">
            <v>Campero</v>
          </cell>
          <cell r="E211" t="str">
            <v>Aiquile</v>
          </cell>
          <cell r="F211" t="str">
            <v>Villa Granado</v>
          </cell>
          <cell r="G211" t="str">
            <v>Nucleo Escolar Villa Granado</v>
          </cell>
          <cell r="H211" t="str">
            <v>Zona 4368</v>
          </cell>
          <cell r="I211" t="str">
            <v>Villa Granado</v>
          </cell>
          <cell r="J211" t="str">
            <v>25</v>
          </cell>
          <cell r="K211" t="str">
            <v>Uninominal</v>
          </cell>
          <cell r="L211" t="str">
            <v>-18.2092</v>
          </cell>
          <cell r="M211" t="str">
            <v>-65.0377</v>
          </cell>
          <cell r="N211" t="str">
            <v>Rural</v>
          </cell>
          <cell r="O211" t="str">
            <v>1985</v>
          </cell>
          <cell r="P211" t="str">
            <v>POINT (-65.0377 -18.2092)</v>
          </cell>
          <cell r="Q211">
            <v>4</v>
          </cell>
          <cell r="R211">
            <v>0.90751424855541507</v>
          </cell>
        </row>
        <row r="212">
          <cell r="A212">
            <v>1986</v>
          </cell>
          <cell r="B212" t="str">
            <v>Unidad Educativa EstanzuelaAiquile</v>
          </cell>
          <cell r="C212" t="str">
            <v>Cochabamba</v>
          </cell>
          <cell r="D212" t="str">
            <v>Campero</v>
          </cell>
          <cell r="E212" t="str">
            <v>Aiquile</v>
          </cell>
          <cell r="F212" t="str">
            <v>Estanzuela</v>
          </cell>
          <cell r="G212" t="str">
            <v>Unidad Educativa Estanzuela</v>
          </cell>
          <cell r="H212" t="str">
            <v>Zona 4368</v>
          </cell>
          <cell r="I212" t="str">
            <v>Estanzuela</v>
          </cell>
          <cell r="J212" t="str">
            <v>25</v>
          </cell>
          <cell r="K212" t="str">
            <v>Uninominal</v>
          </cell>
          <cell r="L212" t="str">
            <v>-18.3307</v>
          </cell>
          <cell r="M212" t="str">
            <v>-64.8749</v>
          </cell>
          <cell r="N212" t="str">
            <v>Rural</v>
          </cell>
          <cell r="O212" t="str">
            <v>1986</v>
          </cell>
          <cell r="P212" t="str">
            <v>POINT (-64.8749 -18.3307)</v>
          </cell>
          <cell r="Q212">
            <v>1</v>
          </cell>
          <cell r="R212">
            <v>0.93103448275862066</v>
          </cell>
        </row>
        <row r="213">
          <cell r="A213">
            <v>1987</v>
          </cell>
          <cell r="B213" t="str">
            <v>Unidad Educativa QuirogaAiquile</v>
          </cell>
          <cell r="C213" t="str">
            <v>Cochabamba</v>
          </cell>
          <cell r="D213" t="str">
            <v>Campero</v>
          </cell>
          <cell r="E213" t="str">
            <v>Aiquile</v>
          </cell>
          <cell r="F213" t="str">
            <v>Quiroga</v>
          </cell>
          <cell r="G213" t="str">
            <v>Unidad Educativa Quiroga</v>
          </cell>
          <cell r="H213" t="str">
            <v>Zona 4366</v>
          </cell>
          <cell r="I213" t="str">
            <v>Quiroga</v>
          </cell>
          <cell r="J213" t="str">
            <v>25</v>
          </cell>
          <cell r="K213" t="str">
            <v>Uninominal</v>
          </cell>
          <cell r="L213" t="str">
            <v>-18.4253</v>
          </cell>
          <cell r="M213" t="str">
            <v>-65.2155</v>
          </cell>
          <cell r="N213" t="str">
            <v>Rural</v>
          </cell>
          <cell r="O213" t="str">
            <v>1987</v>
          </cell>
          <cell r="P213" t="str">
            <v>POINT (-65.2155 -18.4253)</v>
          </cell>
          <cell r="Q213">
            <v>4</v>
          </cell>
          <cell r="R213">
            <v>0.88675713373090859</v>
          </cell>
        </row>
        <row r="214">
          <cell r="A214">
            <v>1988</v>
          </cell>
          <cell r="B214" t="str">
            <v>Unidad Educativa LagarpampaAiquile</v>
          </cell>
          <cell r="C214" t="str">
            <v>Cochabamba</v>
          </cell>
          <cell r="D214" t="str">
            <v>Campero</v>
          </cell>
          <cell r="E214" t="str">
            <v>Aiquile</v>
          </cell>
          <cell r="F214" t="str">
            <v>Lagarpampa</v>
          </cell>
          <cell r="G214" t="str">
            <v>Unidad Educativa Lagarpampa</v>
          </cell>
          <cell r="H214" t="str">
            <v>Zona 4368</v>
          </cell>
          <cell r="I214" t="str">
            <v>Lagarpampa</v>
          </cell>
          <cell r="J214" t="str">
            <v>25</v>
          </cell>
          <cell r="K214" t="str">
            <v>Uninominal</v>
          </cell>
          <cell r="L214" t="str">
            <v>-18.4521</v>
          </cell>
          <cell r="M214" t="str">
            <v>-64.9896</v>
          </cell>
          <cell r="N214" t="str">
            <v>Rural</v>
          </cell>
          <cell r="O214" t="str">
            <v>1988</v>
          </cell>
          <cell r="P214" t="str">
            <v>POINT (-64.9896 -18.4521)</v>
          </cell>
          <cell r="Q214">
            <v>1</v>
          </cell>
          <cell r="R214">
            <v>0.90673575129533679</v>
          </cell>
        </row>
        <row r="215">
          <cell r="A215">
            <v>1989</v>
          </cell>
          <cell r="B215" t="str">
            <v>Unidad Educativa Eje PampaAiquile</v>
          </cell>
          <cell r="C215" t="str">
            <v>Cochabamba</v>
          </cell>
          <cell r="D215" t="str">
            <v>Campero</v>
          </cell>
          <cell r="E215" t="str">
            <v>Aiquile</v>
          </cell>
          <cell r="F215" t="str">
            <v>Eje Pampa</v>
          </cell>
          <cell r="G215" t="str">
            <v>Unidad Educativa Eje Pampa</v>
          </cell>
          <cell r="H215" t="str">
            <v>Zona 4366</v>
          </cell>
          <cell r="I215" t="str">
            <v>Eje Pampa</v>
          </cell>
          <cell r="J215" t="str">
            <v>25</v>
          </cell>
          <cell r="K215" t="str">
            <v>Uninominal</v>
          </cell>
          <cell r="L215" t="str">
            <v>-18.5394</v>
          </cell>
          <cell r="M215" t="str">
            <v>-65.1709</v>
          </cell>
          <cell r="N215" t="str">
            <v>Rural</v>
          </cell>
          <cell r="O215" t="str">
            <v>1989</v>
          </cell>
          <cell r="P215" t="str">
            <v>POINT (-65.1709 -18.5394)</v>
          </cell>
          <cell r="Q215">
            <v>2</v>
          </cell>
          <cell r="R215">
            <v>0.93611357586512867</v>
          </cell>
        </row>
        <row r="216">
          <cell r="A216">
            <v>1990</v>
          </cell>
          <cell r="B216" t="str">
            <v>Unidad Educativa Chaqui MayuAiquile</v>
          </cell>
          <cell r="C216" t="str">
            <v>Cochabamba</v>
          </cell>
          <cell r="D216" t="str">
            <v>Campero</v>
          </cell>
          <cell r="E216" t="str">
            <v>Aiquile</v>
          </cell>
          <cell r="F216" t="str">
            <v>Ch'aquimayu</v>
          </cell>
          <cell r="G216" t="str">
            <v>Unidad Educativa Chaqui Mayu</v>
          </cell>
          <cell r="H216" t="str">
            <v>Zona 4369</v>
          </cell>
          <cell r="I216" t="str">
            <v>Ch Aquimayu</v>
          </cell>
          <cell r="J216" t="str">
            <v>25</v>
          </cell>
          <cell r="K216" t="str">
            <v>Uninominal</v>
          </cell>
          <cell r="L216" t="str">
            <v>-18.2657</v>
          </cell>
          <cell r="M216" t="str">
            <v>-65.2821</v>
          </cell>
          <cell r="N216" t="str">
            <v>Rural</v>
          </cell>
          <cell r="O216" t="str">
            <v>1990</v>
          </cell>
          <cell r="P216" t="str">
            <v>POINT (-65.2821 -18.2657)</v>
          </cell>
          <cell r="Q216">
            <v>1</v>
          </cell>
          <cell r="R216">
            <v>0.9320987654320988</v>
          </cell>
        </row>
        <row r="217">
          <cell r="A217">
            <v>1991</v>
          </cell>
          <cell r="B217" t="str">
            <v>Unidad Educativa PanamaAiquile</v>
          </cell>
          <cell r="C217" t="str">
            <v>Cochabamba</v>
          </cell>
          <cell r="D217" t="str">
            <v>Campero</v>
          </cell>
          <cell r="E217" t="str">
            <v>Aiquile</v>
          </cell>
          <cell r="F217" t="str">
            <v>Panamá</v>
          </cell>
          <cell r="G217" t="str">
            <v>Unidad Educativa Panama</v>
          </cell>
          <cell r="H217" t="str">
            <v>Zona 4369</v>
          </cell>
          <cell r="I217" t="str">
            <v>Panamá</v>
          </cell>
          <cell r="J217" t="str">
            <v>25</v>
          </cell>
          <cell r="K217" t="str">
            <v>Uninominal</v>
          </cell>
          <cell r="L217" t="str">
            <v>-18.309</v>
          </cell>
          <cell r="M217" t="str">
            <v>-65.1087</v>
          </cell>
          <cell r="N217" t="str">
            <v>Rural</v>
          </cell>
          <cell r="O217" t="str">
            <v>1991</v>
          </cell>
          <cell r="P217" t="str">
            <v>POINT (-65.1087 -18.309)</v>
          </cell>
          <cell r="Q217">
            <v>2</v>
          </cell>
          <cell r="R217">
            <v>0.92140137090632135</v>
          </cell>
        </row>
        <row r="218">
          <cell r="A218">
            <v>1992</v>
          </cell>
          <cell r="B218" t="str">
            <v>Unidad Educativa KewiñalAiquile</v>
          </cell>
          <cell r="C218" t="str">
            <v>Cochabamba</v>
          </cell>
          <cell r="D218" t="str">
            <v>Campero</v>
          </cell>
          <cell r="E218" t="str">
            <v>Aiquile</v>
          </cell>
          <cell r="F218" t="str">
            <v>Qhewiñal</v>
          </cell>
          <cell r="G218" t="str">
            <v>Unidad Educativa Kewiñal</v>
          </cell>
          <cell r="H218" t="str">
            <v>Zona 4366</v>
          </cell>
          <cell r="I218" t="str">
            <v>Qhewiñal</v>
          </cell>
          <cell r="J218" t="str">
            <v>25</v>
          </cell>
          <cell r="K218" t="str">
            <v>Uninominal</v>
          </cell>
          <cell r="L218" t="str">
            <v>-18.3735</v>
          </cell>
          <cell r="M218" t="str">
            <v>-65.3171</v>
          </cell>
          <cell r="N218" t="str">
            <v>Rural</v>
          </cell>
          <cell r="O218" t="str">
            <v>1992</v>
          </cell>
          <cell r="P218" t="str">
            <v>POINT (-65.3171 -18.3735)</v>
          </cell>
          <cell r="Q218">
            <v>2</v>
          </cell>
          <cell r="R218">
            <v>0.84054834054834049</v>
          </cell>
        </row>
        <row r="219">
          <cell r="A219">
            <v>1993</v>
          </cell>
          <cell r="B219" t="str">
            <v>Unidad Educativa LaimeAiquile</v>
          </cell>
          <cell r="C219" t="str">
            <v>Cochabamba</v>
          </cell>
          <cell r="D219" t="str">
            <v>Campero</v>
          </cell>
          <cell r="E219" t="str">
            <v>Aiquile</v>
          </cell>
          <cell r="F219" t="str">
            <v>Laime</v>
          </cell>
          <cell r="G219" t="str">
            <v>Unidad Educativa Laime</v>
          </cell>
          <cell r="H219" t="str">
            <v>Zona 4366</v>
          </cell>
          <cell r="I219" t="str">
            <v>Laime</v>
          </cell>
          <cell r="J219" t="str">
            <v>25</v>
          </cell>
          <cell r="K219" t="str">
            <v>Uninominal</v>
          </cell>
          <cell r="L219" t="str">
            <v>-18.4501</v>
          </cell>
          <cell r="M219" t="str">
            <v>-65.096</v>
          </cell>
          <cell r="N219" t="str">
            <v>Rural</v>
          </cell>
          <cell r="O219" t="str">
            <v>1993</v>
          </cell>
          <cell r="P219" t="str">
            <v>POINT (-65.096 -18.4501)</v>
          </cell>
          <cell r="Q219">
            <v>1</v>
          </cell>
          <cell r="R219">
            <v>0.92376681614349776</v>
          </cell>
        </row>
        <row r="220">
          <cell r="A220">
            <v>1994</v>
          </cell>
          <cell r="B220" t="str">
            <v>U.E. Molle PampaAiquile</v>
          </cell>
          <cell r="C220" t="str">
            <v>Cochabamba</v>
          </cell>
          <cell r="D220" t="str">
            <v>Campero</v>
          </cell>
          <cell r="E220" t="str">
            <v>Aiquile</v>
          </cell>
          <cell r="F220" t="str">
            <v>Molle Pampa  A</v>
          </cell>
          <cell r="G220" t="str">
            <v>U.E. Molle Pampa</v>
          </cell>
          <cell r="H220" t="str">
            <v>Zona 4368</v>
          </cell>
          <cell r="I220" t="str">
            <v>Comunidad Molle Pampa</v>
          </cell>
          <cell r="J220" t="str">
            <v>25</v>
          </cell>
          <cell r="K220" t="str">
            <v>Uninominal</v>
          </cell>
          <cell r="L220" t="str">
            <v>-18.426058</v>
          </cell>
          <cell r="M220" t="str">
            <v>-64.934665</v>
          </cell>
          <cell r="N220" t="str">
            <v>Rural</v>
          </cell>
          <cell r="O220" t="str">
            <v>1994</v>
          </cell>
          <cell r="P220" t="str">
            <v>POINT (-64.934665 -18.426058)</v>
          </cell>
          <cell r="Q220">
            <v>1</v>
          </cell>
          <cell r="R220">
            <v>0.98113207547169812</v>
          </cell>
        </row>
        <row r="221">
          <cell r="A221">
            <v>1995</v>
          </cell>
          <cell r="B221" t="str">
            <v>U.E. San AntonioAiquile</v>
          </cell>
          <cell r="C221" t="str">
            <v>Cochabamba</v>
          </cell>
          <cell r="D221" t="str">
            <v>Campero</v>
          </cell>
          <cell r="E221" t="str">
            <v>Aiquile</v>
          </cell>
          <cell r="F221" t="str">
            <v>San Antonio</v>
          </cell>
          <cell r="G221" t="str">
            <v>U.E. San Antonio</v>
          </cell>
          <cell r="H221" t="str">
            <v>Zona 4368</v>
          </cell>
          <cell r="I221" t="str">
            <v>Comunidad San Antonio</v>
          </cell>
          <cell r="J221" t="str">
            <v>25</v>
          </cell>
          <cell r="K221" t="str">
            <v>Uninominal</v>
          </cell>
          <cell r="L221" t="str">
            <v>-18.171989</v>
          </cell>
          <cell r="M221" t="str">
            <v>-64.976231</v>
          </cell>
          <cell r="N221" t="str">
            <v>Rural</v>
          </cell>
          <cell r="O221" t="str">
            <v>1995</v>
          </cell>
          <cell r="P221" t="str">
            <v>POINT (-64.976231 -18.171989)</v>
          </cell>
          <cell r="Q221">
            <v>1</v>
          </cell>
          <cell r="R221">
            <v>0.94472361809045224</v>
          </cell>
        </row>
        <row r="222">
          <cell r="A222">
            <v>1996</v>
          </cell>
          <cell r="B222" t="str">
            <v>U. E. Tipa PampaAiquile</v>
          </cell>
          <cell r="C222" t="str">
            <v>Cochabamba</v>
          </cell>
          <cell r="D222" t="str">
            <v>Campero</v>
          </cell>
          <cell r="E222" t="str">
            <v>Aiquile</v>
          </cell>
          <cell r="F222" t="str">
            <v>Tipa Pampa</v>
          </cell>
          <cell r="G222" t="str">
            <v>U. E. Tipa Pampa</v>
          </cell>
          <cell r="H222" t="str">
            <v>Zona 4369</v>
          </cell>
          <cell r="I222" t="str">
            <v>Comunidad Tipa Pampa, carretera Aiquile a Sucre</v>
          </cell>
          <cell r="J222" t="str">
            <v>25</v>
          </cell>
          <cell r="K222" t="str">
            <v>Uninominal</v>
          </cell>
          <cell r="L222" t="str">
            <v>-18.334</v>
          </cell>
          <cell r="M222" t="str">
            <v>-65.228</v>
          </cell>
          <cell r="N222" t="str">
            <v>Rural</v>
          </cell>
          <cell r="O222" t="str">
            <v>1996</v>
          </cell>
          <cell r="P222" t="str">
            <v>POINT (-65.228 -18.334)</v>
          </cell>
          <cell r="Q222">
            <v>1</v>
          </cell>
          <cell r="R222">
            <v>0.95327102803738317</v>
          </cell>
        </row>
        <row r="223">
          <cell r="A223">
            <v>1997</v>
          </cell>
          <cell r="B223" t="str">
            <v>U.E. Jarka MayuAiquile</v>
          </cell>
          <cell r="C223" t="str">
            <v>Cochabamba</v>
          </cell>
          <cell r="D223" t="str">
            <v>Campero</v>
          </cell>
          <cell r="E223" t="str">
            <v>Aiquile</v>
          </cell>
          <cell r="F223" t="str">
            <v>Jarca Mayu</v>
          </cell>
          <cell r="G223" t="str">
            <v>U.E. Jarka Mayu</v>
          </cell>
          <cell r="H223" t="str">
            <v>Zona 4369</v>
          </cell>
          <cell r="I223" t="str">
            <v>Comunidad Jarca Mayu</v>
          </cell>
          <cell r="J223" t="str">
            <v>25</v>
          </cell>
          <cell r="K223" t="str">
            <v>Uninominal</v>
          </cell>
          <cell r="L223" t="str">
            <v>-18.237276</v>
          </cell>
          <cell r="M223" t="str">
            <v>-65.263293</v>
          </cell>
          <cell r="N223" t="str">
            <v>Urbano</v>
          </cell>
          <cell r="O223" t="str">
            <v>1997</v>
          </cell>
          <cell r="P223" t="str">
            <v>POINT (-65.263293 -18.237276)</v>
          </cell>
          <cell r="Q223">
            <v>1</v>
          </cell>
          <cell r="R223" t="str">
            <v>Sin Info</v>
          </cell>
        </row>
        <row r="224">
          <cell r="A224">
            <v>1998</v>
          </cell>
          <cell r="B224" t="str">
            <v>U.E. Tabla MayuAiquile</v>
          </cell>
          <cell r="C224" t="str">
            <v>Cochabamba</v>
          </cell>
          <cell r="D224" t="str">
            <v>Campero</v>
          </cell>
          <cell r="E224" t="str">
            <v>Aiquile</v>
          </cell>
          <cell r="F224" t="str">
            <v>Tabla Mayu</v>
          </cell>
          <cell r="G224" t="str">
            <v>U.E. Tabla Mayu</v>
          </cell>
          <cell r="H224" t="str">
            <v>Zona 4369</v>
          </cell>
          <cell r="I224" t="str">
            <v>Comunidad de Tabla Mayu</v>
          </cell>
          <cell r="J224" t="str">
            <v>25</v>
          </cell>
          <cell r="K224" t="str">
            <v>Uninominal</v>
          </cell>
          <cell r="L224" t="str">
            <v>-18.328139</v>
          </cell>
          <cell r="M224" t="str">
            <v>-65.16325</v>
          </cell>
          <cell r="N224" t="str">
            <v>Rural</v>
          </cell>
          <cell r="O224" t="str">
            <v>1998</v>
          </cell>
          <cell r="P224" t="str">
            <v>POINT (-65.16325 -18.328139)</v>
          </cell>
          <cell r="Q224">
            <v>1</v>
          </cell>
          <cell r="R224" t="str">
            <v>Sin Info</v>
          </cell>
        </row>
        <row r="225">
          <cell r="A225">
            <v>1999</v>
          </cell>
          <cell r="B225" t="str">
            <v>U.E. MarquillaAiquile</v>
          </cell>
          <cell r="C225" t="str">
            <v>Cochabamba</v>
          </cell>
          <cell r="D225" t="str">
            <v>Campero</v>
          </cell>
          <cell r="E225" t="str">
            <v>Aiquile</v>
          </cell>
          <cell r="F225" t="str">
            <v>Marquilla</v>
          </cell>
          <cell r="G225" t="str">
            <v>U.E. Marquilla</v>
          </cell>
          <cell r="H225" t="str">
            <v>Zona 4369</v>
          </cell>
          <cell r="I225" t="str">
            <v>Comunidad de Marquilla</v>
          </cell>
          <cell r="J225" t="str">
            <v>25</v>
          </cell>
          <cell r="K225" t="str">
            <v>Uninominal</v>
          </cell>
          <cell r="L225" t="str">
            <v>-18.156664</v>
          </cell>
          <cell r="M225" t="str">
            <v>-65.148339</v>
          </cell>
          <cell r="N225" t="str">
            <v>Rural</v>
          </cell>
          <cell r="O225" t="str">
            <v>1999</v>
          </cell>
          <cell r="P225" t="str">
            <v>POINT (-65.148339 -18.156664)</v>
          </cell>
          <cell r="Q225">
            <v>1</v>
          </cell>
          <cell r="R225" t="str">
            <v>Sin Info</v>
          </cell>
        </row>
        <row r="226">
          <cell r="A226">
            <v>2000</v>
          </cell>
          <cell r="B226" t="str">
            <v>U.E. Higus PampaAiquile</v>
          </cell>
          <cell r="C226" t="str">
            <v>Cochabamba</v>
          </cell>
          <cell r="D226" t="str">
            <v>Campero</v>
          </cell>
          <cell r="E226" t="str">
            <v>Aiquile</v>
          </cell>
          <cell r="F226" t="str">
            <v>Higus Pampa</v>
          </cell>
          <cell r="G226" t="str">
            <v>U.E. Higus Pampa</v>
          </cell>
          <cell r="H226" t="str">
            <v>Zona 4368</v>
          </cell>
          <cell r="I226" t="str">
            <v>Comunidad de Higus Pampa</v>
          </cell>
          <cell r="J226" t="str">
            <v>25</v>
          </cell>
          <cell r="K226" t="str">
            <v>Uninominal</v>
          </cell>
          <cell r="L226" t="str">
            <v>-18.25273</v>
          </cell>
          <cell r="M226" t="str">
            <v>-65.009231</v>
          </cell>
          <cell r="N226" t="str">
            <v>Rural</v>
          </cell>
          <cell r="O226" t="str">
            <v>2000</v>
          </cell>
          <cell r="P226" t="str">
            <v>POINT (-65.009231 -18.25273)</v>
          </cell>
          <cell r="Q226">
            <v>1</v>
          </cell>
          <cell r="R226" t="str">
            <v>Sin Info</v>
          </cell>
        </row>
        <row r="227">
          <cell r="A227">
            <v>2001</v>
          </cell>
          <cell r="B227" t="str">
            <v>Colegio Tte.Cnel. Nataniel VerduguezPasorapa</v>
          </cell>
          <cell r="C227" t="str">
            <v>Cochabamba</v>
          </cell>
          <cell r="D227" t="str">
            <v>Campero</v>
          </cell>
          <cell r="E227" t="str">
            <v>Pasorapa</v>
          </cell>
          <cell r="F227" t="str">
            <v>Pasorapa</v>
          </cell>
          <cell r="G227" t="str">
            <v>Colegio Tte.Cnel. Nataniel Verduguez</v>
          </cell>
          <cell r="H227" t="str">
            <v>Zona 4370</v>
          </cell>
          <cell r="I227" t="str">
            <v>Pasorapa</v>
          </cell>
          <cell r="J227" t="str">
            <v>25</v>
          </cell>
          <cell r="K227" t="str">
            <v>Uninominal</v>
          </cell>
          <cell r="L227" t="str">
            <v>-18.3163</v>
          </cell>
          <cell r="M227" t="str">
            <v>-64.676</v>
          </cell>
          <cell r="N227" t="str">
            <v>Rural</v>
          </cell>
          <cell r="O227" t="str">
            <v>2001</v>
          </cell>
          <cell r="P227" t="str">
            <v>POINT (-64.676 -18.3163)</v>
          </cell>
          <cell r="Q227">
            <v>5</v>
          </cell>
          <cell r="R227">
            <v>0.44800554856475905</v>
          </cell>
        </row>
        <row r="228">
          <cell r="A228">
            <v>2002</v>
          </cell>
          <cell r="B228" t="str">
            <v>Escuela Central QuinoriPasorapa</v>
          </cell>
          <cell r="C228" t="str">
            <v>Cochabamba</v>
          </cell>
          <cell r="D228" t="str">
            <v>Campero</v>
          </cell>
          <cell r="E228" t="str">
            <v>Pasorapa</v>
          </cell>
          <cell r="F228" t="str">
            <v>Quinori</v>
          </cell>
          <cell r="G228" t="str">
            <v>Escuela Central Quinori</v>
          </cell>
          <cell r="H228" t="str">
            <v>Zona 4371</v>
          </cell>
          <cell r="I228" t="str">
            <v>Quinori</v>
          </cell>
          <cell r="J228" t="str">
            <v>25</v>
          </cell>
          <cell r="K228" t="str">
            <v>Uninominal</v>
          </cell>
          <cell r="L228" t="str">
            <v>-18.5031</v>
          </cell>
          <cell r="M228" t="str">
            <v>-64.3966</v>
          </cell>
          <cell r="N228" t="str">
            <v>Rural</v>
          </cell>
          <cell r="O228" t="str">
            <v>2002</v>
          </cell>
          <cell r="P228" t="str">
            <v>POINT (-64.3966 -18.5031)</v>
          </cell>
          <cell r="Q228">
            <v>1</v>
          </cell>
          <cell r="R228">
            <v>0.77127659574468088</v>
          </cell>
        </row>
        <row r="229">
          <cell r="A229">
            <v>2003</v>
          </cell>
          <cell r="B229" t="str">
            <v>Unidad Educativa SeibasPasorapa</v>
          </cell>
          <cell r="C229" t="str">
            <v>Cochabamba</v>
          </cell>
          <cell r="D229" t="str">
            <v>Campero</v>
          </cell>
          <cell r="E229" t="str">
            <v>Pasorapa</v>
          </cell>
          <cell r="F229" t="str">
            <v>Seibas</v>
          </cell>
          <cell r="G229" t="str">
            <v>Unidad Educativa Seibas</v>
          </cell>
          <cell r="H229" t="str">
            <v>Zona 4371</v>
          </cell>
          <cell r="I229" t="str">
            <v>Seibas</v>
          </cell>
          <cell r="J229" t="str">
            <v>25</v>
          </cell>
          <cell r="K229" t="str">
            <v>Uninominal</v>
          </cell>
          <cell r="L229" t="str">
            <v>-18.4938</v>
          </cell>
          <cell r="M229" t="str">
            <v>-64.5739</v>
          </cell>
          <cell r="N229" t="str">
            <v>Rural</v>
          </cell>
          <cell r="O229" t="str">
            <v>2003</v>
          </cell>
          <cell r="P229" t="str">
            <v>POINT (-64.5739 -18.4938)</v>
          </cell>
          <cell r="Q229">
            <v>1</v>
          </cell>
          <cell r="R229">
            <v>0.74814814814814812</v>
          </cell>
        </row>
        <row r="230">
          <cell r="A230">
            <v>2004</v>
          </cell>
          <cell r="B230" t="str">
            <v>Unidad Educativa PampasPasorapa</v>
          </cell>
          <cell r="C230" t="str">
            <v>Cochabamba</v>
          </cell>
          <cell r="D230" t="str">
            <v>Campero</v>
          </cell>
          <cell r="E230" t="str">
            <v>Pasorapa</v>
          </cell>
          <cell r="F230" t="str">
            <v>Pampas</v>
          </cell>
          <cell r="G230" t="str">
            <v>Unidad Educativa Pampas</v>
          </cell>
          <cell r="H230" t="str">
            <v>Zona 4371</v>
          </cell>
          <cell r="I230" t="str">
            <v>Pampas</v>
          </cell>
          <cell r="J230" t="str">
            <v>25</v>
          </cell>
          <cell r="K230" t="str">
            <v>Uninominal</v>
          </cell>
          <cell r="L230" t="str">
            <v>-18.4025</v>
          </cell>
          <cell r="M230" t="str">
            <v>-64.5128</v>
          </cell>
          <cell r="N230" t="str">
            <v>Rural</v>
          </cell>
          <cell r="O230" t="str">
            <v>2004</v>
          </cell>
          <cell r="P230" t="str">
            <v>POINT (-64.5128 -18.4025)</v>
          </cell>
          <cell r="Q230">
            <v>1</v>
          </cell>
          <cell r="R230">
            <v>0.70940170940170943</v>
          </cell>
        </row>
        <row r="231">
          <cell r="A231">
            <v>2005</v>
          </cell>
          <cell r="B231" t="str">
            <v>U.E. RedondoPasorapa</v>
          </cell>
          <cell r="C231" t="str">
            <v>Cochabamba</v>
          </cell>
          <cell r="D231" t="str">
            <v>Campero</v>
          </cell>
          <cell r="E231" t="str">
            <v>Pasorapa</v>
          </cell>
          <cell r="F231" t="str">
            <v>Bañado Redondo</v>
          </cell>
          <cell r="G231" t="str">
            <v>U.E. Redondo</v>
          </cell>
          <cell r="H231" t="str">
            <v>Zona 4371</v>
          </cell>
          <cell r="I231" t="str">
            <v>Entrada a la comunidad Bañado Redondo</v>
          </cell>
          <cell r="J231" t="str">
            <v>25</v>
          </cell>
          <cell r="K231" t="str">
            <v>Uninominal</v>
          </cell>
          <cell r="L231" t="str">
            <v>-18.5003</v>
          </cell>
          <cell r="M231" t="str">
            <v>-64.3148</v>
          </cell>
          <cell r="N231" t="str">
            <v>Urbano</v>
          </cell>
          <cell r="O231" t="str">
            <v>2005</v>
          </cell>
          <cell r="P231" t="str">
            <v>POINT (-64.3148 -18.5003)</v>
          </cell>
          <cell r="Q231">
            <v>1</v>
          </cell>
          <cell r="R231">
            <v>0.6333333333333333</v>
          </cell>
        </row>
        <row r="232">
          <cell r="A232">
            <v>2006</v>
          </cell>
          <cell r="B232" t="str">
            <v>Sede Sindical Yajo PampaPasorapa</v>
          </cell>
          <cell r="C232" t="str">
            <v>Cochabamba</v>
          </cell>
          <cell r="D232" t="str">
            <v>Campero</v>
          </cell>
          <cell r="E232" t="str">
            <v>Pasorapa</v>
          </cell>
          <cell r="F232" t="str">
            <v>Yajo Pampa</v>
          </cell>
          <cell r="G232" t="str">
            <v>Sede Sindical Yajo Pampa</v>
          </cell>
          <cell r="H232" t="str">
            <v>Zona 4371</v>
          </cell>
          <cell r="I232" t="str">
            <v>Comunidad Yajo Pampa, camino Moro Moro</v>
          </cell>
          <cell r="J232" t="str">
            <v>25</v>
          </cell>
          <cell r="K232" t="str">
            <v>Uninominal</v>
          </cell>
          <cell r="L232" t="str">
            <v>-18.1366</v>
          </cell>
          <cell r="M232" t="str">
            <v>-64.5593</v>
          </cell>
          <cell r="N232" t="str">
            <v>Rural</v>
          </cell>
          <cell r="O232" t="str">
            <v>2006</v>
          </cell>
          <cell r="P232" t="str">
            <v>POINT (-64.5593 -18.1366)</v>
          </cell>
          <cell r="Q232">
            <v>1</v>
          </cell>
          <cell r="R232">
            <v>0.5</v>
          </cell>
        </row>
        <row r="233">
          <cell r="A233">
            <v>2007</v>
          </cell>
          <cell r="B233" t="str">
            <v>Unidad Educativa OmerequeOmereque</v>
          </cell>
          <cell r="C233" t="str">
            <v>Cochabamba</v>
          </cell>
          <cell r="D233" t="str">
            <v>Campero</v>
          </cell>
          <cell r="E233" t="str">
            <v>Omereque</v>
          </cell>
          <cell r="F233" t="str">
            <v>Omereque</v>
          </cell>
          <cell r="G233" t="str">
            <v>Unidad Educativa Omereque</v>
          </cell>
          <cell r="H233" t="str">
            <v>Zona 4377</v>
          </cell>
          <cell r="I233" t="str">
            <v>Omereque</v>
          </cell>
          <cell r="J233" t="str">
            <v>25</v>
          </cell>
          <cell r="K233" t="str">
            <v>Uninominal</v>
          </cell>
          <cell r="L233" t="str">
            <v>-18.1062</v>
          </cell>
          <cell r="M233" t="str">
            <v>-64.9078</v>
          </cell>
          <cell r="N233" t="str">
            <v>Rural</v>
          </cell>
          <cell r="O233" t="str">
            <v>2007</v>
          </cell>
          <cell r="P233" t="str">
            <v>POINT (-64.9078 -18.1062)</v>
          </cell>
          <cell r="Q233">
            <v>10</v>
          </cell>
          <cell r="R233">
            <v>0.85130836745963112</v>
          </cell>
        </row>
        <row r="234">
          <cell r="A234">
            <v>2008</v>
          </cell>
          <cell r="B234" t="str">
            <v>Unidad Educativa Huanacuni GrandeOmereque</v>
          </cell>
          <cell r="C234" t="str">
            <v>Cochabamba</v>
          </cell>
          <cell r="D234" t="str">
            <v>Campero</v>
          </cell>
          <cell r="E234" t="str">
            <v>Omereque</v>
          </cell>
          <cell r="F234" t="str">
            <v>Huanacuni Chico</v>
          </cell>
          <cell r="G234" t="str">
            <v>Unidad Educativa Huanacuni Grande</v>
          </cell>
          <cell r="H234" t="str">
            <v>Zona 4372</v>
          </cell>
          <cell r="I234" t="str">
            <v>Huanacuni Chico</v>
          </cell>
          <cell r="J234" t="str">
            <v>25</v>
          </cell>
          <cell r="K234" t="str">
            <v>Uninominal</v>
          </cell>
          <cell r="L234" t="str">
            <v>-17.9292</v>
          </cell>
          <cell r="M234" t="str">
            <v>-64.9884</v>
          </cell>
          <cell r="N234" t="str">
            <v>Rural</v>
          </cell>
          <cell r="O234" t="str">
            <v>2008</v>
          </cell>
          <cell r="P234" t="str">
            <v>POINT (-64.9884 -17.9292)</v>
          </cell>
          <cell r="Q234">
            <v>1</v>
          </cell>
          <cell r="R234">
            <v>0.93706293706293708</v>
          </cell>
        </row>
        <row r="235">
          <cell r="A235">
            <v>2009</v>
          </cell>
          <cell r="B235" t="str">
            <v>Escuela Central Peña ColoradaOmereque</v>
          </cell>
          <cell r="C235" t="str">
            <v>Cochabamba</v>
          </cell>
          <cell r="D235" t="str">
            <v>Campero</v>
          </cell>
          <cell r="E235" t="str">
            <v>Omereque</v>
          </cell>
          <cell r="F235" t="str">
            <v>Peña Colorada</v>
          </cell>
          <cell r="G235" t="str">
            <v>Escuela Central Peña Colorada</v>
          </cell>
          <cell r="H235" t="str">
            <v>Zona 4373</v>
          </cell>
          <cell r="I235" t="str">
            <v>Peña Colorada</v>
          </cell>
          <cell r="J235" t="str">
            <v>25</v>
          </cell>
          <cell r="K235" t="str">
            <v>Uninominal</v>
          </cell>
          <cell r="L235" t="str">
            <v>-18.172</v>
          </cell>
          <cell r="M235" t="str">
            <v>-64.8705</v>
          </cell>
          <cell r="N235" t="str">
            <v>Rural</v>
          </cell>
          <cell r="O235" t="str">
            <v>2009</v>
          </cell>
          <cell r="P235" t="str">
            <v>POINT (-64.8705 -18.172)</v>
          </cell>
          <cell r="Q235">
            <v>2</v>
          </cell>
          <cell r="R235">
            <v>0.85273316062176163</v>
          </cell>
        </row>
        <row r="236">
          <cell r="A236">
            <v>2010</v>
          </cell>
          <cell r="B236" t="str">
            <v>Unidad Educativa PereretaOmereque</v>
          </cell>
          <cell r="C236" t="str">
            <v>Cochabamba</v>
          </cell>
          <cell r="D236" t="str">
            <v>Campero</v>
          </cell>
          <cell r="E236" t="str">
            <v>Omereque</v>
          </cell>
          <cell r="F236" t="str">
            <v>Perereta</v>
          </cell>
          <cell r="G236" t="str">
            <v>Unidad Educativa Perereta</v>
          </cell>
          <cell r="H236" t="str">
            <v>Zona 4375</v>
          </cell>
          <cell r="I236" t="str">
            <v>Perereta</v>
          </cell>
          <cell r="J236" t="str">
            <v>25</v>
          </cell>
          <cell r="K236" t="str">
            <v>Uninominal</v>
          </cell>
          <cell r="L236" t="str">
            <v>-18.132</v>
          </cell>
          <cell r="M236" t="str">
            <v>-64.8208</v>
          </cell>
          <cell r="N236" t="str">
            <v>Rural</v>
          </cell>
          <cell r="O236" t="str">
            <v>2010</v>
          </cell>
          <cell r="P236" t="str">
            <v>POINT (-64.8208 -18.132)</v>
          </cell>
          <cell r="Q236">
            <v>1</v>
          </cell>
          <cell r="R236">
            <v>0.78453038674033149</v>
          </cell>
        </row>
        <row r="237">
          <cell r="A237">
            <v>2011</v>
          </cell>
          <cell r="B237" t="str">
            <v>Escuela Seccional Chari ChariOmereque</v>
          </cell>
          <cell r="C237" t="str">
            <v>Cochabamba</v>
          </cell>
          <cell r="D237" t="str">
            <v>Campero</v>
          </cell>
          <cell r="E237" t="str">
            <v>Omereque</v>
          </cell>
          <cell r="F237" t="str">
            <v>Chari Chari</v>
          </cell>
          <cell r="G237" t="str">
            <v>Escuela Seccional Chari Chari</v>
          </cell>
          <cell r="H237" t="str">
            <v>Zona 4378</v>
          </cell>
          <cell r="I237" t="str">
            <v>Chari Chari</v>
          </cell>
          <cell r="J237" t="str">
            <v>25</v>
          </cell>
          <cell r="K237" t="str">
            <v>Uninominal</v>
          </cell>
          <cell r="L237" t="str">
            <v>-18.0252</v>
          </cell>
          <cell r="M237" t="str">
            <v>-65.0182</v>
          </cell>
          <cell r="N237" t="str">
            <v>Rural</v>
          </cell>
          <cell r="O237" t="str">
            <v>2011</v>
          </cell>
          <cell r="P237" t="str">
            <v>POINT (-65.0182 -18.0252)</v>
          </cell>
          <cell r="Q237">
            <v>1</v>
          </cell>
          <cell r="R237">
            <v>0.9838709677419355</v>
          </cell>
        </row>
        <row r="238">
          <cell r="A238">
            <v>2012</v>
          </cell>
          <cell r="B238" t="str">
            <v>Escuela Seccional PerezOmereque</v>
          </cell>
          <cell r="C238" t="str">
            <v>Cochabamba</v>
          </cell>
          <cell r="D238" t="str">
            <v>Campero</v>
          </cell>
          <cell r="E238" t="str">
            <v>Omereque</v>
          </cell>
          <cell r="F238" t="str">
            <v>Perez</v>
          </cell>
          <cell r="G238" t="str">
            <v>Escuela Seccional Perez</v>
          </cell>
          <cell r="H238" t="str">
            <v>Zona 4371</v>
          </cell>
          <cell r="I238" t="str">
            <v>Perez</v>
          </cell>
          <cell r="J238" t="str">
            <v>25</v>
          </cell>
          <cell r="K238" t="str">
            <v>Uninominal</v>
          </cell>
          <cell r="L238" t="str">
            <v>-18.1136</v>
          </cell>
          <cell r="M238" t="str">
            <v>-64.7667</v>
          </cell>
          <cell r="N238" t="str">
            <v>Rural</v>
          </cell>
          <cell r="O238" t="str">
            <v>2012</v>
          </cell>
          <cell r="P238" t="str">
            <v>POINT (-64.7667 -18.1136)</v>
          </cell>
          <cell r="Q238">
            <v>1</v>
          </cell>
          <cell r="R238">
            <v>0.85792349726775952</v>
          </cell>
        </row>
        <row r="239">
          <cell r="A239">
            <v>2013</v>
          </cell>
          <cell r="B239" t="str">
            <v>U.E. Jose Miguel LanzaAyopaya</v>
          </cell>
          <cell r="C239" t="str">
            <v>Cochabamba</v>
          </cell>
          <cell r="D239" t="str">
            <v>Ayopaya</v>
          </cell>
          <cell r="E239" t="str">
            <v>Ayopaya</v>
          </cell>
          <cell r="F239" t="str">
            <v>Independencia</v>
          </cell>
          <cell r="G239" t="str">
            <v>U.E. Jose Miguel Lanza</v>
          </cell>
          <cell r="H239" t="str">
            <v>Zona 4379</v>
          </cell>
          <cell r="I239" t="str">
            <v>Diagonal de La Unidad Educativa Jose Miguel Lanza</v>
          </cell>
          <cell r="J239" t="str">
            <v>27</v>
          </cell>
          <cell r="K239" t="str">
            <v>Uninominal</v>
          </cell>
          <cell r="L239" t="str">
            <v>-17.0819</v>
          </cell>
          <cell r="M239" t="str">
            <v>-66.8212</v>
          </cell>
          <cell r="N239" t="str">
            <v>Rural</v>
          </cell>
          <cell r="O239" t="str">
            <v>2013</v>
          </cell>
          <cell r="P239" t="str">
            <v>POINT (-66.8212 -17.0819)</v>
          </cell>
          <cell r="Q239">
            <v>13</v>
          </cell>
          <cell r="R239" t="str">
            <v>Sin Info</v>
          </cell>
        </row>
        <row r="240">
          <cell r="A240">
            <v>2014</v>
          </cell>
          <cell r="B240" t="str">
            <v>Unidad Educativa TapazaAyopaya</v>
          </cell>
          <cell r="C240" t="str">
            <v>Cochabamba</v>
          </cell>
          <cell r="D240" t="str">
            <v>Ayopaya</v>
          </cell>
          <cell r="E240" t="str">
            <v>Ayopaya</v>
          </cell>
          <cell r="F240" t="str">
            <v>Tapaza</v>
          </cell>
          <cell r="G240" t="str">
            <v>Unidad Educativa Tapaza</v>
          </cell>
          <cell r="H240" t="str">
            <v>Zona 4379</v>
          </cell>
          <cell r="I240" t="str">
            <v>Tapaza</v>
          </cell>
          <cell r="J240" t="str">
            <v>27</v>
          </cell>
          <cell r="K240" t="str">
            <v>Uninominal</v>
          </cell>
          <cell r="L240" t="str">
            <v>-17.1788</v>
          </cell>
          <cell r="M240" t="str">
            <v>-66.745</v>
          </cell>
          <cell r="N240" t="str">
            <v>Rural</v>
          </cell>
          <cell r="O240" t="str">
            <v>2014</v>
          </cell>
          <cell r="P240" t="str">
            <v>POINT (-66.745 -17.1788)</v>
          </cell>
          <cell r="Q240">
            <v>1</v>
          </cell>
          <cell r="R240" t="str">
            <v>Sin Info</v>
          </cell>
        </row>
        <row r="241">
          <cell r="A241">
            <v>2015</v>
          </cell>
          <cell r="B241" t="str">
            <v>Unidad Educativa MachacaAyopaya</v>
          </cell>
          <cell r="C241" t="str">
            <v>Cochabamba</v>
          </cell>
          <cell r="D241" t="str">
            <v>Ayopaya</v>
          </cell>
          <cell r="E241" t="str">
            <v>Ayopaya</v>
          </cell>
          <cell r="F241" t="str">
            <v>Machaca</v>
          </cell>
          <cell r="G241" t="str">
            <v>Unidad Educativa Machaca</v>
          </cell>
          <cell r="H241" t="str">
            <v>Zona 4379</v>
          </cell>
          <cell r="I241" t="str">
            <v>Machaca</v>
          </cell>
          <cell r="J241" t="str">
            <v>27</v>
          </cell>
          <cell r="K241" t="str">
            <v>Uninominal</v>
          </cell>
          <cell r="L241" t="str">
            <v>-17.1232</v>
          </cell>
          <cell r="M241" t="str">
            <v>-66.8674</v>
          </cell>
          <cell r="N241" t="str">
            <v>Rural</v>
          </cell>
          <cell r="O241" t="str">
            <v>2015</v>
          </cell>
          <cell r="P241" t="str">
            <v>POINT (-66.8674 -17.1232)</v>
          </cell>
          <cell r="Q241">
            <v>1</v>
          </cell>
          <cell r="R241" t="str">
            <v>Sin Info</v>
          </cell>
        </row>
        <row r="242">
          <cell r="A242">
            <v>2016</v>
          </cell>
          <cell r="B242" t="str">
            <v>Escuela Mariano Baptista (Calchani)Ayopaya</v>
          </cell>
          <cell r="C242" t="str">
            <v>Cochabamba</v>
          </cell>
          <cell r="D242" t="str">
            <v>Ayopaya</v>
          </cell>
          <cell r="E242" t="str">
            <v>Ayopaya</v>
          </cell>
          <cell r="F242" t="str">
            <v>Calchani</v>
          </cell>
          <cell r="G242" t="str">
            <v>Escuela Mariano Baptista (Calchani)</v>
          </cell>
          <cell r="H242" t="str">
            <v>Zona 4381</v>
          </cell>
          <cell r="I242" t="str">
            <v>Calchani</v>
          </cell>
          <cell r="J242" t="str">
            <v>27</v>
          </cell>
          <cell r="K242" t="str">
            <v>Uninominal</v>
          </cell>
          <cell r="L242" t="str">
            <v>-17.3246</v>
          </cell>
          <cell r="M242" t="str">
            <v>-66.6902</v>
          </cell>
          <cell r="N242" t="str">
            <v>Rural</v>
          </cell>
          <cell r="O242" t="str">
            <v>2016</v>
          </cell>
          <cell r="P242" t="str">
            <v>POINT (-66.6902 -17.3246)</v>
          </cell>
          <cell r="Q242">
            <v>2</v>
          </cell>
          <cell r="R242" t="str">
            <v>Sin Info</v>
          </cell>
        </row>
        <row r="243">
          <cell r="A243">
            <v>2017</v>
          </cell>
          <cell r="B243" t="str">
            <v>Colegio Simon Bolivar Fe y AlegriaAyopaya</v>
          </cell>
          <cell r="C243" t="str">
            <v>Cochabamba</v>
          </cell>
          <cell r="D243" t="str">
            <v>Ayopaya</v>
          </cell>
          <cell r="E243" t="str">
            <v>Ayopaya</v>
          </cell>
          <cell r="F243" t="str">
            <v>Icoya Kami</v>
          </cell>
          <cell r="G243" t="str">
            <v>Colegio Simon Bolivar Fe y Alegria</v>
          </cell>
          <cell r="H243" t="str">
            <v>Zona 4380</v>
          </cell>
          <cell r="I243" t="str">
            <v>Icoya Kami</v>
          </cell>
          <cell r="J243" t="str">
            <v>27</v>
          </cell>
          <cell r="K243" t="str">
            <v>Uninominal</v>
          </cell>
          <cell r="L243" t="str">
            <v>-17.3846</v>
          </cell>
          <cell r="M243" t="str">
            <v>-66.8146</v>
          </cell>
          <cell r="N243" t="str">
            <v>Rural</v>
          </cell>
          <cell r="O243" t="str">
            <v>2017</v>
          </cell>
          <cell r="P243" t="str">
            <v>POINT (-66.8146 -17.3846)</v>
          </cell>
          <cell r="Q243">
            <v>11</v>
          </cell>
          <cell r="R243" t="str">
            <v>Sin Info</v>
          </cell>
        </row>
        <row r="244">
          <cell r="A244">
            <v>2018</v>
          </cell>
          <cell r="B244" t="str">
            <v>U.E. Julian Apaza de PocanchiAyopaya</v>
          </cell>
          <cell r="C244" t="str">
            <v>Cochabamba</v>
          </cell>
          <cell r="D244" t="str">
            <v>Ayopaya</v>
          </cell>
          <cell r="E244" t="str">
            <v>Ayopaya</v>
          </cell>
          <cell r="F244" t="str">
            <v>Pocanche</v>
          </cell>
          <cell r="G244" t="str">
            <v>U.E. Julian Apaza de Pocanchi</v>
          </cell>
          <cell r="H244" t="str">
            <v>Zona 4379</v>
          </cell>
          <cell r="I244" t="str">
            <v>Pocanche</v>
          </cell>
          <cell r="J244" t="str">
            <v>27</v>
          </cell>
          <cell r="K244" t="str">
            <v>Uninominal</v>
          </cell>
          <cell r="L244" t="str">
            <v>-16.934219</v>
          </cell>
          <cell r="M244" t="str">
            <v>-66.835316</v>
          </cell>
          <cell r="N244" t="str">
            <v>Rural</v>
          </cell>
          <cell r="O244" t="str">
            <v>2018</v>
          </cell>
          <cell r="P244" t="str">
            <v>POINT (-66.835316 -16.934219)</v>
          </cell>
          <cell r="Q244">
            <v>2</v>
          </cell>
          <cell r="R244" t="str">
            <v>Sin Info</v>
          </cell>
        </row>
        <row r="245">
          <cell r="A245">
            <v>2019</v>
          </cell>
          <cell r="B245" t="str">
            <v>Unidad Educativa Sisi PalermoAyopaya</v>
          </cell>
          <cell r="C245" t="str">
            <v>Cochabamba</v>
          </cell>
          <cell r="D245" t="str">
            <v>Ayopaya</v>
          </cell>
          <cell r="E245" t="str">
            <v>Ayopaya</v>
          </cell>
          <cell r="F245" t="str">
            <v>Sisi Palermo</v>
          </cell>
          <cell r="G245" t="str">
            <v>Unidad Educativa Sisi Palermo</v>
          </cell>
          <cell r="H245" t="str">
            <v>Zona 4379</v>
          </cell>
          <cell r="I245" t="str">
            <v>Sisi Palermo</v>
          </cell>
          <cell r="J245" t="str">
            <v>27</v>
          </cell>
          <cell r="K245" t="str">
            <v>Uninominal</v>
          </cell>
          <cell r="L245" t="str">
            <v>-17.2046</v>
          </cell>
          <cell r="M245" t="str">
            <v>-66.837</v>
          </cell>
          <cell r="N245" t="str">
            <v>Rural</v>
          </cell>
          <cell r="O245" t="str">
            <v>2019</v>
          </cell>
          <cell r="P245" t="str">
            <v>POINT (-66.837 -17.2046)</v>
          </cell>
          <cell r="Q245">
            <v>2</v>
          </cell>
          <cell r="R245" t="str">
            <v>Sin Info</v>
          </cell>
        </row>
        <row r="246">
          <cell r="A246">
            <v>2020</v>
          </cell>
          <cell r="B246" t="str">
            <v xml:space="preserve"> U.E. ChamacomaAyopaya</v>
          </cell>
          <cell r="C246" t="str">
            <v>Cochabamba</v>
          </cell>
          <cell r="D246" t="str">
            <v>Ayopaya</v>
          </cell>
          <cell r="E246" t="str">
            <v>Ayopaya</v>
          </cell>
          <cell r="F246" t="str">
            <v>Chamacoma</v>
          </cell>
          <cell r="G246" t="str">
            <v xml:space="preserve"> U.E. Chamacoma</v>
          </cell>
          <cell r="H246" t="str">
            <v>Zona 4381</v>
          </cell>
          <cell r="I246" t="str">
            <v>Chamacoma</v>
          </cell>
          <cell r="J246" t="str">
            <v>27</v>
          </cell>
          <cell r="K246" t="str">
            <v>Uninominal</v>
          </cell>
          <cell r="L246" t="str">
            <v>-17.393743</v>
          </cell>
          <cell r="M246" t="str">
            <v>-66.704231</v>
          </cell>
          <cell r="N246" t="str">
            <v>Rural</v>
          </cell>
          <cell r="O246" t="str">
            <v>2020</v>
          </cell>
          <cell r="P246" t="str">
            <v>POINT (-66.704231 -17.393743)</v>
          </cell>
          <cell r="Q246">
            <v>2</v>
          </cell>
          <cell r="R246" t="str">
            <v>Sin Info</v>
          </cell>
        </row>
        <row r="247">
          <cell r="A247">
            <v>2021</v>
          </cell>
          <cell r="B247" t="str">
            <v>Unidad Educativa Sabino WallkuAyopaya</v>
          </cell>
          <cell r="C247" t="str">
            <v>Cochabamba</v>
          </cell>
          <cell r="D247" t="str">
            <v>Ayopaya</v>
          </cell>
          <cell r="E247" t="str">
            <v>Ayopaya</v>
          </cell>
          <cell r="F247" t="str">
            <v>Tiquirpaya</v>
          </cell>
          <cell r="G247" t="str">
            <v>Unidad Educativa Sabino Wallku</v>
          </cell>
          <cell r="H247" t="str">
            <v>Zona 4379</v>
          </cell>
          <cell r="I247" t="str">
            <v>Tiquirpaya</v>
          </cell>
          <cell r="J247" t="str">
            <v>27</v>
          </cell>
          <cell r="K247" t="str">
            <v>Uninominal</v>
          </cell>
          <cell r="L247" t="str">
            <v>-17.1167</v>
          </cell>
          <cell r="M247" t="str">
            <v>-66.7306</v>
          </cell>
          <cell r="N247" t="str">
            <v>Rural</v>
          </cell>
          <cell r="O247" t="str">
            <v>2021</v>
          </cell>
          <cell r="P247" t="str">
            <v>POINT (-66.7306 -17.1167)</v>
          </cell>
          <cell r="Q247">
            <v>2</v>
          </cell>
          <cell r="R247" t="str">
            <v>Sin Info</v>
          </cell>
        </row>
        <row r="248">
          <cell r="A248">
            <v>2022</v>
          </cell>
          <cell r="B248" t="str">
            <v>Unidad Educativa Villa PucaraAyopaya</v>
          </cell>
          <cell r="C248" t="str">
            <v>Cochabamba</v>
          </cell>
          <cell r="D248" t="str">
            <v>Ayopaya</v>
          </cell>
          <cell r="E248" t="str">
            <v>Ayopaya</v>
          </cell>
          <cell r="F248" t="str">
            <v>Villa Pucara</v>
          </cell>
          <cell r="G248" t="str">
            <v>Unidad Educativa Villa Pucara</v>
          </cell>
          <cell r="H248" t="str">
            <v>Zona 4379</v>
          </cell>
          <cell r="I248" t="str">
            <v>Villa Pucara</v>
          </cell>
          <cell r="J248" t="str">
            <v>27</v>
          </cell>
          <cell r="K248" t="str">
            <v>Uninominal</v>
          </cell>
          <cell r="L248" t="str">
            <v>-16.9919</v>
          </cell>
          <cell r="M248" t="str">
            <v>-66.9632</v>
          </cell>
          <cell r="N248" t="str">
            <v>Rural</v>
          </cell>
          <cell r="O248" t="str">
            <v>2022</v>
          </cell>
          <cell r="P248" t="str">
            <v>POINT (-66.9632 -16.9919)</v>
          </cell>
          <cell r="Q248">
            <v>3</v>
          </cell>
          <cell r="R248" t="str">
            <v>Sin Info</v>
          </cell>
        </row>
        <row r="249">
          <cell r="A249">
            <v>2023</v>
          </cell>
          <cell r="B249" t="str">
            <v>Unidad Educativa CharahuaytuAyopaya</v>
          </cell>
          <cell r="C249" t="str">
            <v>Cochabamba</v>
          </cell>
          <cell r="D249" t="str">
            <v>Ayopaya</v>
          </cell>
          <cell r="E249" t="str">
            <v>Ayopaya</v>
          </cell>
          <cell r="F249" t="str">
            <v>Charahuaytu</v>
          </cell>
          <cell r="G249" t="str">
            <v>Unidad Educativa Charahuaytu</v>
          </cell>
          <cell r="H249" t="str">
            <v>Zona 4379</v>
          </cell>
          <cell r="I249" t="str">
            <v>Charahuaytu</v>
          </cell>
          <cell r="J249" t="str">
            <v>27</v>
          </cell>
          <cell r="K249" t="str">
            <v>Uninominal</v>
          </cell>
          <cell r="L249" t="str">
            <v>-17.2641</v>
          </cell>
          <cell r="M249" t="str">
            <v>-66.7977</v>
          </cell>
          <cell r="N249" t="str">
            <v>Rural</v>
          </cell>
          <cell r="O249" t="str">
            <v>2023</v>
          </cell>
          <cell r="P249" t="str">
            <v>POINT (-66.7977 -17.2641)</v>
          </cell>
          <cell r="Q249">
            <v>5</v>
          </cell>
          <cell r="R249" t="str">
            <v>Sin Info</v>
          </cell>
        </row>
        <row r="250">
          <cell r="A250">
            <v>2024</v>
          </cell>
          <cell r="B250" t="str">
            <v>Unidad Educativa Chapisuyo AAyopaya</v>
          </cell>
          <cell r="C250" t="str">
            <v>Cochabamba</v>
          </cell>
          <cell r="D250" t="str">
            <v>Ayopaya</v>
          </cell>
          <cell r="E250" t="str">
            <v>Ayopaya</v>
          </cell>
          <cell r="F250" t="str">
            <v>Chaupisuyo  A</v>
          </cell>
          <cell r="G250" t="str">
            <v>Unidad Educativa Chapisuyo A</v>
          </cell>
          <cell r="H250" t="str">
            <v>Zona 4381</v>
          </cell>
          <cell r="I250" t="str">
            <v>Chaupisuyo A</v>
          </cell>
          <cell r="J250" t="str">
            <v>27</v>
          </cell>
          <cell r="K250" t="str">
            <v>Uninominal</v>
          </cell>
          <cell r="L250" t="str">
            <v>-17.3594</v>
          </cell>
          <cell r="M250" t="str">
            <v>-66.6299</v>
          </cell>
          <cell r="N250" t="str">
            <v>Rural</v>
          </cell>
          <cell r="O250" t="str">
            <v>2024</v>
          </cell>
          <cell r="P250" t="str">
            <v>POINT (-66.6299 -17.3594)</v>
          </cell>
          <cell r="Q250">
            <v>3</v>
          </cell>
          <cell r="R250" t="str">
            <v>Sin Info</v>
          </cell>
        </row>
        <row r="251">
          <cell r="A251">
            <v>2025</v>
          </cell>
          <cell r="B251" t="str">
            <v>U. E. CotaniAyopaya</v>
          </cell>
          <cell r="C251" t="str">
            <v>Cochabamba</v>
          </cell>
          <cell r="D251" t="str">
            <v>Ayopaya</v>
          </cell>
          <cell r="E251" t="str">
            <v>Ayopaya</v>
          </cell>
          <cell r="F251" t="str">
            <v>Cotani</v>
          </cell>
          <cell r="G251" t="str">
            <v>U. E. Cotani</v>
          </cell>
          <cell r="H251" t="str">
            <v>Zona 4381</v>
          </cell>
          <cell r="I251" t="str">
            <v>Comunidad Cotani, al sur del municipio de Independencia.</v>
          </cell>
          <cell r="J251" t="str">
            <v>27</v>
          </cell>
          <cell r="K251" t="str">
            <v>Uninominal</v>
          </cell>
          <cell r="L251" t="str">
            <v>-17.259</v>
          </cell>
          <cell r="M251" t="str">
            <v>-66.712</v>
          </cell>
          <cell r="N251" t="str">
            <v>Rural</v>
          </cell>
          <cell r="O251" t="str">
            <v>2025</v>
          </cell>
          <cell r="P251" t="str">
            <v>POINT (-66.712 -17.259)</v>
          </cell>
          <cell r="Q251">
            <v>1</v>
          </cell>
          <cell r="R251" t="str">
            <v>Sin Info</v>
          </cell>
        </row>
        <row r="252">
          <cell r="A252">
            <v>2026</v>
          </cell>
          <cell r="B252" t="str">
            <v>U. E. AscasiviAyopaya</v>
          </cell>
          <cell r="C252" t="str">
            <v>Cochabamba</v>
          </cell>
          <cell r="D252" t="str">
            <v>Ayopaya</v>
          </cell>
          <cell r="E252" t="str">
            <v>Ayopaya</v>
          </cell>
          <cell r="F252" t="str">
            <v>Ascasive Alto</v>
          </cell>
          <cell r="G252" t="str">
            <v>U. E. Ascasivi</v>
          </cell>
          <cell r="H252" t="str">
            <v>Zona 4379</v>
          </cell>
          <cell r="I252" t="str">
            <v>Comunidad Serro Blanco, Ascasive Alto, sobre camino vecinal</v>
          </cell>
          <cell r="J252" t="str">
            <v>27</v>
          </cell>
          <cell r="K252" t="str">
            <v>Uninominal</v>
          </cell>
          <cell r="L252" t="str">
            <v>-17.333</v>
          </cell>
          <cell r="M252" t="str">
            <v>-66.718</v>
          </cell>
          <cell r="N252" t="str">
            <v>Rural</v>
          </cell>
          <cell r="O252" t="str">
            <v>2026</v>
          </cell>
          <cell r="P252" t="str">
            <v>POINT (-66.718 -17.333)</v>
          </cell>
          <cell r="Q252">
            <v>1</v>
          </cell>
          <cell r="R252" t="str">
            <v>Sin Info</v>
          </cell>
        </row>
        <row r="253">
          <cell r="A253">
            <v>2027</v>
          </cell>
          <cell r="B253" t="str">
            <v>U. E. LlajmaAyopaya</v>
          </cell>
          <cell r="C253" t="str">
            <v>Cochabamba</v>
          </cell>
          <cell r="D253" t="str">
            <v>Ayopaya</v>
          </cell>
          <cell r="E253" t="str">
            <v>Ayopaya</v>
          </cell>
          <cell r="F253" t="str">
            <v>Llajma Alto Chamacoma</v>
          </cell>
          <cell r="G253" t="str">
            <v>U. E. Llajma</v>
          </cell>
          <cell r="H253" t="str">
            <v>Zona 4381</v>
          </cell>
          <cell r="I253" t="str">
            <v>Comunidad Llajma Alto Chamacoma, sobre el camino vecinal</v>
          </cell>
          <cell r="J253" t="str">
            <v>27</v>
          </cell>
          <cell r="K253" t="str">
            <v>Uninominal</v>
          </cell>
          <cell r="L253" t="str">
            <v>-17.369</v>
          </cell>
          <cell r="M253" t="str">
            <v>-66.671</v>
          </cell>
          <cell r="N253" t="str">
            <v>Rural</v>
          </cell>
          <cell r="O253" t="str">
            <v>2027</v>
          </cell>
          <cell r="P253" t="str">
            <v>POINT (-66.671 -17.369)</v>
          </cell>
          <cell r="Q253">
            <v>1</v>
          </cell>
          <cell r="R253" t="str">
            <v>Sin Info</v>
          </cell>
        </row>
        <row r="254">
          <cell r="A254">
            <v>2028</v>
          </cell>
          <cell r="B254" t="str">
            <v>U. E. Cuesta CuchuAyopaya</v>
          </cell>
          <cell r="C254" t="str">
            <v>Cochabamba</v>
          </cell>
          <cell r="D254" t="str">
            <v>Ayopaya</v>
          </cell>
          <cell r="E254" t="str">
            <v>Ayopaya</v>
          </cell>
          <cell r="F254" t="str">
            <v>Cuesta K'uchu</v>
          </cell>
          <cell r="G254" t="str">
            <v>U. E. Cuesta Cuchu</v>
          </cell>
          <cell r="H254" t="str">
            <v>Zona 4381</v>
          </cell>
          <cell r="I254" t="str">
            <v>Comunidad Cuesta K'uchu, sobre camino vecinal a Cuesta Cuchu</v>
          </cell>
          <cell r="J254" t="str">
            <v>27</v>
          </cell>
          <cell r="K254" t="str">
            <v>Uninominal</v>
          </cell>
          <cell r="L254" t="str">
            <v>-17.399</v>
          </cell>
          <cell r="M254" t="str">
            <v>-66.633</v>
          </cell>
          <cell r="N254" t="str">
            <v>Rural</v>
          </cell>
          <cell r="O254" t="str">
            <v>2028</v>
          </cell>
          <cell r="P254" t="str">
            <v>POINT (-66.633 -17.399)</v>
          </cell>
          <cell r="Q254">
            <v>1</v>
          </cell>
          <cell r="R254" t="str">
            <v>Sin Info</v>
          </cell>
        </row>
        <row r="255">
          <cell r="A255">
            <v>2029</v>
          </cell>
          <cell r="B255" t="str">
            <v>U. E. QhulayaAyopaya</v>
          </cell>
          <cell r="C255" t="str">
            <v>Cochabamba</v>
          </cell>
          <cell r="D255" t="str">
            <v>Ayopaya</v>
          </cell>
          <cell r="E255" t="str">
            <v>Ayopaya</v>
          </cell>
          <cell r="F255" t="str">
            <v>Colaya</v>
          </cell>
          <cell r="G255" t="str">
            <v>U. E. Qhulaya</v>
          </cell>
          <cell r="H255" t="str">
            <v>Zona 4379</v>
          </cell>
          <cell r="I255" t="str">
            <v>Comunidad Colaya, sobre camino vecinal</v>
          </cell>
          <cell r="J255" t="str">
            <v>27</v>
          </cell>
          <cell r="K255" t="str">
            <v>Uninominal</v>
          </cell>
          <cell r="L255" t="str">
            <v>-17.357</v>
          </cell>
          <cell r="M255" t="str">
            <v>-66.732</v>
          </cell>
          <cell r="N255" t="str">
            <v>Rural</v>
          </cell>
          <cell r="O255" t="str">
            <v>2029</v>
          </cell>
          <cell r="P255" t="str">
            <v>POINT (-66.732 -17.357)</v>
          </cell>
          <cell r="Q255">
            <v>2</v>
          </cell>
          <cell r="R255" t="str">
            <v>Sin Info</v>
          </cell>
        </row>
        <row r="256">
          <cell r="A256">
            <v>2030</v>
          </cell>
          <cell r="B256" t="str">
            <v>U. E. LirimaniAyopaya</v>
          </cell>
          <cell r="C256" t="str">
            <v>Cochabamba</v>
          </cell>
          <cell r="D256" t="str">
            <v>Ayopaya</v>
          </cell>
          <cell r="E256" t="str">
            <v>Ayopaya</v>
          </cell>
          <cell r="F256" t="str">
            <v>Lirimani</v>
          </cell>
          <cell r="G256" t="str">
            <v>U. E. Lirimani</v>
          </cell>
          <cell r="H256" t="str">
            <v>Zona 4379</v>
          </cell>
          <cell r="I256" t="str">
            <v>Comunidad Lirimani, al sur del municipio Independencia.</v>
          </cell>
          <cell r="J256" t="str">
            <v>27</v>
          </cell>
          <cell r="K256" t="str">
            <v>Uninominal</v>
          </cell>
          <cell r="L256" t="str">
            <v>-17.265</v>
          </cell>
          <cell r="M256" t="str">
            <v>-66.867</v>
          </cell>
          <cell r="N256" t="str">
            <v>Rural</v>
          </cell>
          <cell r="O256" t="str">
            <v>2030</v>
          </cell>
          <cell r="P256" t="str">
            <v>POINT (-66.867 -17.265)</v>
          </cell>
          <cell r="Q256">
            <v>1</v>
          </cell>
          <cell r="R256" t="str">
            <v>Sin Info</v>
          </cell>
        </row>
        <row r="257">
          <cell r="A257">
            <v>2031</v>
          </cell>
          <cell r="B257" t="str">
            <v>U.E. KarhuaniAyopaya</v>
          </cell>
          <cell r="C257" t="str">
            <v>Cochabamba</v>
          </cell>
          <cell r="D257" t="str">
            <v>Ayopaya</v>
          </cell>
          <cell r="E257" t="str">
            <v>Ayopaya</v>
          </cell>
          <cell r="F257" t="str">
            <v>Carhuani</v>
          </cell>
          <cell r="G257" t="str">
            <v>U.E. Karhuani</v>
          </cell>
          <cell r="H257" t="str">
            <v>Zona 4379</v>
          </cell>
          <cell r="I257" t="str">
            <v>Se encuentra al norte del municipio de Independecia comunidad Carhuani</v>
          </cell>
          <cell r="J257" t="str">
            <v>27</v>
          </cell>
          <cell r="K257" t="str">
            <v>Uninominal</v>
          </cell>
          <cell r="L257" t="str">
            <v>-16.865244</v>
          </cell>
          <cell r="M257" t="str">
            <v>-66.903511</v>
          </cell>
          <cell r="N257" t="str">
            <v>Rural</v>
          </cell>
          <cell r="O257" t="str">
            <v>2031</v>
          </cell>
          <cell r="P257" t="str">
            <v>POINT (-66.903511 -16.865244)</v>
          </cell>
          <cell r="Q257">
            <v>1</v>
          </cell>
          <cell r="R257" t="str">
            <v>Sin Info</v>
          </cell>
        </row>
        <row r="258">
          <cell r="A258">
            <v>2032</v>
          </cell>
          <cell r="B258" t="str">
            <v>U.E. Marcelo Quiroga Santa CruzAyopaya</v>
          </cell>
          <cell r="C258" t="str">
            <v>Cochabamba</v>
          </cell>
          <cell r="D258" t="str">
            <v>Ayopaya</v>
          </cell>
          <cell r="E258" t="str">
            <v>Ayopaya</v>
          </cell>
          <cell r="F258" t="str">
            <v>Comunidad Chinosive</v>
          </cell>
          <cell r="G258" t="str">
            <v>U.E. Marcelo Quiroga Santa Cruz</v>
          </cell>
          <cell r="H258" t="str">
            <v>Zona 4379</v>
          </cell>
          <cell r="I258" t="str">
            <v>Ubicado sobre la carretera principal de Cochabamba a Independencia ingreso por Pongo K’asa, cruce Tapacari, localidad Chinosive (Lip’ichi).</v>
          </cell>
          <cell r="J258" t="str">
            <v>27</v>
          </cell>
          <cell r="K258" t="str">
            <v>Uninominal</v>
          </cell>
          <cell r="L258" t="str">
            <v>-17.417968</v>
          </cell>
          <cell r="M258" t="str">
            <v>-66.787092</v>
          </cell>
          <cell r="N258" t="str">
            <v>Rural</v>
          </cell>
          <cell r="O258" t="str">
            <v>2032</v>
          </cell>
          <cell r="P258" t="str">
            <v>POINT (-66.787092 -17.417968)</v>
          </cell>
          <cell r="Q258">
            <v>10</v>
          </cell>
          <cell r="R258" t="str">
            <v>Sin Info</v>
          </cell>
        </row>
        <row r="259">
          <cell r="A259">
            <v>2033</v>
          </cell>
          <cell r="B259" t="str">
            <v>U.E. Constantino VelascoAyopaya</v>
          </cell>
          <cell r="C259" t="str">
            <v>Cochabamba</v>
          </cell>
          <cell r="D259" t="str">
            <v>Ayopaya</v>
          </cell>
          <cell r="E259" t="str">
            <v>Ayopaya</v>
          </cell>
          <cell r="F259" t="str">
            <v>Comunidad de Villa Hermosa</v>
          </cell>
          <cell r="G259" t="str">
            <v>U.E. Constantino Velasco</v>
          </cell>
          <cell r="H259" t="str">
            <v>Zona 4380</v>
          </cell>
          <cell r="I259" t="str">
            <v>Ubicado sobre la carretera principal de Cochabamba a Independencia ingreso por Pongo K’asa, cruce a Kami, localidad Villa Hermosa.</v>
          </cell>
          <cell r="J259" t="str">
            <v>27</v>
          </cell>
          <cell r="K259" t="str">
            <v>Uninominal</v>
          </cell>
          <cell r="L259" t="str">
            <v>-17.369592</v>
          </cell>
          <cell r="M259" t="str">
            <v>-66.805859</v>
          </cell>
          <cell r="N259" t="str">
            <v>Rural</v>
          </cell>
          <cell r="O259" t="str">
            <v>2033</v>
          </cell>
          <cell r="P259" t="str">
            <v>POINT (-66.805859 -17.369592)</v>
          </cell>
          <cell r="Q259">
            <v>0</v>
          </cell>
          <cell r="R259" t="str">
            <v>Sin Info</v>
          </cell>
        </row>
        <row r="260">
          <cell r="A260">
            <v>2034</v>
          </cell>
          <cell r="B260" t="str">
            <v>Escuela Mariano Baptista  MorochataMorochata</v>
          </cell>
          <cell r="C260" t="str">
            <v>Cochabamba</v>
          </cell>
          <cell r="D260" t="str">
            <v>Ayopaya</v>
          </cell>
          <cell r="E260" t="str">
            <v>Morochata</v>
          </cell>
          <cell r="F260" t="str">
            <v>Morochata</v>
          </cell>
          <cell r="G260" t="str">
            <v>Escuela Mariano Baptista  Morochata</v>
          </cell>
          <cell r="H260" t="str">
            <v>Zona 4382</v>
          </cell>
          <cell r="I260" t="str">
            <v>Morochata</v>
          </cell>
          <cell r="J260" t="str">
            <v>27</v>
          </cell>
          <cell r="K260" t="str">
            <v>Uninominal</v>
          </cell>
          <cell r="L260" t="str">
            <v>-17.2317</v>
          </cell>
          <cell r="M260" t="str">
            <v>-66.5339</v>
          </cell>
          <cell r="N260" t="str">
            <v>Rural</v>
          </cell>
          <cell r="O260" t="str">
            <v>2034</v>
          </cell>
          <cell r="P260" t="str">
            <v>POINT (-66.5339 -17.2317)</v>
          </cell>
          <cell r="Q260">
            <v>7</v>
          </cell>
          <cell r="R260" t="str">
            <v>Sin Info</v>
          </cell>
        </row>
        <row r="261">
          <cell r="A261">
            <v>2035</v>
          </cell>
          <cell r="B261" t="str">
            <v>Colegio Rene Barrientos Ortuño  PiusillaMorochata</v>
          </cell>
          <cell r="C261" t="str">
            <v>Cochabamba</v>
          </cell>
          <cell r="D261" t="str">
            <v>Ayopaya</v>
          </cell>
          <cell r="E261" t="str">
            <v>Morochata</v>
          </cell>
          <cell r="F261" t="str">
            <v>Piusillas</v>
          </cell>
          <cell r="G261" t="str">
            <v>Colegio Rene Barrientos Ortuño  Piusilla</v>
          </cell>
          <cell r="H261" t="str">
            <v>Zona 4382</v>
          </cell>
          <cell r="I261" t="str">
            <v>Piusillas</v>
          </cell>
          <cell r="J261" t="str">
            <v>27</v>
          </cell>
          <cell r="K261" t="str">
            <v>Uninominal</v>
          </cell>
          <cell r="L261" t="str">
            <v>-17.2304</v>
          </cell>
          <cell r="M261" t="str">
            <v>-66.4938</v>
          </cell>
          <cell r="N261" t="str">
            <v>Rural</v>
          </cell>
          <cell r="O261" t="str">
            <v>2035</v>
          </cell>
          <cell r="P261" t="str">
            <v>POINT (-66.4938 -17.2304)</v>
          </cell>
          <cell r="Q261">
            <v>3</v>
          </cell>
          <cell r="R261" t="str">
            <v>Sin Info</v>
          </cell>
        </row>
        <row r="262">
          <cell r="A262">
            <v>2036</v>
          </cell>
          <cell r="B262" t="str">
            <v>Escuela Gildaro Antezana RojasMorochata</v>
          </cell>
          <cell r="C262" t="str">
            <v>Cochabamba</v>
          </cell>
          <cell r="D262" t="str">
            <v>Ayopaya</v>
          </cell>
          <cell r="E262" t="str">
            <v>Morochata</v>
          </cell>
          <cell r="F262" t="str">
            <v>Chinchiri</v>
          </cell>
          <cell r="G262" t="str">
            <v>Escuela Gildaro Antezana Rojas</v>
          </cell>
          <cell r="H262" t="str">
            <v>Zona 4386</v>
          </cell>
          <cell r="I262" t="str">
            <v>Chinchiri</v>
          </cell>
          <cell r="J262" t="str">
            <v>27</v>
          </cell>
          <cell r="K262" t="str">
            <v>Uninominal</v>
          </cell>
          <cell r="L262" t="str">
            <v>-17.1844</v>
          </cell>
          <cell r="M262" t="str">
            <v>-66.6097</v>
          </cell>
          <cell r="N262" t="str">
            <v>Rural</v>
          </cell>
          <cell r="O262" t="str">
            <v>2036</v>
          </cell>
          <cell r="P262" t="str">
            <v>POINT (-66.6097 -17.1844)</v>
          </cell>
          <cell r="Q262">
            <v>4</v>
          </cell>
          <cell r="R262">
            <v>0.94283265180863096</v>
          </cell>
        </row>
        <row r="263">
          <cell r="A263">
            <v>2037</v>
          </cell>
          <cell r="B263" t="str">
            <v>Escuela Julio Espinoza Canelas PunacachiMorochata</v>
          </cell>
          <cell r="C263" t="str">
            <v>Cochabamba</v>
          </cell>
          <cell r="D263" t="str">
            <v>Ayopaya</v>
          </cell>
          <cell r="E263" t="str">
            <v>Morochata</v>
          </cell>
          <cell r="F263" t="str">
            <v>Punacachi</v>
          </cell>
          <cell r="G263" t="str">
            <v>Escuela Julio Espinoza Canelas Punacachi</v>
          </cell>
          <cell r="H263" t="str">
            <v>Zona 4384</v>
          </cell>
          <cell r="I263" t="str">
            <v>Punacachi</v>
          </cell>
          <cell r="J263" t="str">
            <v>27</v>
          </cell>
          <cell r="K263" t="str">
            <v>Uninominal</v>
          </cell>
          <cell r="L263" t="str">
            <v>-17.2512</v>
          </cell>
          <cell r="M263" t="str">
            <v>-66.6113</v>
          </cell>
          <cell r="N263" t="str">
            <v>Rural</v>
          </cell>
          <cell r="O263" t="str">
            <v>2037</v>
          </cell>
          <cell r="P263" t="str">
            <v>POINT (-66.6113 -17.2512)</v>
          </cell>
          <cell r="Q263">
            <v>4</v>
          </cell>
          <cell r="R263" t="str">
            <v>Sin Info</v>
          </cell>
        </row>
        <row r="264">
          <cell r="A264">
            <v>2038</v>
          </cell>
          <cell r="B264" t="str">
            <v>Escuela Hilarion Grageda   YayaniMorochata</v>
          </cell>
          <cell r="C264" t="str">
            <v>Cochabamba</v>
          </cell>
          <cell r="D264" t="str">
            <v>Ayopaya</v>
          </cell>
          <cell r="E264" t="str">
            <v>Morochata</v>
          </cell>
          <cell r="F264" t="str">
            <v>Yayani</v>
          </cell>
          <cell r="G264" t="str">
            <v>Escuela Hilarion Grageda   Yayani</v>
          </cell>
          <cell r="H264" t="str">
            <v>Zona 4385</v>
          </cell>
          <cell r="I264" t="str">
            <v>Yayani</v>
          </cell>
          <cell r="J264" t="str">
            <v>27</v>
          </cell>
          <cell r="K264" t="str">
            <v>Uninominal</v>
          </cell>
          <cell r="L264" t="str">
            <v>-17.2117</v>
          </cell>
          <cell r="M264" t="str">
            <v>-66.6564</v>
          </cell>
          <cell r="N264" t="str">
            <v>Rural</v>
          </cell>
          <cell r="O264" t="str">
            <v>2038</v>
          </cell>
          <cell r="P264" t="str">
            <v>POINT (-66.6564 -17.2117)</v>
          </cell>
          <cell r="Q264">
            <v>4</v>
          </cell>
          <cell r="R264" t="str">
            <v>Sin Info</v>
          </cell>
        </row>
        <row r="265">
          <cell r="A265">
            <v>2039</v>
          </cell>
          <cell r="B265" t="str">
            <v>Escuela 26 de Mayo   Chaupisuyo BMorochata</v>
          </cell>
          <cell r="C265" t="str">
            <v>Cochabamba</v>
          </cell>
          <cell r="D265" t="str">
            <v>Ayopaya</v>
          </cell>
          <cell r="E265" t="str">
            <v>Morochata</v>
          </cell>
          <cell r="F265" t="str">
            <v>Chaupisuyo  B</v>
          </cell>
          <cell r="G265" t="str">
            <v>Escuela 26 de Mayo   Chaupisuyo B</v>
          </cell>
          <cell r="H265" t="str">
            <v>Zona 4384</v>
          </cell>
          <cell r="I265" t="str">
            <v>Chaupisuyo B</v>
          </cell>
          <cell r="J265" t="str">
            <v>27</v>
          </cell>
          <cell r="K265" t="str">
            <v>Uninominal</v>
          </cell>
          <cell r="L265" t="str">
            <v>-17.3095</v>
          </cell>
          <cell r="M265" t="str">
            <v>-66.5517</v>
          </cell>
          <cell r="N265" t="str">
            <v>Rural</v>
          </cell>
          <cell r="O265" t="str">
            <v>2039</v>
          </cell>
          <cell r="P265" t="str">
            <v>POINT (-66.5517 -17.3095)</v>
          </cell>
          <cell r="Q265">
            <v>4</v>
          </cell>
          <cell r="R265" t="str">
            <v>Sin Info</v>
          </cell>
        </row>
        <row r="266">
          <cell r="A266">
            <v>2040</v>
          </cell>
          <cell r="B266" t="str">
            <v>Unidad Educativa Pucarani GrandeMorochata</v>
          </cell>
          <cell r="C266" t="str">
            <v>Cochabamba</v>
          </cell>
          <cell r="D266" t="str">
            <v>Ayopaya</v>
          </cell>
          <cell r="E266" t="str">
            <v>Morochata</v>
          </cell>
          <cell r="F266" t="str">
            <v>Pucarani Grande</v>
          </cell>
          <cell r="G266" t="str">
            <v>Unidad Educativa Pucarani Grande</v>
          </cell>
          <cell r="H266" t="str">
            <v>Zona 4387</v>
          </cell>
          <cell r="I266" t="str">
            <v>Pucarani Grande</v>
          </cell>
          <cell r="J266" t="str">
            <v>27</v>
          </cell>
          <cell r="K266" t="str">
            <v>Uninominal</v>
          </cell>
          <cell r="L266" t="str">
            <v>-17.0858</v>
          </cell>
          <cell r="M266" t="str">
            <v>-66.6624</v>
          </cell>
          <cell r="N266" t="str">
            <v>Rural</v>
          </cell>
          <cell r="O266" t="str">
            <v>2040</v>
          </cell>
          <cell r="P266" t="str">
            <v>POINT (-66.6624 -17.0858)</v>
          </cell>
          <cell r="Q266">
            <v>1</v>
          </cell>
          <cell r="R266">
            <v>0.92741935483870963</v>
          </cell>
        </row>
        <row r="267">
          <cell r="A267">
            <v>2041</v>
          </cell>
          <cell r="B267" t="str">
            <v>Unidad Educativa IglesianiMorochata</v>
          </cell>
          <cell r="C267" t="str">
            <v>Cochabamba</v>
          </cell>
          <cell r="D267" t="str">
            <v>Ayopaya</v>
          </cell>
          <cell r="E267" t="str">
            <v>Morochata</v>
          </cell>
          <cell r="F267" t="str">
            <v>Iglesiani</v>
          </cell>
          <cell r="G267" t="str">
            <v>Unidad Educativa Iglesiani</v>
          </cell>
          <cell r="H267" t="str">
            <v>Zona 4382</v>
          </cell>
          <cell r="I267" t="str">
            <v>Iglesiani</v>
          </cell>
          <cell r="J267" t="str">
            <v>27</v>
          </cell>
          <cell r="K267" t="str">
            <v>Uninominal</v>
          </cell>
          <cell r="L267" t="str">
            <v>-17.3101</v>
          </cell>
          <cell r="M267" t="str">
            <v>-66.5036</v>
          </cell>
          <cell r="N267" t="str">
            <v>Rural</v>
          </cell>
          <cell r="O267" t="str">
            <v>2041</v>
          </cell>
          <cell r="P267" t="str">
            <v>POINT (-66.5036 -17.3101)</v>
          </cell>
          <cell r="Q267">
            <v>1</v>
          </cell>
          <cell r="R267">
            <v>0.93</v>
          </cell>
        </row>
        <row r="268">
          <cell r="A268">
            <v>2042</v>
          </cell>
          <cell r="B268" t="str">
            <v>Unidad Educativa HumamarcaMorochata</v>
          </cell>
          <cell r="C268" t="str">
            <v>Cochabamba</v>
          </cell>
          <cell r="D268" t="str">
            <v>Ayopaya</v>
          </cell>
          <cell r="E268" t="str">
            <v>Morochata</v>
          </cell>
          <cell r="F268" t="str">
            <v>Humamarca</v>
          </cell>
          <cell r="G268" t="str">
            <v>Unidad Educativa Humamarca</v>
          </cell>
          <cell r="H268" t="str">
            <v>Zona 4387</v>
          </cell>
          <cell r="I268" t="str">
            <v>Comunidad de Humamarca, sobre camino vecinal</v>
          </cell>
          <cell r="J268" t="str">
            <v>27</v>
          </cell>
          <cell r="K268" t="str">
            <v>Uninominal</v>
          </cell>
          <cell r="L268" t="str">
            <v>-17.102</v>
          </cell>
          <cell r="M268" t="str">
            <v>-66.5562</v>
          </cell>
          <cell r="N268" t="str">
            <v>Rural</v>
          </cell>
          <cell r="O268" t="str">
            <v>2042</v>
          </cell>
          <cell r="P268" t="str">
            <v>POINT (-66.5562 -17.102)</v>
          </cell>
          <cell r="Q268">
            <v>2</v>
          </cell>
          <cell r="R268">
            <v>0.9062823085811591</v>
          </cell>
        </row>
        <row r="269">
          <cell r="A269">
            <v>2043</v>
          </cell>
          <cell r="B269" t="str">
            <v>U. E. Raymundo Herman PintMorochata</v>
          </cell>
          <cell r="C269" t="str">
            <v>Cochabamba</v>
          </cell>
          <cell r="D269" t="str">
            <v>Ayopaya</v>
          </cell>
          <cell r="E269" t="str">
            <v>Morochata</v>
          </cell>
          <cell r="F269" t="str">
            <v>Lachiraya</v>
          </cell>
          <cell r="G269" t="str">
            <v>U. E. Raymundo Herman Pint</v>
          </cell>
          <cell r="H269" t="str">
            <v>Zona 4382</v>
          </cell>
          <cell r="I269" t="str">
            <v>Comunidad Lachiraya, al oeste del municipio de Morochata.</v>
          </cell>
          <cell r="J269" t="str">
            <v>27</v>
          </cell>
          <cell r="K269" t="str">
            <v>Uninominal</v>
          </cell>
          <cell r="L269" t="str">
            <v>-17.20845</v>
          </cell>
          <cell r="M269" t="str">
            <v>-66.589944</v>
          </cell>
          <cell r="N269" t="str">
            <v>Rural</v>
          </cell>
          <cell r="O269" t="str">
            <v>2043</v>
          </cell>
          <cell r="P269" t="str">
            <v>POINT (-66.589944 -17.20845)</v>
          </cell>
          <cell r="Q269">
            <v>1</v>
          </cell>
          <cell r="R269">
            <v>0.95424836601307195</v>
          </cell>
        </row>
        <row r="270">
          <cell r="A270">
            <v>2044</v>
          </cell>
          <cell r="B270" t="str">
            <v>U. E. Sauce RanchoMorochata</v>
          </cell>
          <cell r="C270" t="str">
            <v>Cochabamba</v>
          </cell>
          <cell r="D270" t="str">
            <v>Ayopaya</v>
          </cell>
          <cell r="E270" t="str">
            <v>Morochata</v>
          </cell>
          <cell r="F270" t="str">
            <v>Sauce Rancho</v>
          </cell>
          <cell r="G270" t="str">
            <v>U. E. Sauce Rancho</v>
          </cell>
          <cell r="H270" t="str">
            <v>Zona 4387</v>
          </cell>
          <cell r="I270" t="str">
            <v>Comunidad Sauce Rancho, sobre el camino a Chacamayu</v>
          </cell>
          <cell r="J270" t="str">
            <v>27</v>
          </cell>
          <cell r="K270" t="str">
            <v>Uninominal</v>
          </cell>
          <cell r="L270" t="str">
            <v>-17.152</v>
          </cell>
          <cell r="M270" t="str">
            <v>-66.531</v>
          </cell>
          <cell r="N270" t="str">
            <v>Urbano</v>
          </cell>
          <cell r="O270" t="str">
            <v>2044</v>
          </cell>
          <cell r="P270" t="str">
            <v>POINT (-66.531 -17.152)</v>
          </cell>
          <cell r="Q270">
            <v>1</v>
          </cell>
          <cell r="R270">
            <v>0.99305555555555558</v>
          </cell>
        </row>
        <row r="271">
          <cell r="A271">
            <v>2045</v>
          </cell>
          <cell r="B271" t="str">
            <v>U. E. TuiruniMorochata</v>
          </cell>
          <cell r="C271" t="str">
            <v>Cochabamba</v>
          </cell>
          <cell r="D271" t="str">
            <v>Ayopaya</v>
          </cell>
          <cell r="E271" t="str">
            <v>Morochata</v>
          </cell>
          <cell r="F271" t="str">
            <v>Tuiruni Grande</v>
          </cell>
          <cell r="G271" t="str">
            <v>U. E. Tuiruni</v>
          </cell>
          <cell r="H271" t="str">
            <v>Zona 4382</v>
          </cell>
          <cell r="I271" t="str">
            <v>comunidad Tuiruni Grande, sobre camino vecinal</v>
          </cell>
          <cell r="J271" t="str">
            <v>27</v>
          </cell>
          <cell r="K271" t="str">
            <v>Uninominal</v>
          </cell>
          <cell r="L271" t="str">
            <v>-17.124252</v>
          </cell>
          <cell r="M271" t="str">
            <v>-66.609103</v>
          </cell>
          <cell r="N271" t="str">
            <v>Rural</v>
          </cell>
          <cell r="O271" t="str">
            <v>2045</v>
          </cell>
          <cell r="P271" t="str">
            <v>POINT (-66.609103 -17.124252)</v>
          </cell>
          <cell r="Q271">
            <v>1</v>
          </cell>
          <cell r="R271">
            <v>0.97641509433962259</v>
          </cell>
        </row>
        <row r="272">
          <cell r="A272">
            <v>2046</v>
          </cell>
          <cell r="B272" t="str">
            <v>Colegio Secundario CocapataCocapata</v>
          </cell>
          <cell r="C272" t="str">
            <v>Cochabamba</v>
          </cell>
          <cell r="D272" t="str">
            <v>Ayopaya</v>
          </cell>
          <cell r="E272" t="str">
            <v>Cocapata</v>
          </cell>
          <cell r="F272" t="str">
            <v>Cocapata</v>
          </cell>
          <cell r="G272" t="str">
            <v>Colegio Secundario Cocapata</v>
          </cell>
          <cell r="H272" t="str">
            <v>Zona 4392</v>
          </cell>
          <cell r="I272" t="str">
            <v>Cocapata</v>
          </cell>
          <cell r="J272" t="str">
            <v>27</v>
          </cell>
          <cell r="K272" t="str">
            <v>Uninominal</v>
          </cell>
          <cell r="L272" t="str">
            <v>-16.7972</v>
          </cell>
          <cell r="M272" t="str">
            <v>-66.6698</v>
          </cell>
          <cell r="N272" t="str">
            <v>Rural</v>
          </cell>
          <cell r="O272" t="str">
            <v>2046</v>
          </cell>
          <cell r="P272" t="str">
            <v>POINT (-66.6698 -16.7972)</v>
          </cell>
          <cell r="Q272">
            <v>2</v>
          </cell>
          <cell r="R272" t="str">
            <v>Sin Info</v>
          </cell>
        </row>
        <row r="273">
          <cell r="A273">
            <v>2047</v>
          </cell>
          <cell r="B273" t="str">
            <v>Unidad Educativa IcariCocapata</v>
          </cell>
          <cell r="C273" t="str">
            <v>Cochabamba</v>
          </cell>
          <cell r="D273" t="str">
            <v>Ayopaya</v>
          </cell>
          <cell r="E273" t="str">
            <v>Cocapata</v>
          </cell>
          <cell r="F273" t="str">
            <v>Icari</v>
          </cell>
          <cell r="G273" t="str">
            <v>Unidad Educativa Icari</v>
          </cell>
          <cell r="H273" t="str">
            <v>Zona 4393</v>
          </cell>
          <cell r="I273" t="str">
            <v>Icari</v>
          </cell>
          <cell r="J273" t="str">
            <v>27</v>
          </cell>
          <cell r="K273" t="str">
            <v>Uninominal</v>
          </cell>
          <cell r="L273" t="str">
            <v>-17.0204</v>
          </cell>
          <cell r="M273" t="str">
            <v>-66.3422</v>
          </cell>
          <cell r="N273" t="str">
            <v>Rural</v>
          </cell>
          <cell r="O273" t="str">
            <v>2047</v>
          </cell>
          <cell r="P273" t="str">
            <v>POINT (-66.3422 -17.0204)</v>
          </cell>
          <cell r="Q273">
            <v>2</v>
          </cell>
          <cell r="R273" t="str">
            <v>Sin Info</v>
          </cell>
        </row>
        <row r="274">
          <cell r="A274">
            <v>2048</v>
          </cell>
          <cell r="B274" t="str">
            <v>Sede Sub   Central ViscachasCocapata</v>
          </cell>
          <cell r="C274" t="str">
            <v>Cochabamba</v>
          </cell>
          <cell r="D274" t="str">
            <v>Ayopaya</v>
          </cell>
          <cell r="E274" t="str">
            <v>Cocapata</v>
          </cell>
          <cell r="F274" t="str">
            <v>Viscachas</v>
          </cell>
          <cell r="G274" t="str">
            <v>Sede Sub   Central Viscachas</v>
          </cell>
          <cell r="H274" t="str">
            <v>Zona 4393</v>
          </cell>
          <cell r="I274" t="str">
            <v>Viscachas</v>
          </cell>
          <cell r="J274" t="str">
            <v>27</v>
          </cell>
          <cell r="K274" t="str">
            <v>Uninominal</v>
          </cell>
          <cell r="L274" t="str">
            <v>-17.1074</v>
          </cell>
          <cell r="M274" t="str">
            <v>-66.4576</v>
          </cell>
          <cell r="N274" t="str">
            <v>Urbano</v>
          </cell>
          <cell r="O274" t="str">
            <v>2048</v>
          </cell>
          <cell r="P274" t="str">
            <v>POINT (-66.4576 -17.1074)</v>
          </cell>
          <cell r="Q274">
            <v>1</v>
          </cell>
          <cell r="R274" t="str">
            <v>Sin Info</v>
          </cell>
        </row>
        <row r="275">
          <cell r="A275">
            <v>2049</v>
          </cell>
          <cell r="B275" t="str">
            <v>Escuela Pedro Domingo Murillo  CalientesCocapata</v>
          </cell>
          <cell r="C275" t="str">
            <v>Cochabamba</v>
          </cell>
          <cell r="D275" t="str">
            <v>Ayopaya</v>
          </cell>
          <cell r="E275" t="str">
            <v>Cocapata</v>
          </cell>
          <cell r="F275" t="str">
            <v>Calientes</v>
          </cell>
          <cell r="G275" t="str">
            <v>Escuela Pedro Domingo Murillo  Calientes</v>
          </cell>
          <cell r="H275" t="str">
            <v>Zona 4393</v>
          </cell>
          <cell r="I275" t="str">
            <v>Calientes</v>
          </cell>
          <cell r="J275" t="str">
            <v>27</v>
          </cell>
          <cell r="K275" t="str">
            <v>Uninominal</v>
          </cell>
          <cell r="L275" t="str">
            <v>-17.0123</v>
          </cell>
          <cell r="M275" t="str">
            <v>-66.5527</v>
          </cell>
          <cell r="N275" t="str">
            <v>Rural</v>
          </cell>
          <cell r="O275" t="str">
            <v>2049</v>
          </cell>
          <cell r="P275" t="str">
            <v>POINT (-66.5527 -17.0123)</v>
          </cell>
          <cell r="Q275">
            <v>3</v>
          </cell>
          <cell r="R275" t="str">
            <v>Sin Info</v>
          </cell>
        </row>
        <row r="276">
          <cell r="A276">
            <v>2050</v>
          </cell>
          <cell r="B276" t="str">
            <v>Escuela 15 de Febrero (El Choro)Cocapata</v>
          </cell>
          <cell r="C276" t="str">
            <v>Cochabamba</v>
          </cell>
          <cell r="D276" t="str">
            <v>Ayopaya</v>
          </cell>
          <cell r="E276" t="str">
            <v>Cocapata</v>
          </cell>
          <cell r="F276" t="str">
            <v>El Choro</v>
          </cell>
          <cell r="G276" t="str">
            <v>Escuela 15 de Febrero (El Choro)</v>
          </cell>
          <cell r="H276" t="str">
            <v>Zona 4402</v>
          </cell>
          <cell r="I276" t="str">
            <v>El Choro</v>
          </cell>
          <cell r="J276" t="str">
            <v>27</v>
          </cell>
          <cell r="K276" t="str">
            <v>Uninominal</v>
          </cell>
          <cell r="L276" t="str">
            <v>-16.7941</v>
          </cell>
          <cell r="M276" t="str">
            <v>-66.6511</v>
          </cell>
          <cell r="N276" t="str">
            <v>Rural</v>
          </cell>
          <cell r="O276" t="str">
            <v>2050</v>
          </cell>
          <cell r="P276" t="str">
            <v>POINT (-66.6511 -16.7941)</v>
          </cell>
          <cell r="Q276">
            <v>4</v>
          </cell>
          <cell r="R276" t="str">
            <v>Sin Info</v>
          </cell>
        </row>
        <row r="277">
          <cell r="A277">
            <v>2051</v>
          </cell>
          <cell r="B277" t="str">
            <v>U.E. TunariCocapata</v>
          </cell>
          <cell r="C277" t="str">
            <v>Cochabamba</v>
          </cell>
          <cell r="D277" t="str">
            <v>Ayopaya</v>
          </cell>
          <cell r="E277" t="str">
            <v>Cocapata</v>
          </cell>
          <cell r="F277" t="str">
            <v>Tunari</v>
          </cell>
          <cell r="G277" t="str">
            <v>U.E. Tunari</v>
          </cell>
          <cell r="H277" t="str">
            <v>Zona 4393</v>
          </cell>
          <cell r="I277" t="str">
            <v>Comunidad Tunari</v>
          </cell>
          <cell r="J277" t="str">
            <v>27</v>
          </cell>
          <cell r="K277" t="str">
            <v>Uninominal</v>
          </cell>
          <cell r="L277" t="str">
            <v>-16.932606</v>
          </cell>
          <cell r="M277" t="str">
            <v>-66.739353</v>
          </cell>
          <cell r="N277" t="str">
            <v>Rural</v>
          </cell>
          <cell r="O277" t="str">
            <v>2051</v>
          </cell>
          <cell r="P277" t="str">
            <v>POINT (-66.739353 -16.932606)</v>
          </cell>
          <cell r="Q277">
            <v>3</v>
          </cell>
          <cell r="R277" t="str">
            <v>Sin Info</v>
          </cell>
        </row>
        <row r="278">
          <cell r="A278">
            <v>2052</v>
          </cell>
          <cell r="B278" t="str">
            <v>Escuela Oscar Alfaro   Villa VintoCocapata</v>
          </cell>
          <cell r="C278" t="str">
            <v>Cochabamba</v>
          </cell>
          <cell r="D278" t="str">
            <v>Ayopaya</v>
          </cell>
          <cell r="E278" t="str">
            <v>Cocapata</v>
          </cell>
          <cell r="F278" t="str">
            <v>Villa Vinto</v>
          </cell>
          <cell r="G278" t="str">
            <v>Escuela Oscar Alfaro   Villa Vinto</v>
          </cell>
          <cell r="H278" t="str">
            <v>Zona 4397</v>
          </cell>
          <cell r="I278" t="str">
            <v>Villa Vinto</v>
          </cell>
          <cell r="J278" t="str">
            <v>27</v>
          </cell>
          <cell r="K278" t="str">
            <v>Uninominal</v>
          </cell>
          <cell r="L278" t="str">
            <v>-16.8468</v>
          </cell>
          <cell r="M278" t="str">
            <v>-66.4675</v>
          </cell>
          <cell r="N278" t="str">
            <v>Rural</v>
          </cell>
          <cell r="O278" t="str">
            <v>2052</v>
          </cell>
          <cell r="P278" t="str">
            <v>POINT (-66.4675 -16.8468)</v>
          </cell>
          <cell r="Q278">
            <v>4</v>
          </cell>
          <cell r="R278" t="str">
            <v>Sin Info</v>
          </cell>
        </row>
        <row r="279">
          <cell r="A279">
            <v>2053</v>
          </cell>
          <cell r="B279" t="str">
            <v>Nucleo German Busch (Chillavi)Cocapata</v>
          </cell>
          <cell r="C279" t="str">
            <v>Cochabamba</v>
          </cell>
          <cell r="D279" t="str">
            <v>Ayopaya</v>
          </cell>
          <cell r="E279" t="str">
            <v>Cocapata</v>
          </cell>
          <cell r="F279" t="str">
            <v>Chillavi</v>
          </cell>
          <cell r="G279" t="str">
            <v>Nucleo German Busch (Chillavi)</v>
          </cell>
          <cell r="H279" t="str">
            <v>Zona 4393</v>
          </cell>
          <cell r="I279" t="str">
            <v>Chillavi</v>
          </cell>
          <cell r="J279" t="str">
            <v>27</v>
          </cell>
          <cell r="K279" t="str">
            <v>Uninominal</v>
          </cell>
          <cell r="L279" t="str">
            <v>-16.8523</v>
          </cell>
          <cell r="M279" t="str">
            <v>-66.5988</v>
          </cell>
          <cell r="N279" t="str">
            <v>Rural</v>
          </cell>
          <cell r="O279" t="str">
            <v>2053</v>
          </cell>
          <cell r="P279" t="str">
            <v>POINT (-66.5988 -16.8523)</v>
          </cell>
          <cell r="Q279">
            <v>1</v>
          </cell>
          <cell r="R279" t="str">
            <v>Sin Info</v>
          </cell>
        </row>
        <row r="280">
          <cell r="A280">
            <v>2054</v>
          </cell>
          <cell r="B280" t="str">
            <v>Escuela Choquecamata (Falsuri)Cocapata</v>
          </cell>
          <cell r="C280" t="str">
            <v>Cochabamba</v>
          </cell>
          <cell r="D280" t="str">
            <v>Ayopaya</v>
          </cell>
          <cell r="E280" t="str">
            <v>Cocapata</v>
          </cell>
          <cell r="F280" t="str">
            <v>Falsuri</v>
          </cell>
          <cell r="G280" t="str">
            <v>Escuela Choquecamata (Falsuri)</v>
          </cell>
          <cell r="H280" t="str">
            <v>Zona 4391</v>
          </cell>
          <cell r="I280" t="str">
            <v>Falsuri</v>
          </cell>
          <cell r="J280" t="str">
            <v>27</v>
          </cell>
          <cell r="K280" t="str">
            <v>Uninominal</v>
          </cell>
          <cell r="L280" t="str">
            <v>-16.8387</v>
          </cell>
          <cell r="M280" t="str">
            <v>-66.6307</v>
          </cell>
          <cell r="N280" t="str">
            <v>Rural</v>
          </cell>
          <cell r="O280" t="str">
            <v>2054</v>
          </cell>
          <cell r="P280" t="str">
            <v>POINT (-66.6307 -16.8387)</v>
          </cell>
          <cell r="Q280">
            <v>2</v>
          </cell>
          <cell r="R280" t="str">
            <v>Sin Info</v>
          </cell>
        </row>
        <row r="281">
          <cell r="A281">
            <v>2055</v>
          </cell>
          <cell r="B281" t="str">
            <v>Nucleo Escolar Pedro Laime ChuspiCocapata</v>
          </cell>
          <cell r="C281" t="str">
            <v>Cochabamba</v>
          </cell>
          <cell r="D281" t="str">
            <v>Ayopaya</v>
          </cell>
          <cell r="E281" t="str">
            <v>Cocapata</v>
          </cell>
          <cell r="F281" t="str">
            <v>Rinconada</v>
          </cell>
          <cell r="G281" t="str">
            <v>Nucleo Escolar Pedro Laime Chuspi</v>
          </cell>
          <cell r="H281" t="str">
            <v>Zona 4393</v>
          </cell>
          <cell r="I281" t="str">
            <v>Rinconada</v>
          </cell>
          <cell r="J281" t="str">
            <v>27</v>
          </cell>
          <cell r="K281" t="str">
            <v>Uninominal</v>
          </cell>
          <cell r="L281" t="str">
            <v>-16.8596</v>
          </cell>
          <cell r="M281" t="str">
            <v>-66.6773</v>
          </cell>
          <cell r="N281" t="str">
            <v>Rural</v>
          </cell>
          <cell r="O281" t="str">
            <v>2055</v>
          </cell>
          <cell r="P281" t="str">
            <v>POINT (-66.6773 -16.8596)</v>
          </cell>
          <cell r="Q281">
            <v>2</v>
          </cell>
          <cell r="R281" t="str">
            <v>Sin Info</v>
          </cell>
        </row>
        <row r="282">
          <cell r="A282">
            <v>2056</v>
          </cell>
          <cell r="B282" t="str">
            <v>Unidad Educativa ChiarajeCocapata</v>
          </cell>
          <cell r="C282" t="str">
            <v>Cochabamba</v>
          </cell>
          <cell r="D282" t="str">
            <v>Ayopaya</v>
          </cell>
          <cell r="E282" t="str">
            <v>Cocapata</v>
          </cell>
          <cell r="F282" t="str">
            <v>Chiaraje</v>
          </cell>
          <cell r="G282" t="str">
            <v>Unidad Educativa Chiaraje</v>
          </cell>
          <cell r="H282" t="str">
            <v>Zona 4393</v>
          </cell>
          <cell r="I282" t="str">
            <v>Chiaraje</v>
          </cell>
          <cell r="J282" t="str">
            <v>27</v>
          </cell>
          <cell r="K282" t="str">
            <v>Uninominal</v>
          </cell>
          <cell r="L282" t="str">
            <v>-17.0523</v>
          </cell>
          <cell r="M282" t="str">
            <v>-66.3867</v>
          </cell>
          <cell r="N282" t="str">
            <v>Rural</v>
          </cell>
          <cell r="O282" t="str">
            <v>2056</v>
          </cell>
          <cell r="P282" t="str">
            <v>POINT (-66.3867 -17.0523)</v>
          </cell>
          <cell r="Q282">
            <v>1</v>
          </cell>
          <cell r="R282" t="str">
            <v>Sin Info</v>
          </cell>
        </row>
        <row r="283">
          <cell r="A283">
            <v>2057</v>
          </cell>
          <cell r="B283" t="str">
            <v>Escuela Seccional MachacaymaCocapata</v>
          </cell>
          <cell r="C283" t="str">
            <v>Cochabamba</v>
          </cell>
          <cell r="D283" t="str">
            <v>Ayopaya</v>
          </cell>
          <cell r="E283" t="str">
            <v>Cocapata</v>
          </cell>
          <cell r="F283" t="str">
            <v>Machacayma</v>
          </cell>
          <cell r="G283" t="str">
            <v>Escuela Seccional Machacayma</v>
          </cell>
          <cell r="H283" t="str">
            <v>Zona 4397</v>
          </cell>
          <cell r="I283" t="str">
            <v>Machacayma</v>
          </cell>
          <cell r="J283" t="str">
            <v>27</v>
          </cell>
          <cell r="K283" t="str">
            <v>Uninominal</v>
          </cell>
          <cell r="L283" t="str">
            <v>-16.9002</v>
          </cell>
          <cell r="M283" t="str">
            <v>-66.4086</v>
          </cell>
          <cell r="N283" t="str">
            <v>Rural</v>
          </cell>
          <cell r="O283" t="str">
            <v>2057</v>
          </cell>
          <cell r="P283" t="str">
            <v>POINT (-66.4086 -16.9002)</v>
          </cell>
          <cell r="Q283">
            <v>5</v>
          </cell>
          <cell r="R283" t="str">
            <v>Sin Info</v>
          </cell>
        </row>
        <row r="284">
          <cell r="A284">
            <v>2058</v>
          </cell>
          <cell r="B284" t="str">
            <v>Unidad Educativa MaravillasCocapata</v>
          </cell>
          <cell r="C284" t="str">
            <v>Cochabamba</v>
          </cell>
          <cell r="D284" t="str">
            <v>Ayopaya</v>
          </cell>
          <cell r="E284" t="str">
            <v>Cocapata</v>
          </cell>
          <cell r="F284" t="str">
            <v>Maravillas</v>
          </cell>
          <cell r="G284" t="str">
            <v>Unidad Educativa Maravillas</v>
          </cell>
          <cell r="H284" t="str">
            <v>Zona 4395</v>
          </cell>
          <cell r="I284" t="str">
            <v>Maravillas</v>
          </cell>
          <cell r="J284" t="str">
            <v>27</v>
          </cell>
          <cell r="K284" t="str">
            <v>Uninominal</v>
          </cell>
          <cell r="L284" t="str">
            <v>-16.6008</v>
          </cell>
          <cell r="M284" t="str">
            <v>-66.7146</v>
          </cell>
          <cell r="N284" t="str">
            <v>Rural</v>
          </cell>
          <cell r="O284" t="str">
            <v>2058</v>
          </cell>
          <cell r="P284" t="str">
            <v>POINT (-66.7146 -16.6008)</v>
          </cell>
          <cell r="Q284">
            <v>2</v>
          </cell>
          <cell r="R284" t="str">
            <v>Sin Info</v>
          </cell>
        </row>
        <row r="285">
          <cell r="A285">
            <v>2059</v>
          </cell>
          <cell r="B285" t="str">
            <v>Unidad Educativa El ChoritoCocapata</v>
          </cell>
          <cell r="C285" t="str">
            <v>Cochabamba</v>
          </cell>
          <cell r="D285" t="str">
            <v>Ayopaya</v>
          </cell>
          <cell r="E285" t="str">
            <v>Cocapata</v>
          </cell>
          <cell r="F285" t="str">
            <v>El Chorito</v>
          </cell>
          <cell r="G285" t="str">
            <v>Unidad Educativa El Chorito</v>
          </cell>
          <cell r="H285" t="str">
            <v>Zona 4393</v>
          </cell>
          <cell r="I285" t="str">
            <v>El Chorito</v>
          </cell>
          <cell r="J285" t="str">
            <v>27</v>
          </cell>
          <cell r="K285" t="str">
            <v>Uninominal</v>
          </cell>
          <cell r="L285" t="str">
            <v>-16.9428</v>
          </cell>
          <cell r="M285" t="str">
            <v>-66.6049</v>
          </cell>
          <cell r="N285" t="str">
            <v>Rural</v>
          </cell>
          <cell r="O285" t="str">
            <v>2059</v>
          </cell>
          <cell r="P285" t="str">
            <v>POINT (-66.6049 -16.9428)</v>
          </cell>
          <cell r="Q285">
            <v>1</v>
          </cell>
          <cell r="R285" t="str">
            <v>Sin Info</v>
          </cell>
        </row>
        <row r="286">
          <cell r="A286">
            <v>2060</v>
          </cell>
          <cell r="B286" t="str">
            <v>Unidad Educativa ColoradoCocapata</v>
          </cell>
          <cell r="C286" t="str">
            <v>Cochabamba</v>
          </cell>
          <cell r="D286" t="str">
            <v>Ayopaya</v>
          </cell>
          <cell r="E286" t="str">
            <v>Cocapata</v>
          </cell>
          <cell r="F286" t="str">
            <v>Colorado</v>
          </cell>
          <cell r="G286" t="str">
            <v>Unidad Educativa Colorado</v>
          </cell>
          <cell r="H286" t="str">
            <v>Zona 4399</v>
          </cell>
          <cell r="I286" t="str">
            <v>Colorado</v>
          </cell>
          <cell r="J286" t="str">
            <v>27</v>
          </cell>
          <cell r="K286" t="str">
            <v>Uninominal</v>
          </cell>
          <cell r="L286" t="str">
            <v>-15.8841</v>
          </cell>
          <cell r="M286" t="str">
            <v>-66.8797</v>
          </cell>
          <cell r="N286" t="str">
            <v>Rural</v>
          </cell>
          <cell r="O286" t="str">
            <v>2060</v>
          </cell>
          <cell r="P286" t="str">
            <v>POINT (-66.8797 -15.8841)</v>
          </cell>
          <cell r="Q286">
            <v>2</v>
          </cell>
          <cell r="R286" t="str">
            <v>Sin Info</v>
          </cell>
        </row>
        <row r="287">
          <cell r="A287">
            <v>2061</v>
          </cell>
          <cell r="B287" t="str">
            <v>Unidad Educativa TotoraniCocapata</v>
          </cell>
          <cell r="C287" t="str">
            <v>Cochabamba</v>
          </cell>
          <cell r="D287" t="str">
            <v>Ayopaya</v>
          </cell>
          <cell r="E287" t="str">
            <v>Cocapata</v>
          </cell>
          <cell r="F287" t="str">
            <v>Totorani</v>
          </cell>
          <cell r="G287" t="str">
            <v>Unidad Educativa Totorani</v>
          </cell>
          <cell r="H287" t="str">
            <v>Zona 4393</v>
          </cell>
          <cell r="I287" t="str">
            <v>Totorani</v>
          </cell>
          <cell r="J287" t="str">
            <v>27</v>
          </cell>
          <cell r="K287" t="str">
            <v>Uninominal</v>
          </cell>
          <cell r="L287" t="str">
            <v>-17.0137</v>
          </cell>
          <cell r="M287" t="str">
            <v>-66.3917</v>
          </cell>
          <cell r="N287" t="str">
            <v>Rural</v>
          </cell>
          <cell r="O287" t="str">
            <v>2061</v>
          </cell>
          <cell r="P287" t="str">
            <v>POINT (-66.3917 -17.0137)</v>
          </cell>
          <cell r="Q287">
            <v>3</v>
          </cell>
          <cell r="R287" t="str">
            <v>Sin Info</v>
          </cell>
        </row>
        <row r="288">
          <cell r="A288">
            <v>2062</v>
          </cell>
          <cell r="B288" t="str">
            <v>U.E. Seque RanchoCocapata</v>
          </cell>
          <cell r="C288" t="str">
            <v>Cochabamba</v>
          </cell>
          <cell r="D288" t="str">
            <v>Ayopaya</v>
          </cell>
          <cell r="E288" t="str">
            <v>Cocapata</v>
          </cell>
          <cell r="F288" t="str">
            <v>Sequerancho</v>
          </cell>
          <cell r="G288" t="str">
            <v>U.E. Seque Rancho</v>
          </cell>
          <cell r="H288" t="str">
            <v>Zona 4396</v>
          </cell>
          <cell r="I288" t="str">
            <v>Comunidad Sequerancho</v>
          </cell>
          <cell r="J288" t="str">
            <v>27</v>
          </cell>
          <cell r="K288" t="str">
            <v>Uninominal</v>
          </cell>
          <cell r="L288" t="str">
            <v>-16.4755</v>
          </cell>
          <cell r="M288" t="str">
            <v>-66.7842</v>
          </cell>
          <cell r="N288" t="str">
            <v>Urbano</v>
          </cell>
          <cell r="O288" t="str">
            <v>2062</v>
          </cell>
          <cell r="P288" t="str">
            <v>POINT (-66.7842 -16.4755)</v>
          </cell>
          <cell r="Q288">
            <v>2</v>
          </cell>
          <cell r="R288" t="str">
            <v>Sin Info</v>
          </cell>
        </row>
        <row r="289">
          <cell r="A289">
            <v>2063</v>
          </cell>
          <cell r="B289" t="str">
            <v>U.E. TocoraniCocapata</v>
          </cell>
          <cell r="C289" t="str">
            <v>Cochabamba</v>
          </cell>
          <cell r="D289" t="str">
            <v>Ayopaya</v>
          </cell>
          <cell r="E289" t="str">
            <v>Cocapata</v>
          </cell>
          <cell r="F289" t="str">
            <v>Tocorani</v>
          </cell>
          <cell r="G289" t="str">
            <v>U.E. Tocorani</v>
          </cell>
          <cell r="H289" t="str">
            <v>Zona 4397</v>
          </cell>
          <cell r="I289" t="str">
            <v>Comunidad Tocorani</v>
          </cell>
          <cell r="J289" t="str">
            <v>27</v>
          </cell>
          <cell r="K289" t="str">
            <v>Uninominal</v>
          </cell>
          <cell r="L289" t="str">
            <v>-16.73331</v>
          </cell>
          <cell r="M289" t="str">
            <v>-66.544416</v>
          </cell>
          <cell r="N289" t="str">
            <v>Urbano</v>
          </cell>
          <cell r="O289" t="str">
            <v>2063</v>
          </cell>
          <cell r="P289" t="str">
            <v>POINT (-66.544416 -16.73331)</v>
          </cell>
          <cell r="Q289">
            <v>2</v>
          </cell>
          <cell r="R289" t="str">
            <v>Sin Info</v>
          </cell>
        </row>
        <row r="290">
          <cell r="A290">
            <v>2064</v>
          </cell>
          <cell r="B290" t="str">
            <v>U.E. Muñoz CuevaCocapata</v>
          </cell>
          <cell r="C290" t="str">
            <v>Cochabamba</v>
          </cell>
          <cell r="D290" t="str">
            <v>Ayopaya</v>
          </cell>
          <cell r="E290" t="str">
            <v>Cocapata</v>
          </cell>
          <cell r="F290" t="str">
            <v>Muñoz Cueva</v>
          </cell>
          <cell r="G290" t="str">
            <v>U.E. Muñoz Cueva</v>
          </cell>
          <cell r="H290" t="str">
            <v>Zona 4397</v>
          </cell>
          <cell r="I290" t="str">
            <v>Sindicato Muñoz Cueva</v>
          </cell>
          <cell r="J290" t="str">
            <v>27</v>
          </cell>
          <cell r="K290" t="str">
            <v>Uninominal</v>
          </cell>
          <cell r="L290" t="str">
            <v>-16.84187</v>
          </cell>
          <cell r="M290" t="str">
            <v>-66.519857</v>
          </cell>
          <cell r="N290" t="str">
            <v>Urbano</v>
          </cell>
          <cell r="O290" t="str">
            <v>2064</v>
          </cell>
          <cell r="P290" t="str">
            <v>POINT (-66.519857 -16.84187)</v>
          </cell>
          <cell r="Q290">
            <v>2</v>
          </cell>
          <cell r="R290" t="str">
            <v>Sin Info</v>
          </cell>
        </row>
        <row r="291">
          <cell r="A291">
            <v>2065</v>
          </cell>
          <cell r="B291" t="str">
            <v>U.E. Juan ArrutiaCocapata</v>
          </cell>
          <cell r="C291" t="str">
            <v>Cochabamba</v>
          </cell>
          <cell r="D291" t="str">
            <v>Ayopaya</v>
          </cell>
          <cell r="E291" t="str">
            <v>Cocapata</v>
          </cell>
          <cell r="F291" t="str">
            <v>La aguada</v>
          </cell>
          <cell r="G291" t="str">
            <v>U.E. Juan Arrutia</v>
          </cell>
          <cell r="H291" t="str">
            <v>Zona 4393</v>
          </cell>
          <cell r="I291" t="str">
            <v>Sindicato Agrario Campesino La Aguada  al sur del municipio de Cocapata</v>
          </cell>
          <cell r="J291" t="str">
            <v>27</v>
          </cell>
          <cell r="K291" t="str">
            <v>Uninominal</v>
          </cell>
          <cell r="L291" t="str">
            <v>-16.994075</v>
          </cell>
          <cell r="M291" t="str">
            <v>-66.688506</v>
          </cell>
          <cell r="N291" t="str">
            <v>Rural</v>
          </cell>
          <cell r="O291" t="str">
            <v>2065</v>
          </cell>
          <cell r="P291" t="str">
            <v>POINT (-66.688506 -16.994075)</v>
          </cell>
          <cell r="Q291">
            <v>1</v>
          </cell>
          <cell r="R291" t="str">
            <v>Sin Info</v>
          </cell>
        </row>
        <row r="292">
          <cell r="A292">
            <v>2066</v>
          </cell>
          <cell r="B292" t="str">
            <v>U.E. LagunillasCocapata</v>
          </cell>
          <cell r="C292" t="str">
            <v>Cochabamba</v>
          </cell>
          <cell r="D292" t="str">
            <v>Ayopaya</v>
          </cell>
          <cell r="E292" t="str">
            <v>Cocapata</v>
          </cell>
          <cell r="F292" t="str">
            <v>Lagunillas</v>
          </cell>
          <cell r="G292" t="str">
            <v>U.E. Lagunillas</v>
          </cell>
          <cell r="H292" t="str">
            <v>Zona 4401</v>
          </cell>
          <cell r="I292" t="str">
            <v>NorEste de la Capital del Municipio de Cocapata.</v>
          </cell>
          <cell r="J292" t="str">
            <v>27</v>
          </cell>
          <cell r="K292" t="str">
            <v>Uninominal</v>
          </cell>
          <cell r="L292" t="str">
            <v>-16.711164</v>
          </cell>
          <cell r="M292" t="str">
            <v>-66.587475</v>
          </cell>
          <cell r="N292" t="str">
            <v>Rural</v>
          </cell>
          <cell r="O292" t="str">
            <v>2066</v>
          </cell>
          <cell r="P292" t="str">
            <v>POINT (-66.587475 -16.711164)</v>
          </cell>
          <cell r="Q292">
            <v>1</v>
          </cell>
          <cell r="R292" t="str">
            <v>Sin Info</v>
          </cell>
        </row>
        <row r="293">
          <cell r="A293">
            <v>2067</v>
          </cell>
          <cell r="B293" t="str">
            <v>U.E. HuajchamayuCocapata</v>
          </cell>
          <cell r="C293" t="str">
            <v>Cochabamba</v>
          </cell>
          <cell r="D293" t="str">
            <v>Ayopaya</v>
          </cell>
          <cell r="E293" t="str">
            <v>Cocapata</v>
          </cell>
          <cell r="F293" t="str">
            <v>Huajchamayu</v>
          </cell>
          <cell r="G293" t="str">
            <v>U.E. Huajchamayu</v>
          </cell>
          <cell r="H293" t="str">
            <v>Zona 4401</v>
          </cell>
          <cell r="I293" t="str">
            <v>Huajchamayu camino a Lagunillas</v>
          </cell>
          <cell r="J293" t="str">
            <v>27</v>
          </cell>
          <cell r="K293" t="str">
            <v>Uninominal</v>
          </cell>
          <cell r="L293" t="str">
            <v>-16.775708</v>
          </cell>
          <cell r="M293" t="str">
            <v>-66.609447</v>
          </cell>
          <cell r="N293" t="str">
            <v>Rural</v>
          </cell>
          <cell r="O293" t="str">
            <v>2067</v>
          </cell>
          <cell r="P293" t="str">
            <v>POINT (-66.609447 -16.775708)</v>
          </cell>
          <cell r="Q293">
            <v>1</v>
          </cell>
          <cell r="R293" t="str">
            <v>Sin Info</v>
          </cell>
        </row>
        <row r="294">
          <cell r="A294">
            <v>2068</v>
          </cell>
          <cell r="B294" t="str">
            <v>Colegio My. Victor UstarizTarata</v>
          </cell>
          <cell r="C294" t="str">
            <v>Cochabamba</v>
          </cell>
          <cell r="D294" t="str">
            <v>Esteban Arze</v>
          </cell>
          <cell r="E294" t="str">
            <v>Tarata</v>
          </cell>
          <cell r="F294" t="str">
            <v>Tarata</v>
          </cell>
          <cell r="G294" t="str">
            <v>Colegio My. Victor Ustariz</v>
          </cell>
          <cell r="H294" t="str">
            <v>Zona 4407</v>
          </cell>
          <cell r="I294" t="str">
            <v>Tarata</v>
          </cell>
          <cell r="J294" t="str">
            <v>26</v>
          </cell>
          <cell r="K294" t="str">
            <v>Uninominal</v>
          </cell>
          <cell r="L294" t="str">
            <v>-17.6089</v>
          </cell>
          <cell r="M294" t="str">
            <v>-66.0244</v>
          </cell>
          <cell r="N294" t="str">
            <v>Rural</v>
          </cell>
          <cell r="O294" t="str">
            <v>2068</v>
          </cell>
          <cell r="P294" t="str">
            <v>POINT (-66.0244 -17.6089)</v>
          </cell>
          <cell r="Q294">
            <v>12</v>
          </cell>
          <cell r="R294">
            <v>0.72568794967833983</v>
          </cell>
        </row>
        <row r="295">
          <cell r="A295">
            <v>2069</v>
          </cell>
          <cell r="B295" t="str">
            <v>Escuela Rene Barrientos O.Tarata</v>
          </cell>
          <cell r="C295" t="str">
            <v>Cochabamba</v>
          </cell>
          <cell r="D295" t="str">
            <v>Esteban Arze</v>
          </cell>
          <cell r="E295" t="str">
            <v>Tarata</v>
          </cell>
          <cell r="F295" t="str">
            <v>Tarata</v>
          </cell>
          <cell r="G295" t="str">
            <v>Escuela Rene Barrientos O.</v>
          </cell>
          <cell r="H295" t="str">
            <v>Zona 4407</v>
          </cell>
          <cell r="I295" t="str">
            <v>Tarata</v>
          </cell>
          <cell r="J295" t="str">
            <v>26</v>
          </cell>
          <cell r="K295" t="str">
            <v>Uninominal</v>
          </cell>
          <cell r="L295" t="str">
            <v>-17.6132</v>
          </cell>
          <cell r="M295" t="str">
            <v>-66.024</v>
          </cell>
          <cell r="N295" t="str">
            <v>Urbano</v>
          </cell>
          <cell r="O295" t="str">
            <v>2069</v>
          </cell>
          <cell r="P295" t="str">
            <v>POINT (-66.024 -17.6132)</v>
          </cell>
          <cell r="Q295">
            <v>7</v>
          </cell>
          <cell r="R295">
            <v>0.73414568795936885</v>
          </cell>
        </row>
        <row r="296">
          <cell r="A296">
            <v>2070</v>
          </cell>
          <cell r="B296" t="str">
            <v>Escuela Esteban ArzeTarata</v>
          </cell>
          <cell r="C296" t="str">
            <v>Cochabamba</v>
          </cell>
          <cell r="D296" t="str">
            <v>Esteban Arze</v>
          </cell>
          <cell r="E296" t="str">
            <v>Tarata</v>
          </cell>
          <cell r="F296" t="str">
            <v>Tarata</v>
          </cell>
          <cell r="G296" t="str">
            <v>Escuela Esteban Arze</v>
          </cell>
          <cell r="H296" t="str">
            <v>Zona 4407</v>
          </cell>
          <cell r="I296" t="str">
            <v>Tarata</v>
          </cell>
          <cell r="J296" t="str">
            <v>26</v>
          </cell>
          <cell r="K296" t="str">
            <v>Uninominal</v>
          </cell>
          <cell r="L296" t="str">
            <v>-17.6107</v>
          </cell>
          <cell r="M296" t="str">
            <v>-66.0237</v>
          </cell>
          <cell r="N296" t="str">
            <v>Rural</v>
          </cell>
          <cell r="O296" t="str">
            <v>2070</v>
          </cell>
          <cell r="P296" t="str">
            <v>POINT (-66.0237 -17.6107)</v>
          </cell>
          <cell r="Q296">
            <v>7</v>
          </cell>
          <cell r="R296">
            <v>0.75754776097081389</v>
          </cell>
        </row>
        <row r="297">
          <cell r="A297">
            <v>2071</v>
          </cell>
          <cell r="B297" t="str">
            <v>Unidad Educativa HuayculiTarata</v>
          </cell>
          <cell r="C297" t="str">
            <v>Cochabamba</v>
          </cell>
          <cell r="D297" t="str">
            <v>Esteban Arze</v>
          </cell>
          <cell r="E297" t="str">
            <v>Tarata</v>
          </cell>
          <cell r="F297" t="str">
            <v>Huayculi</v>
          </cell>
          <cell r="G297" t="str">
            <v>Unidad Educativa Huayculi</v>
          </cell>
          <cell r="H297" t="str">
            <v>Zona 4403</v>
          </cell>
          <cell r="I297" t="str">
            <v>Huayculi</v>
          </cell>
          <cell r="J297" t="str">
            <v>26</v>
          </cell>
          <cell r="K297" t="str">
            <v>Uninominal</v>
          </cell>
          <cell r="L297" t="str">
            <v>-17.6419</v>
          </cell>
          <cell r="M297" t="str">
            <v>-65.9796</v>
          </cell>
          <cell r="N297" t="str">
            <v>Rural</v>
          </cell>
          <cell r="O297" t="str">
            <v>2071</v>
          </cell>
          <cell r="P297" t="str">
            <v>POINT (-65.9796 -17.6419)</v>
          </cell>
          <cell r="Q297">
            <v>4</v>
          </cell>
          <cell r="R297">
            <v>0.91445340459819413</v>
          </cell>
        </row>
        <row r="298">
          <cell r="A298">
            <v>2072</v>
          </cell>
          <cell r="B298" t="str">
            <v>Unidad Educativa Huasa RanchoTarata</v>
          </cell>
          <cell r="C298" t="str">
            <v>Cochabamba</v>
          </cell>
          <cell r="D298" t="str">
            <v>Esteban Arze</v>
          </cell>
          <cell r="E298" t="str">
            <v>Tarata</v>
          </cell>
          <cell r="F298" t="str">
            <v>Huasa Rancho</v>
          </cell>
          <cell r="G298" t="str">
            <v>Unidad Educativa Huasa Rancho</v>
          </cell>
          <cell r="H298" t="str">
            <v>Zona 4404</v>
          </cell>
          <cell r="I298" t="str">
            <v>Huasa Rancho</v>
          </cell>
          <cell r="J298" t="str">
            <v>26</v>
          </cell>
          <cell r="K298" t="str">
            <v>Uninominal</v>
          </cell>
          <cell r="L298" t="str">
            <v>-17.6152</v>
          </cell>
          <cell r="M298" t="str">
            <v>-65.9671</v>
          </cell>
          <cell r="N298" t="str">
            <v>Rural</v>
          </cell>
          <cell r="O298" t="str">
            <v>2072</v>
          </cell>
          <cell r="P298" t="str">
            <v>POINT (-65.9671 -17.6152)</v>
          </cell>
          <cell r="Q298">
            <v>1</v>
          </cell>
          <cell r="R298">
            <v>0.83098591549295775</v>
          </cell>
        </row>
        <row r="299">
          <cell r="A299">
            <v>2073</v>
          </cell>
          <cell r="B299" t="str">
            <v>Escuela Luis TerrazasTarata</v>
          </cell>
          <cell r="C299" t="str">
            <v>Cochabamba</v>
          </cell>
          <cell r="D299" t="str">
            <v>Esteban Arze</v>
          </cell>
          <cell r="E299" t="str">
            <v>Tarata</v>
          </cell>
          <cell r="F299" t="str">
            <v>Izata</v>
          </cell>
          <cell r="G299" t="str">
            <v>Escuela Luis Terrazas</v>
          </cell>
          <cell r="H299" t="str">
            <v>Zona 4405</v>
          </cell>
          <cell r="I299" t="str">
            <v>Izata</v>
          </cell>
          <cell r="J299" t="str">
            <v>26</v>
          </cell>
          <cell r="K299" t="str">
            <v>Uninominal</v>
          </cell>
          <cell r="L299" t="str">
            <v>-17.7543</v>
          </cell>
          <cell r="M299" t="str">
            <v>-66.0742</v>
          </cell>
          <cell r="N299" t="str">
            <v>Rural</v>
          </cell>
          <cell r="O299" t="str">
            <v>2073</v>
          </cell>
          <cell r="P299" t="str">
            <v>POINT (-66.0742 -17.7543)</v>
          </cell>
          <cell r="Q299">
            <v>1</v>
          </cell>
          <cell r="R299">
            <v>0.91477272727272729</v>
          </cell>
        </row>
        <row r="300">
          <cell r="A300">
            <v>2074</v>
          </cell>
          <cell r="B300" t="str">
            <v>Unidad Educativa Huerta MayuTarata</v>
          </cell>
          <cell r="C300" t="str">
            <v>Cochabamba</v>
          </cell>
          <cell r="D300" t="str">
            <v>Esteban Arze</v>
          </cell>
          <cell r="E300" t="str">
            <v>Tarata</v>
          </cell>
          <cell r="F300" t="str">
            <v>Huerta Mayu</v>
          </cell>
          <cell r="G300" t="str">
            <v>Unidad Educativa Huerta Mayu</v>
          </cell>
          <cell r="H300" t="str">
            <v>Zona 4406</v>
          </cell>
          <cell r="I300" t="str">
            <v>Huerta Mayu</v>
          </cell>
          <cell r="J300" t="str">
            <v>26</v>
          </cell>
          <cell r="K300" t="str">
            <v>Uninominal</v>
          </cell>
          <cell r="L300" t="str">
            <v>-17.638</v>
          </cell>
          <cell r="M300" t="str">
            <v>-66.1138</v>
          </cell>
          <cell r="N300" t="str">
            <v>Rural</v>
          </cell>
          <cell r="O300" t="str">
            <v>2074</v>
          </cell>
          <cell r="P300" t="str">
            <v>POINT (-66.1138 -17.638)</v>
          </cell>
          <cell r="Q300">
            <v>2</v>
          </cell>
          <cell r="R300">
            <v>0.98653365833107642</v>
          </cell>
        </row>
        <row r="301">
          <cell r="A301">
            <v>2075</v>
          </cell>
          <cell r="B301" t="str">
            <v>U. E. San José de CalasanzAnzaldo</v>
          </cell>
          <cell r="C301" t="str">
            <v>Cochabamba</v>
          </cell>
          <cell r="D301" t="str">
            <v>Esteban Arze</v>
          </cell>
          <cell r="E301" t="str">
            <v>Anzaldo</v>
          </cell>
          <cell r="F301" t="str">
            <v>Anzaldo</v>
          </cell>
          <cell r="G301" t="str">
            <v>U. E. San José de Calasanz</v>
          </cell>
          <cell r="H301" t="str">
            <v>Zona 4410</v>
          </cell>
          <cell r="I301" t="str">
            <v>Calle Esteban Arce s/n</v>
          </cell>
          <cell r="J301" t="str">
            <v>26</v>
          </cell>
          <cell r="K301" t="str">
            <v>Uninominal</v>
          </cell>
          <cell r="L301" t="str">
            <v>-17.782359</v>
          </cell>
          <cell r="M301" t="str">
            <v>-65.933288</v>
          </cell>
          <cell r="N301" t="str">
            <v>Urbano</v>
          </cell>
          <cell r="O301" t="str">
            <v>2075</v>
          </cell>
          <cell r="P301" t="str">
            <v>POINT (-65.933288 -17.782359)</v>
          </cell>
          <cell r="Q301">
            <v>11</v>
          </cell>
          <cell r="R301" t="str">
            <v>Sin Info</v>
          </cell>
        </row>
        <row r="302">
          <cell r="A302">
            <v>2076</v>
          </cell>
          <cell r="B302" t="str">
            <v>U.E. Esteban Andia EscobarAnzaldo</v>
          </cell>
          <cell r="C302" t="str">
            <v>Cochabamba</v>
          </cell>
          <cell r="D302" t="str">
            <v>Esteban Arze</v>
          </cell>
          <cell r="E302" t="str">
            <v>Anzaldo</v>
          </cell>
          <cell r="F302" t="str">
            <v>Paccha Pata</v>
          </cell>
          <cell r="G302" t="str">
            <v>U.E. Esteban Andia Escobar</v>
          </cell>
          <cell r="H302" t="str">
            <v>Zona 4411</v>
          </cell>
          <cell r="I302" t="str">
            <v>Paccha Pata</v>
          </cell>
          <cell r="J302" t="str">
            <v>26</v>
          </cell>
          <cell r="K302" t="str">
            <v>Uninominal</v>
          </cell>
          <cell r="L302" t="str">
            <v>-17.7033</v>
          </cell>
          <cell r="M302" t="str">
            <v>-65.9457</v>
          </cell>
          <cell r="N302" t="str">
            <v>Urbano</v>
          </cell>
          <cell r="O302" t="str">
            <v>2076</v>
          </cell>
          <cell r="P302" t="str">
            <v>POINT (-65.9457 -17.7033)</v>
          </cell>
          <cell r="Q302">
            <v>1</v>
          </cell>
          <cell r="R302" t="str">
            <v>Sin Info</v>
          </cell>
        </row>
        <row r="303">
          <cell r="A303">
            <v>2077</v>
          </cell>
          <cell r="B303" t="str">
            <v>U.E. La ViñaAnzaldo</v>
          </cell>
          <cell r="C303" t="str">
            <v>Cochabamba</v>
          </cell>
          <cell r="D303" t="str">
            <v>Esteban Arze</v>
          </cell>
          <cell r="E303" t="str">
            <v>Anzaldo</v>
          </cell>
          <cell r="F303" t="str">
            <v>La Viña</v>
          </cell>
          <cell r="G303" t="str">
            <v>U.E. La Viña</v>
          </cell>
          <cell r="H303" t="str">
            <v>Zona 4409</v>
          </cell>
          <cell r="I303" t="str">
            <v>La Viña</v>
          </cell>
          <cell r="J303" t="str">
            <v>26</v>
          </cell>
          <cell r="K303" t="str">
            <v>Uninominal</v>
          </cell>
          <cell r="L303" t="str">
            <v>-17.969</v>
          </cell>
          <cell r="M303" t="str">
            <v>-65.8564</v>
          </cell>
          <cell r="N303" t="str">
            <v>Urbano</v>
          </cell>
          <cell r="O303" t="str">
            <v>2077</v>
          </cell>
          <cell r="P303" t="str">
            <v>POINT (-65.8564 -17.969)</v>
          </cell>
          <cell r="Q303">
            <v>2</v>
          </cell>
          <cell r="R303" t="str">
            <v>Sin Info</v>
          </cell>
        </row>
        <row r="304">
          <cell r="A304">
            <v>2078</v>
          </cell>
          <cell r="B304" t="str">
            <v>U. E. Arturo Sarmiento de QuiririaAnzaldo</v>
          </cell>
          <cell r="C304" t="str">
            <v>Cochabamba</v>
          </cell>
          <cell r="D304" t="str">
            <v>Esteban Arze</v>
          </cell>
          <cell r="E304" t="str">
            <v>Anzaldo</v>
          </cell>
          <cell r="F304" t="str">
            <v>Quiriria</v>
          </cell>
          <cell r="G304" t="str">
            <v>U. E. Arturo Sarmiento de Quiriria</v>
          </cell>
          <cell r="H304" t="str">
            <v>Zona 4408</v>
          </cell>
          <cell r="I304" t="str">
            <v>Quiriria</v>
          </cell>
          <cell r="J304" t="str">
            <v>26</v>
          </cell>
          <cell r="K304" t="str">
            <v>Uninominal</v>
          </cell>
          <cell r="L304" t="str">
            <v>-17.8995</v>
          </cell>
          <cell r="M304" t="str">
            <v>-65.945</v>
          </cell>
          <cell r="N304" t="str">
            <v>Rural</v>
          </cell>
          <cell r="O304" t="str">
            <v>2078</v>
          </cell>
          <cell r="P304" t="str">
            <v>POINT (-65.945 -17.8995)</v>
          </cell>
          <cell r="Q304">
            <v>1</v>
          </cell>
          <cell r="R304" t="str">
            <v>Sin Info</v>
          </cell>
        </row>
        <row r="305">
          <cell r="A305">
            <v>2079</v>
          </cell>
          <cell r="B305" t="str">
            <v>Unidad Educativa AlfamayuAnzaldo</v>
          </cell>
          <cell r="C305" t="str">
            <v>Cochabamba</v>
          </cell>
          <cell r="D305" t="str">
            <v>Esteban Arze</v>
          </cell>
          <cell r="E305" t="str">
            <v>Anzaldo</v>
          </cell>
          <cell r="F305" t="str">
            <v>Alfamayu</v>
          </cell>
          <cell r="G305" t="str">
            <v>Unidad Educativa Alfamayu</v>
          </cell>
          <cell r="H305" t="str">
            <v>Zona 4411</v>
          </cell>
          <cell r="I305" t="str">
            <v>Alfamayu</v>
          </cell>
          <cell r="J305" t="str">
            <v>26</v>
          </cell>
          <cell r="K305" t="str">
            <v>Uninominal</v>
          </cell>
          <cell r="L305" t="str">
            <v>-17.8642</v>
          </cell>
          <cell r="M305" t="str">
            <v>-65.9385</v>
          </cell>
          <cell r="N305" t="str">
            <v>Rural</v>
          </cell>
          <cell r="O305" t="str">
            <v>2079</v>
          </cell>
          <cell r="P305" t="str">
            <v>POINT (-65.9385 -17.8642)</v>
          </cell>
          <cell r="Q305">
            <v>1</v>
          </cell>
          <cell r="R305">
            <v>0.94594594594594594</v>
          </cell>
        </row>
        <row r="306">
          <cell r="A306">
            <v>2080</v>
          </cell>
          <cell r="B306" t="str">
            <v>U. E. Thaqu K'asaAnzaldo</v>
          </cell>
          <cell r="C306" t="str">
            <v>Cochabamba</v>
          </cell>
          <cell r="D306" t="str">
            <v>Esteban Arze</v>
          </cell>
          <cell r="E306" t="str">
            <v>Anzaldo</v>
          </cell>
          <cell r="F306" t="str">
            <v>Thago Kasa</v>
          </cell>
          <cell r="G306" t="str">
            <v>U. E. Thaqu K'asa</v>
          </cell>
          <cell r="H306" t="str">
            <v>Zona 4411</v>
          </cell>
          <cell r="I306" t="str">
            <v>Thago K'asa</v>
          </cell>
          <cell r="J306" t="str">
            <v>26</v>
          </cell>
          <cell r="K306" t="str">
            <v>Uninominal</v>
          </cell>
          <cell r="L306" t="str">
            <v>-17.8914</v>
          </cell>
          <cell r="M306" t="str">
            <v>-65.8291</v>
          </cell>
          <cell r="N306" t="str">
            <v>Rural</v>
          </cell>
          <cell r="O306" t="str">
            <v>2080</v>
          </cell>
          <cell r="P306" t="str">
            <v>POINT (-65.8291 -17.8914)</v>
          </cell>
          <cell r="Q306">
            <v>1</v>
          </cell>
          <cell r="R306" t="str">
            <v>Sin Info</v>
          </cell>
        </row>
        <row r="307">
          <cell r="A307">
            <v>2081</v>
          </cell>
          <cell r="B307" t="str">
            <v>U.E. PhinquinaAnzaldo</v>
          </cell>
          <cell r="C307" t="str">
            <v>Cochabamba</v>
          </cell>
          <cell r="D307" t="str">
            <v>Esteban Arze</v>
          </cell>
          <cell r="E307" t="str">
            <v>Anzaldo</v>
          </cell>
          <cell r="F307" t="str">
            <v>Phinquina</v>
          </cell>
          <cell r="G307" t="str">
            <v>U.E. Phinquina</v>
          </cell>
          <cell r="H307" t="str">
            <v>Zona 4411</v>
          </cell>
          <cell r="I307" t="str">
            <v>Sindicato Agrario Phinquina, ubicado a lado Noroeste de la localidad de Anzaldo del Municipio de Anzaldo.</v>
          </cell>
          <cell r="J307" t="str">
            <v>26</v>
          </cell>
          <cell r="K307" t="str">
            <v>Uninominal</v>
          </cell>
          <cell r="L307" t="str">
            <v>-17.775562</v>
          </cell>
          <cell r="M307" t="str">
            <v>-65.983496</v>
          </cell>
          <cell r="N307" t="str">
            <v>Urbano</v>
          </cell>
          <cell r="O307" t="str">
            <v>2081</v>
          </cell>
          <cell r="P307" t="str">
            <v>POINT (-65.983496 -17.775562)</v>
          </cell>
          <cell r="Q307">
            <v>0</v>
          </cell>
          <cell r="R307" t="str">
            <v>Sin Info</v>
          </cell>
        </row>
        <row r="308">
          <cell r="A308">
            <v>2082</v>
          </cell>
          <cell r="B308" t="str">
            <v>Centro Educativo German Busch   ArbietoArbieto</v>
          </cell>
          <cell r="C308" t="str">
            <v>Cochabamba</v>
          </cell>
          <cell r="D308" t="str">
            <v>Esteban Arze</v>
          </cell>
          <cell r="E308" t="str">
            <v>Arbieto</v>
          </cell>
          <cell r="F308" t="str">
            <v>Arbieto</v>
          </cell>
          <cell r="G308" t="str">
            <v>Centro Educativo German Busch   Arbieto</v>
          </cell>
          <cell r="H308" t="str">
            <v>Zona 4414</v>
          </cell>
          <cell r="I308" t="str">
            <v>Arbieto</v>
          </cell>
          <cell r="J308" t="str">
            <v>26</v>
          </cell>
          <cell r="K308" t="str">
            <v>Uninominal</v>
          </cell>
          <cell r="L308" t="str">
            <v>-17.5855</v>
          </cell>
          <cell r="M308" t="str">
            <v>-66.0172</v>
          </cell>
          <cell r="N308" t="str">
            <v>Urbano</v>
          </cell>
          <cell r="O308" t="str">
            <v>2082</v>
          </cell>
          <cell r="P308" t="str">
            <v>POINT (-66.0172 -17.5855)</v>
          </cell>
          <cell r="Q308">
            <v>9</v>
          </cell>
          <cell r="R308" t="str">
            <v>Sin Info</v>
          </cell>
        </row>
        <row r="309">
          <cell r="A309">
            <v>2083</v>
          </cell>
          <cell r="B309" t="str">
            <v>Unidad Educativa 6 de Junio   MamanacaArbieto</v>
          </cell>
          <cell r="C309" t="str">
            <v>Cochabamba</v>
          </cell>
          <cell r="D309" t="str">
            <v>Esteban Arze</v>
          </cell>
          <cell r="E309" t="str">
            <v>Arbieto</v>
          </cell>
          <cell r="F309" t="str">
            <v>Mamanaca</v>
          </cell>
          <cell r="G309" t="str">
            <v>Unidad Educativa 6 de Junio   Mamanaca</v>
          </cell>
          <cell r="H309" t="str">
            <v>Zona 4413</v>
          </cell>
          <cell r="I309" t="str">
            <v>Mamanaca</v>
          </cell>
          <cell r="J309" t="str">
            <v>26</v>
          </cell>
          <cell r="K309" t="str">
            <v>Uninominal</v>
          </cell>
          <cell r="L309" t="str">
            <v>-17.5838</v>
          </cell>
          <cell r="M309" t="str">
            <v>-66.0526</v>
          </cell>
          <cell r="N309" t="str">
            <v>Rural</v>
          </cell>
          <cell r="O309" t="str">
            <v>2083</v>
          </cell>
          <cell r="P309" t="str">
            <v>POINT (-66.0526 -17.5838)</v>
          </cell>
          <cell r="Q309">
            <v>4</v>
          </cell>
          <cell r="R309" t="str">
            <v>Sin Info</v>
          </cell>
        </row>
        <row r="310">
          <cell r="A310">
            <v>2084</v>
          </cell>
          <cell r="B310" t="str">
            <v>Unidad Educativa Antonio Arnez  AranjuezArbieto</v>
          </cell>
          <cell r="C310" t="str">
            <v>Cochabamba</v>
          </cell>
          <cell r="D310" t="str">
            <v>Esteban Arze</v>
          </cell>
          <cell r="E310" t="str">
            <v>Arbieto</v>
          </cell>
          <cell r="F310" t="str">
            <v>Aranjuez</v>
          </cell>
          <cell r="G310" t="str">
            <v>Unidad Educativa Antonio Arnez  Aranjuez</v>
          </cell>
          <cell r="H310" t="str">
            <v>Zona 4412</v>
          </cell>
          <cell r="I310" t="str">
            <v>Aranjuez</v>
          </cell>
          <cell r="J310" t="str">
            <v>26</v>
          </cell>
          <cell r="K310" t="str">
            <v>Uninominal</v>
          </cell>
          <cell r="L310" t="str">
            <v>-17.593</v>
          </cell>
          <cell r="M310" t="str">
            <v>-65.9816</v>
          </cell>
          <cell r="N310" t="str">
            <v>Rural</v>
          </cell>
          <cell r="O310" t="str">
            <v>2084</v>
          </cell>
          <cell r="P310" t="str">
            <v>POINT (-65.9816 -17.593)</v>
          </cell>
          <cell r="Q310">
            <v>2</v>
          </cell>
          <cell r="R310" t="str">
            <v>Sin Info</v>
          </cell>
        </row>
        <row r="311">
          <cell r="A311">
            <v>2085</v>
          </cell>
          <cell r="B311" t="str">
            <v>Escuela Seccional ArpitaArbieto</v>
          </cell>
          <cell r="C311" t="str">
            <v>Cochabamba</v>
          </cell>
          <cell r="D311" t="str">
            <v>Esteban Arze</v>
          </cell>
          <cell r="E311" t="str">
            <v>Arbieto</v>
          </cell>
          <cell r="F311" t="str">
            <v>Arpita</v>
          </cell>
          <cell r="G311" t="str">
            <v>Escuela Seccional Arpita</v>
          </cell>
          <cell r="H311" t="str">
            <v>Zona 4421</v>
          </cell>
          <cell r="I311" t="str">
            <v>Arpita</v>
          </cell>
          <cell r="J311" t="str">
            <v>26</v>
          </cell>
          <cell r="K311" t="str">
            <v>Uninominal</v>
          </cell>
          <cell r="L311" t="str">
            <v>-17.5672</v>
          </cell>
          <cell r="M311" t="str">
            <v>-66.0729</v>
          </cell>
          <cell r="N311" t="str">
            <v>Rural</v>
          </cell>
          <cell r="O311" t="str">
            <v>2085</v>
          </cell>
          <cell r="P311" t="str">
            <v>POINT (-66.0729 -17.5672)</v>
          </cell>
          <cell r="Q311">
            <v>5</v>
          </cell>
          <cell r="R311">
            <v>0.91209785625628825</v>
          </cell>
        </row>
        <row r="312">
          <cell r="A312">
            <v>2086</v>
          </cell>
          <cell r="B312" t="str">
            <v>Unidad Educativa Carlos CanelasArbieto</v>
          </cell>
          <cell r="C312" t="str">
            <v>Cochabamba</v>
          </cell>
          <cell r="D312" t="str">
            <v>Esteban Arze</v>
          </cell>
          <cell r="E312" t="str">
            <v>Arbieto</v>
          </cell>
          <cell r="F312" t="str">
            <v>Llave Mayu</v>
          </cell>
          <cell r="G312" t="str">
            <v>Unidad Educativa Carlos Canelas</v>
          </cell>
          <cell r="H312" t="str">
            <v>Zona 4421</v>
          </cell>
          <cell r="I312" t="str">
            <v>Camino a Punata Pasado La Tranca</v>
          </cell>
          <cell r="J312" t="str">
            <v>26</v>
          </cell>
          <cell r="K312" t="str">
            <v>Uninominal</v>
          </cell>
          <cell r="L312" t="str">
            <v>-17.489639</v>
          </cell>
          <cell r="M312" t="str">
            <v>-66.095682</v>
          </cell>
          <cell r="N312" t="str">
            <v>Rural</v>
          </cell>
          <cell r="O312" t="str">
            <v>2086</v>
          </cell>
          <cell r="P312" t="str">
            <v>POINT (-66.095682 -17.489639)</v>
          </cell>
          <cell r="Q312">
            <v>19</v>
          </cell>
          <cell r="R312">
            <v>0.90297931257751962</v>
          </cell>
        </row>
        <row r="313">
          <cell r="A313">
            <v>2087</v>
          </cell>
          <cell r="B313" t="str">
            <v>U.E. Betty BarrientosArbieto</v>
          </cell>
          <cell r="C313" t="str">
            <v>Cochabamba</v>
          </cell>
          <cell r="D313" t="str">
            <v>Esteban Arze</v>
          </cell>
          <cell r="E313" t="str">
            <v>Arbieto</v>
          </cell>
          <cell r="F313" t="str">
            <v>T'ajra</v>
          </cell>
          <cell r="G313" t="str">
            <v>U.E. Betty Barrientos</v>
          </cell>
          <cell r="H313" t="str">
            <v>Zona 4421</v>
          </cell>
          <cell r="I313" t="str">
            <v>Carretera a Tarata-Cliza Punata - Comunidad T'ajra</v>
          </cell>
          <cell r="J313" t="str">
            <v>26</v>
          </cell>
          <cell r="K313" t="str">
            <v>Uninominal</v>
          </cell>
          <cell r="L313" t="str">
            <v>-17.533121</v>
          </cell>
          <cell r="M313" t="str">
            <v>-66.116101</v>
          </cell>
          <cell r="N313" t="str">
            <v>Urbano</v>
          </cell>
          <cell r="O313" t="str">
            <v>2087</v>
          </cell>
          <cell r="P313" t="str">
            <v>POINT (-66.116101 -17.533121)</v>
          </cell>
          <cell r="Q313">
            <v>3</v>
          </cell>
          <cell r="R313">
            <v>0.87258670520231219</v>
          </cell>
        </row>
        <row r="314">
          <cell r="A314">
            <v>2088</v>
          </cell>
          <cell r="B314" t="str">
            <v>U. E. Casimiro López TerrazasArbieto</v>
          </cell>
          <cell r="C314" t="str">
            <v>Cochabamba</v>
          </cell>
          <cell r="D314" t="str">
            <v>Esteban Arze</v>
          </cell>
          <cell r="E314" t="str">
            <v>Arbieto</v>
          </cell>
          <cell r="F314" t="str">
            <v>Angostura</v>
          </cell>
          <cell r="G314" t="str">
            <v>U. E. Casimiro López Terrazas</v>
          </cell>
          <cell r="H314" t="str">
            <v>Zona 4420</v>
          </cell>
          <cell r="I314" t="str">
            <v>Angostura</v>
          </cell>
          <cell r="J314" t="str">
            <v>26</v>
          </cell>
          <cell r="K314" t="str">
            <v>Uninominal</v>
          </cell>
          <cell r="L314" t="str">
            <v>-17.512</v>
          </cell>
          <cell r="M314" t="str">
            <v>-66.088</v>
          </cell>
          <cell r="N314" t="str">
            <v>Urbano</v>
          </cell>
          <cell r="O314" t="str">
            <v>2088</v>
          </cell>
          <cell r="P314" t="str">
            <v>POINT (-66.088 -17.512)</v>
          </cell>
          <cell r="Q314">
            <v>3</v>
          </cell>
          <cell r="R314">
            <v>0.70160750555487394</v>
          </cell>
        </row>
        <row r="315">
          <cell r="A315">
            <v>2089</v>
          </cell>
          <cell r="B315" t="str">
            <v>Escuela Eliseo Torrico   SacabambaSacabamba</v>
          </cell>
          <cell r="C315" t="str">
            <v>Cochabamba</v>
          </cell>
          <cell r="D315" t="str">
            <v>Esteban Arze</v>
          </cell>
          <cell r="E315" t="str">
            <v>Sacabamba</v>
          </cell>
          <cell r="F315" t="str">
            <v>Sacabamba</v>
          </cell>
          <cell r="G315" t="str">
            <v>Escuela Eliseo Torrico   Sacabamba</v>
          </cell>
          <cell r="H315" t="str">
            <v>Zona 4424</v>
          </cell>
          <cell r="I315" t="str">
            <v>Sacabamba</v>
          </cell>
          <cell r="J315" t="str">
            <v>26</v>
          </cell>
          <cell r="K315" t="str">
            <v>Uninominal</v>
          </cell>
          <cell r="L315" t="str">
            <v>-17.817</v>
          </cell>
          <cell r="M315" t="str">
            <v>-65.7757</v>
          </cell>
          <cell r="N315" t="str">
            <v>Urbano</v>
          </cell>
          <cell r="O315" t="str">
            <v>2089</v>
          </cell>
          <cell r="P315" t="str">
            <v>POINT (-65.7757 -17.817)</v>
          </cell>
          <cell r="Q315">
            <v>4</v>
          </cell>
          <cell r="R315" t="str">
            <v>Sin Info</v>
          </cell>
        </row>
        <row r="316">
          <cell r="A316">
            <v>2090</v>
          </cell>
          <cell r="B316" t="str">
            <v>Escuela Seccional ChallaqueSacabamba</v>
          </cell>
          <cell r="C316" t="str">
            <v>Cochabamba</v>
          </cell>
          <cell r="D316" t="str">
            <v>Esteban Arze</v>
          </cell>
          <cell r="E316" t="str">
            <v>Sacabamba</v>
          </cell>
          <cell r="F316" t="str">
            <v>Challaque</v>
          </cell>
          <cell r="G316" t="str">
            <v>Escuela Seccional Challaque</v>
          </cell>
          <cell r="H316" t="str">
            <v>Zona 4423</v>
          </cell>
          <cell r="I316" t="str">
            <v>Challaque</v>
          </cell>
          <cell r="J316" t="str">
            <v>26</v>
          </cell>
          <cell r="K316" t="str">
            <v>Uninominal</v>
          </cell>
          <cell r="L316" t="str">
            <v>-17.8316</v>
          </cell>
          <cell r="M316" t="str">
            <v>-65.7569</v>
          </cell>
          <cell r="N316" t="str">
            <v>Rural</v>
          </cell>
          <cell r="O316" t="str">
            <v>2090</v>
          </cell>
          <cell r="P316" t="str">
            <v>POINT (-65.7569 -17.8316)</v>
          </cell>
          <cell r="Q316">
            <v>2</v>
          </cell>
          <cell r="R316">
            <v>0.96152758132956151</v>
          </cell>
        </row>
        <row r="317">
          <cell r="A317">
            <v>2091</v>
          </cell>
          <cell r="B317" t="str">
            <v>Nucleo MataraniSacabamba</v>
          </cell>
          <cell r="C317" t="str">
            <v>Cochabamba</v>
          </cell>
          <cell r="D317" t="str">
            <v>Esteban Arze</v>
          </cell>
          <cell r="E317" t="str">
            <v>Sacabamba</v>
          </cell>
          <cell r="F317" t="str">
            <v>Matarani</v>
          </cell>
          <cell r="G317" t="str">
            <v>Nucleo Matarani</v>
          </cell>
          <cell r="H317" t="str">
            <v>Zona 4425</v>
          </cell>
          <cell r="I317" t="str">
            <v>Matarani</v>
          </cell>
          <cell r="J317" t="str">
            <v>26</v>
          </cell>
          <cell r="K317" t="str">
            <v>Uninominal</v>
          </cell>
          <cell r="L317" t="str">
            <v>-17.8031</v>
          </cell>
          <cell r="M317" t="str">
            <v>-65.8014</v>
          </cell>
          <cell r="N317" t="str">
            <v>Rural</v>
          </cell>
          <cell r="O317" t="str">
            <v>2091</v>
          </cell>
          <cell r="P317" t="str">
            <v>POINT (-65.8014 -17.8031)</v>
          </cell>
          <cell r="Q317">
            <v>3</v>
          </cell>
          <cell r="R317">
            <v>0.89300293404771025</v>
          </cell>
        </row>
        <row r="318">
          <cell r="A318">
            <v>2092</v>
          </cell>
          <cell r="B318" t="str">
            <v>Nucleo Escolar QuekomaSacabamba</v>
          </cell>
          <cell r="C318" t="str">
            <v>Cochabamba</v>
          </cell>
          <cell r="D318" t="str">
            <v>Esteban Arze</v>
          </cell>
          <cell r="E318" t="str">
            <v>Sacabamba</v>
          </cell>
          <cell r="F318" t="str">
            <v>Quekoma</v>
          </cell>
          <cell r="G318" t="str">
            <v>Nucleo Escolar Quekoma</v>
          </cell>
          <cell r="H318" t="str">
            <v>Zona 4429</v>
          </cell>
          <cell r="I318" t="str">
            <v>Quekoma</v>
          </cell>
          <cell r="J318" t="str">
            <v>26</v>
          </cell>
          <cell r="K318" t="str">
            <v>Uninominal</v>
          </cell>
          <cell r="L318" t="str">
            <v>-17.7026</v>
          </cell>
          <cell r="M318" t="str">
            <v>-65.8236</v>
          </cell>
          <cell r="N318" t="str">
            <v>Rural</v>
          </cell>
          <cell r="O318" t="str">
            <v>2092</v>
          </cell>
          <cell r="P318" t="str">
            <v>POINT (-65.8236 -17.7026)</v>
          </cell>
          <cell r="Q318">
            <v>2</v>
          </cell>
          <cell r="R318">
            <v>0.96655491698595153</v>
          </cell>
        </row>
        <row r="319">
          <cell r="A319">
            <v>2093</v>
          </cell>
          <cell r="B319" t="str">
            <v>Unidad Educativa ApillapaSacabamba</v>
          </cell>
          <cell r="C319" t="str">
            <v>Cochabamba</v>
          </cell>
          <cell r="D319" t="str">
            <v>Esteban Arze</v>
          </cell>
          <cell r="E319" t="str">
            <v>Sacabamba</v>
          </cell>
          <cell r="F319" t="str">
            <v>Apillapa</v>
          </cell>
          <cell r="G319" t="str">
            <v>Unidad Educativa Apillapa</v>
          </cell>
          <cell r="H319" t="str">
            <v>Zona 4426</v>
          </cell>
          <cell r="I319" t="str">
            <v>Apillapa</v>
          </cell>
          <cell r="J319" t="str">
            <v>26</v>
          </cell>
          <cell r="K319" t="str">
            <v>Uninominal</v>
          </cell>
          <cell r="L319" t="str">
            <v>-17.7623</v>
          </cell>
          <cell r="M319" t="str">
            <v>-65.8515</v>
          </cell>
          <cell r="N319" t="str">
            <v>Rural</v>
          </cell>
          <cell r="O319" t="str">
            <v>2093</v>
          </cell>
          <cell r="P319" t="str">
            <v>POINT (-65.8515 -17.7623)</v>
          </cell>
          <cell r="Q319">
            <v>1</v>
          </cell>
          <cell r="R319">
            <v>0.9382022471910112</v>
          </cell>
        </row>
        <row r="320">
          <cell r="A320">
            <v>2094</v>
          </cell>
          <cell r="B320" t="str">
            <v>Escuela Gualberto VillarroelArani</v>
          </cell>
          <cell r="C320" t="str">
            <v>Cochabamba</v>
          </cell>
          <cell r="D320" t="str">
            <v>Arani</v>
          </cell>
          <cell r="E320" t="str">
            <v>Arani</v>
          </cell>
          <cell r="F320" t="str">
            <v>Arani</v>
          </cell>
          <cell r="G320" t="str">
            <v>Escuela Gualberto Villarroel</v>
          </cell>
          <cell r="H320" t="str">
            <v>Zona 4434</v>
          </cell>
          <cell r="I320" t="str">
            <v>Arani</v>
          </cell>
          <cell r="J320" t="str">
            <v>26</v>
          </cell>
          <cell r="K320" t="str">
            <v>Uninominal</v>
          </cell>
          <cell r="L320" t="str">
            <v>-17.5734</v>
          </cell>
          <cell r="M320" t="str">
            <v>-65.7754</v>
          </cell>
          <cell r="N320" t="str">
            <v>Rural</v>
          </cell>
          <cell r="O320" t="str">
            <v>2094</v>
          </cell>
          <cell r="P320" t="str">
            <v>POINT (-65.7754 -17.5734)</v>
          </cell>
          <cell r="Q320">
            <v>14</v>
          </cell>
          <cell r="R320">
            <v>0.75730005054114602</v>
          </cell>
        </row>
        <row r="321">
          <cell r="A321">
            <v>2095</v>
          </cell>
          <cell r="B321" t="str">
            <v>U.E. AraniArani</v>
          </cell>
          <cell r="C321" t="str">
            <v>Cochabamba</v>
          </cell>
          <cell r="D321" t="str">
            <v>Arani</v>
          </cell>
          <cell r="E321" t="str">
            <v>Arani</v>
          </cell>
          <cell r="F321" t="str">
            <v>Arani</v>
          </cell>
          <cell r="G321" t="str">
            <v>U.E. Arani</v>
          </cell>
          <cell r="H321" t="str">
            <v>Zona 4434</v>
          </cell>
          <cell r="I321" t="str">
            <v>Arani, C/ Gualberto Villarroel "Juan B" y Pereira</v>
          </cell>
          <cell r="J321" t="str">
            <v>26</v>
          </cell>
          <cell r="K321" t="str">
            <v>Uninominal</v>
          </cell>
          <cell r="L321" t="str">
            <v>-17.5731</v>
          </cell>
          <cell r="M321" t="str">
            <v>-65.7734</v>
          </cell>
          <cell r="N321" t="str">
            <v>Rural</v>
          </cell>
          <cell r="O321" t="str">
            <v>2095</v>
          </cell>
          <cell r="P321" t="str">
            <v>POINT (-65.7734 -17.5731)</v>
          </cell>
          <cell r="Q321">
            <v>13</v>
          </cell>
          <cell r="R321">
            <v>0.68873024285670781</v>
          </cell>
        </row>
        <row r="322">
          <cell r="A322">
            <v>2096</v>
          </cell>
          <cell r="B322" t="str">
            <v>(Cárcel) Penitenciaria AraniArani</v>
          </cell>
          <cell r="C322" t="str">
            <v>Cochabamba</v>
          </cell>
          <cell r="D322" t="str">
            <v>Arani</v>
          </cell>
          <cell r="E322" t="str">
            <v>Arani</v>
          </cell>
          <cell r="F322" t="str">
            <v>Arani</v>
          </cell>
          <cell r="G322" t="str">
            <v>(Cárcel) Penitenciaria Arani</v>
          </cell>
          <cell r="H322" t="str">
            <v>Zona 4434</v>
          </cell>
          <cell r="I322" t="str">
            <v>Calle Obispo de la Fuente/calle Jose Manuel Pando</v>
          </cell>
          <cell r="J322" t="str">
            <v>26</v>
          </cell>
          <cell r="K322" t="str">
            <v>Uninominal</v>
          </cell>
          <cell r="L322" t="str">
            <v>-17.573328</v>
          </cell>
          <cell r="M322" t="str">
            <v>-65.770415</v>
          </cell>
          <cell r="N322" t="str">
            <v>Rural</v>
          </cell>
          <cell r="O322" t="str">
            <v>2096</v>
          </cell>
          <cell r="P322" t="str">
            <v>POINT (-65.770415 -17.573328)</v>
          </cell>
          <cell r="Q322">
            <v>1</v>
          </cell>
          <cell r="R322">
            <v>1</v>
          </cell>
        </row>
        <row r="323">
          <cell r="A323">
            <v>2097</v>
          </cell>
          <cell r="B323" t="str">
            <v>Unidad Educativa CollpaciacoArani</v>
          </cell>
          <cell r="C323" t="str">
            <v>Cochabamba</v>
          </cell>
          <cell r="D323" t="str">
            <v>Arani</v>
          </cell>
          <cell r="E323" t="str">
            <v>Arani</v>
          </cell>
          <cell r="F323" t="str">
            <v>Collpaciaco</v>
          </cell>
          <cell r="G323" t="str">
            <v>Unidad Educativa Collpaciaco</v>
          </cell>
          <cell r="H323" t="str">
            <v>Zona 4432</v>
          </cell>
          <cell r="I323" t="str">
            <v>Collpaciaco</v>
          </cell>
          <cell r="J323" t="str">
            <v>26</v>
          </cell>
          <cell r="K323" t="str">
            <v>Uninominal</v>
          </cell>
          <cell r="L323" t="str">
            <v>-17.6012</v>
          </cell>
          <cell r="M323" t="str">
            <v>-65.7607</v>
          </cell>
          <cell r="N323" t="str">
            <v>Urbano</v>
          </cell>
          <cell r="O323" t="str">
            <v>2097</v>
          </cell>
          <cell r="P323" t="str">
            <v>POINT (-65.7607 -17.6012)</v>
          </cell>
          <cell r="Q323">
            <v>3</v>
          </cell>
          <cell r="R323">
            <v>0.83282587788601636</v>
          </cell>
        </row>
        <row r="324">
          <cell r="A324">
            <v>2098</v>
          </cell>
          <cell r="B324" t="str">
            <v>Escuela Mixta PocoataArani</v>
          </cell>
          <cell r="C324" t="str">
            <v>Cochabamba</v>
          </cell>
          <cell r="D324" t="str">
            <v>Arani</v>
          </cell>
          <cell r="E324" t="str">
            <v>Arani</v>
          </cell>
          <cell r="F324" t="str">
            <v>Pocoata</v>
          </cell>
          <cell r="G324" t="str">
            <v>Escuela Mixta Pocoata</v>
          </cell>
          <cell r="H324" t="str">
            <v>Zona 4430</v>
          </cell>
          <cell r="I324" t="str">
            <v>Pocoata</v>
          </cell>
          <cell r="J324" t="str">
            <v>26</v>
          </cell>
          <cell r="K324" t="str">
            <v>Uninominal</v>
          </cell>
          <cell r="L324" t="str">
            <v>-17.61</v>
          </cell>
          <cell r="M324" t="str">
            <v>-65.7265</v>
          </cell>
          <cell r="N324" t="str">
            <v>Rural</v>
          </cell>
          <cell r="O324" t="str">
            <v>2098</v>
          </cell>
          <cell r="P324" t="str">
            <v>POINT (-65.7265 -17.61)</v>
          </cell>
          <cell r="Q324">
            <v>2</v>
          </cell>
          <cell r="R324">
            <v>0.78071308925580274</v>
          </cell>
        </row>
        <row r="325">
          <cell r="A325">
            <v>2099</v>
          </cell>
          <cell r="B325" t="str">
            <v>U.E. SerranoArani</v>
          </cell>
          <cell r="C325" t="str">
            <v>Cochabamba</v>
          </cell>
          <cell r="D325" t="str">
            <v>Arani</v>
          </cell>
          <cell r="E325" t="str">
            <v>Arani</v>
          </cell>
          <cell r="F325" t="str">
            <v>Serrano</v>
          </cell>
          <cell r="G325" t="str">
            <v>U.E. Serrano</v>
          </cell>
          <cell r="H325" t="str">
            <v>Zona 4431</v>
          </cell>
          <cell r="I325" t="str">
            <v>Sindicato Agrarario Serrano - Carretera Troncal Cochabamba Mizque</v>
          </cell>
          <cell r="J325" t="str">
            <v>26</v>
          </cell>
          <cell r="K325" t="str">
            <v>Uninominal</v>
          </cell>
          <cell r="L325" t="str">
            <v>-17.549167</v>
          </cell>
          <cell r="M325" t="str">
            <v>-65.686005</v>
          </cell>
          <cell r="N325" t="str">
            <v>Rural</v>
          </cell>
          <cell r="O325" t="str">
            <v>2099</v>
          </cell>
          <cell r="P325" t="str">
            <v>POINT (-65.686005 -17.549167)</v>
          </cell>
          <cell r="Q325">
            <v>1</v>
          </cell>
          <cell r="R325" t="str">
            <v>Sin Info</v>
          </cell>
        </row>
        <row r="326">
          <cell r="A326">
            <v>2100</v>
          </cell>
          <cell r="B326" t="str">
            <v>Escuela Experimental VacasVacas</v>
          </cell>
          <cell r="C326" t="str">
            <v>Cochabamba</v>
          </cell>
          <cell r="D326" t="str">
            <v>Arani</v>
          </cell>
          <cell r="E326" t="str">
            <v>Vacas</v>
          </cell>
          <cell r="F326" t="str">
            <v>Vacas</v>
          </cell>
          <cell r="G326" t="str">
            <v>Escuela Experimental Vacas</v>
          </cell>
          <cell r="H326" t="str">
            <v>Zona 4435</v>
          </cell>
          <cell r="I326" t="str">
            <v>Vacas</v>
          </cell>
          <cell r="J326" t="str">
            <v>25</v>
          </cell>
          <cell r="K326" t="str">
            <v>Uninominal</v>
          </cell>
          <cell r="L326" t="str">
            <v>-17.5754</v>
          </cell>
          <cell r="M326" t="str">
            <v>-65.5817</v>
          </cell>
          <cell r="N326" t="str">
            <v>Rural</v>
          </cell>
          <cell r="O326" t="str">
            <v>2100</v>
          </cell>
          <cell r="P326" t="str">
            <v>POINT (-65.5817 -17.5754)</v>
          </cell>
          <cell r="Q326">
            <v>13</v>
          </cell>
          <cell r="R326">
            <v>0.92527890559462578</v>
          </cell>
        </row>
        <row r="327">
          <cell r="A327">
            <v>2101</v>
          </cell>
          <cell r="B327" t="str">
            <v>Escuela Seccional Rodeo AVacas</v>
          </cell>
          <cell r="C327" t="str">
            <v>Cochabamba</v>
          </cell>
          <cell r="D327" t="str">
            <v>Arani</v>
          </cell>
          <cell r="E327" t="str">
            <v>Vacas</v>
          </cell>
          <cell r="F327" t="str">
            <v>Rodeo  A</v>
          </cell>
          <cell r="G327" t="str">
            <v>Escuela Seccional Rodeo A</v>
          </cell>
          <cell r="H327" t="str">
            <v>Zona 4436</v>
          </cell>
          <cell r="I327" t="str">
            <v>Rodeo A</v>
          </cell>
          <cell r="J327" t="str">
            <v>25</v>
          </cell>
          <cell r="K327" t="str">
            <v>Uninominal</v>
          </cell>
          <cell r="L327" t="str">
            <v>-17.6303</v>
          </cell>
          <cell r="M327" t="str">
            <v>-65.6371</v>
          </cell>
          <cell r="N327" t="str">
            <v>Rural</v>
          </cell>
          <cell r="O327" t="str">
            <v>2101</v>
          </cell>
          <cell r="P327" t="str">
            <v>POINT (-65.6371 -17.6303)</v>
          </cell>
          <cell r="Q327">
            <v>5</v>
          </cell>
          <cell r="R327">
            <v>0.95895833941890196</v>
          </cell>
        </row>
        <row r="328">
          <cell r="A328">
            <v>2102</v>
          </cell>
          <cell r="B328" t="str">
            <v>Unidad Educativa TotorapampaVacas</v>
          </cell>
          <cell r="C328" t="str">
            <v>Cochabamba</v>
          </cell>
          <cell r="D328" t="str">
            <v>Arani</v>
          </cell>
          <cell r="E328" t="str">
            <v>Vacas</v>
          </cell>
          <cell r="F328" t="str">
            <v>Leguajes  Totorapampa</v>
          </cell>
          <cell r="G328" t="str">
            <v>Unidad Educativa Totorapampa</v>
          </cell>
          <cell r="H328" t="str">
            <v>Zona 4436</v>
          </cell>
          <cell r="I328" t="str">
            <v>Leguajes -Totorapampa</v>
          </cell>
          <cell r="J328" t="str">
            <v>25</v>
          </cell>
          <cell r="K328" t="str">
            <v>Uninominal</v>
          </cell>
          <cell r="L328" t="str">
            <v>-17.6785</v>
          </cell>
          <cell r="M328" t="str">
            <v>-65.5509</v>
          </cell>
          <cell r="N328" t="str">
            <v>Rural</v>
          </cell>
          <cell r="O328" t="str">
            <v>2102</v>
          </cell>
          <cell r="P328" t="str">
            <v>POINT (-65.5509 -17.6785)</v>
          </cell>
          <cell r="Q328">
            <v>1</v>
          </cell>
          <cell r="R328">
            <v>0.9360730593607306</v>
          </cell>
        </row>
        <row r="329">
          <cell r="A329">
            <v>2103</v>
          </cell>
          <cell r="B329" t="str">
            <v>U.E. David Morato CañadasVacas</v>
          </cell>
          <cell r="C329" t="str">
            <v>Cochabamba</v>
          </cell>
          <cell r="D329" t="str">
            <v>Arani</v>
          </cell>
          <cell r="E329" t="str">
            <v>Vacas</v>
          </cell>
          <cell r="F329" t="str">
            <v>Cañadas</v>
          </cell>
          <cell r="G329" t="str">
            <v>U.E. David Morato Cañadas</v>
          </cell>
          <cell r="H329" t="str">
            <v>Zona 4436</v>
          </cell>
          <cell r="I329" t="str">
            <v>Cañadas</v>
          </cell>
          <cell r="J329" t="str">
            <v>25</v>
          </cell>
          <cell r="K329" t="str">
            <v>Uninominal</v>
          </cell>
          <cell r="L329" t="str">
            <v>-17.5341</v>
          </cell>
          <cell r="M329" t="str">
            <v>-65.6414</v>
          </cell>
          <cell r="N329" t="str">
            <v>Rural</v>
          </cell>
          <cell r="O329" t="str">
            <v>2103</v>
          </cell>
          <cell r="P329" t="str">
            <v>POINT (-65.6414 -17.5341)</v>
          </cell>
          <cell r="Q329">
            <v>3</v>
          </cell>
          <cell r="R329">
            <v>0.9383768990270559</v>
          </cell>
        </row>
        <row r="330">
          <cell r="A330">
            <v>2104</v>
          </cell>
          <cell r="B330" t="str">
            <v>Escuela Nataniel AguirreArque</v>
          </cell>
          <cell r="C330" t="str">
            <v>Cochabamba</v>
          </cell>
          <cell r="D330" t="str">
            <v>Arque</v>
          </cell>
          <cell r="E330" t="str">
            <v>Arque</v>
          </cell>
          <cell r="F330" t="str">
            <v>Arque</v>
          </cell>
          <cell r="G330" t="str">
            <v>Escuela Nataniel Aguirre</v>
          </cell>
          <cell r="H330" t="str">
            <v>Zona 4438</v>
          </cell>
          <cell r="I330" t="str">
            <v>Arque</v>
          </cell>
          <cell r="J330" t="str">
            <v>27</v>
          </cell>
          <cell r="K330" t="str">
            <v>Uninominal</v>
          </cell>
          <cell r="L330" t="str">
            <v>-17.8204</v>
          </cell>
          <cell r="M330" t="str">
            <v>-66.4043</v>
          </cell>
          <cell r="N330" t="str">
            <v>Rural</v>
          </cell>
          <cell r="O330" t="str">
            <v>2104</v>
          </cell>
          <cell r="P330" t="str">
            <v>POINT (-66.4043 -17.8204)</v>
          </cell>
          <cell r="Q330">
            <v>4</v>
          </cell>
          <cell r="R330">
            <v>0.94145133486633226</v>
          </cell>
        </row>
        <row r="331">
          <cell r="A331">
            <v>2105</v>
          </cell>
          <cell r="B331" t="str">
            <v>Escuela Juana Azurduy   Pongo K'AsaArque</v>
          </cell>
          <cell r="C331" t="str">
            <v>Cochabamba</v>
          </cell>
          <cell r="D331" t="str">
            <v>Arque</v>
          </cell>
          <cell r="E331" t="str">
            <v>Arque</v>
          </cell>
          <cell r="F331" t="str">
            <v>Pongo Kasa</v>
          </cell>
          <cell r="G331" t="str">
            <v>Escuela Juana Azurduy   Pongo K'Asa</v>
          </cell>
          <cell r="H331" t="str">
            <v>Zona 4440</v>
          </cell>
          <cell r="I331" t="str">
            <v>Pongo Kasa</v>
          </cell>
          <cell r="J331" t="str">
            <v>27</v>
          </cell>
          <cell r="K331" t="str">
            <v>Uninominal</v>
          </cell>
          <cell r="L331" t="str">
            <v>-17.7105</v>
          </cell>
          <cell r="M331" t="str">
            <v>-66.5501</v>
          </cell>
          <cell r="N331" t="str">
            <v>Rural</v>
          </cell>
          <cell r="O331" t="str">
            <v>2105</v>
          </cell>
          <cell r="P331" t="str">
            <v>POINT (-66.5501 -17.7105)</v>
          </cell>
          <cell r="Q331">
            <v>2</v>
          </cell>
          <cell r="R331" t="str">
            <v>Sin Info</v>
          </cell>
        </row>
        <row r="332">
          <cell r="A332">
            <v>2106</v>
          </cell>
          <cell r="B332" t="str">
            <v>Escuela E Internado Dario Antezana V.Arque</v>
          </cell>
          <cell r="C332" t="str">
            <v>Cochabamba</v>
          </cell>
          <cell r="D332" t="str">
            <v>Arque</v>
          </cell>
          <cell r="E332" t="str">
            <v>Arque</v>
          </cell>
          <cell r="F332" t="str">
            <v>Ovejeria Larama</v>
          </cell>
          <cell r="G332" t="str">
            <v>Escuela E Internado Dario Antezana V.</v>
          </cell>
          <cell r="H332" t="str">
            <v>Zona 4440</v>
          </cell>
          <cell r="I332" t="str">
            <v>Ovejeria Larama</v>
          </cell>
          <cell r="J332" t="str">
            <v>27</v>
          </cell>
          <cell r="K332" t="str">
            <v>Uninominal</v>
          </cell>
          <cell r="L332" t="str">
            <v>-17.949</v>
          </cell>
          <cell r="M332" t="str">
            <v>-66.29</v>
          </cell>
          <cell r="N332" t="str">
            <v>Urbano</v>
          </cell>
          <cell r="O332" t="str">
            <v>2106</v>
          </cell>
          <cell r="P332" t="str">
            <v>POINT (-66.29 -17.949)</v>
          </cell>
          <cell r="Q332">
            <v>3</v>
          </cell>
          <cell r="R332">
            <v>0.97834529447294505</v>
          </cell>
        </row>
        <row r="333">
          <cell r="A333">
            <v>2107</v>
          </cell>
          <cell r="B333" t="str">
            <v>U.E. San PedroArque</v>
          </cell>
          <cell r="C333" t="str">
            <v>Cochabamba</v>
          </cell>
          <cell r="D333" t="str">
            <v>Arque</v>
          </cell>
          <cell r="E333" t="str">
            <v>Arque</v>
          </cell>
          <cell r="F333" t="str">
            <v>Colcha</v>
          </cell>
          <cell r="G333" t="str">
            <v>U.E. San Pedro</v>
          </cell>
          <cell r="H333" t="str">
            <v>Zona 4439</v>
          </cell>
          <cell r="I333" t="str">
            <v>Comunidad Nueva Colcha, sobre camino vecinal</v>
          </cell>
          <cell r="J333" t="str">
            <v>27</v>
          </cell>
          <cell r="K333" t="str">
            <v>Uninominal</v>
          </cell>
          <cell r="L333" t="str">
            <v>-17.8567</v>
          </cell>
          <cell r="M333" t="str">
            <v>-66.4192</v>
          </cell>
          <cell r="N333" t="str">
            <v>Rural</v>
          </cell>
          <cell r="O333" t="str">
            <v>2107</v>
          </cell>
          <cell r="P333" t="str">
            <v>POINT (-66.4192 -17.8567)</v>
          </cell>
          <cell r="Q333">
            <v>1</v>
          </cell>
          <cell r="R333">
            <v>0.94739466467215161</v>
          </cell>
        </row>
        <row r="334">
          <cell r="A334">
            <v>2108</v>
          </cell>
          <cell r="B334" t="str">
            <v>Escuela Marcelo Quiroga Santa CruzArque</v>
          </cell>
          <cell r="C334" t="str">
            <v>Cochabamba</v>
          </cell>
          <cell r="D334" t="str">
            <v>Arque</v>
          </cell>
          <cell r="E334" t="str">
            <v>Arque</v>
          </cell>
          <cell r="F334" t="str">
            <v>Tujsuma</v>
          </cell>
          <cell r="G334" t="str">
            <v>Escuela Marcelo Quiroga Santa Cruz</v>
          </cell>
          <cell r="H334" t="str">
            <v>Zona 4439</v>
          </cell>
          <cell r="I334" t="str">
            <v>Tujsuma</v>
          </cell>
          <cell r="J334" t="str">
            <v>27</v>
          </cell>
          <cell r="K334" t="str">
            <v>Uninominal</v>
          </cell>
          <cell r="L334" t="str">
            <v>-17.9045</v>
          </cell>
          <cell r="M334" t="str">
            <v>-66.3986</v>
          </cell>
          <cell r="N334" t="str">
            <v>Rural</v>
          </cell>
          <cell r="O334" t="str">
            <v>2108</v>
          </cell>
          <cell r="P334" t="str">
            <v>POINT (-66.3986 -17.9045)</v>
          </cell>
          <cell r="Q334">
            <v>4</v>
          </cell>
          <cell r="R334">
            <v>0.93942492464375049</v>
          </cell>
        </row>
        <row r="335">
          <cell r="A335">
            <v>2109</v>
          </cell>
          <cell r="B335" t="str">
            <v>Unidad Escolar Tupac Katari   TarujayñaArque</v>
          </cell>
          <cell r="C335" t="str">
            <v>Cochabamba</v>
          </cell>
          <cell r="D335" t="str">
            <v>Arque</v>
          </cell>
          <cell r="E335" t="str">
            <v>Arque</v>
          </cell>
          <cell r="F335" t="str">
            <v>Tarujayña</v>
          </cell>
          <cell r="G335" t="str">
            <v>Unidad Escolar Tupac Katari   Tarujayña</v>
          </cell>
          <cell r="H335" t="str">
            <v>Zona 4440</v>
          </cell>
          <cell r="I335" t="str">
            <v>Comunidad Tarujayña, sobre camino vecinal</v>
          </cell>
          <cell r="J335" t="str">
            <v>27</v>
          </cell>
          <cell r="K335" t="str">
            <v>Uninominal</v>
          </cell>
          <cell r="L335" t="str">
            <v>-17.6746</v>
          </cell>
          <cell r="M335" t="str">
            <v>-66.474</v>
          </cell>
          <cell r="N335" t="str">
            <v>Rural</v>
          </cell>
          <cell r="O335" t="str">
            <v>2109</v>
          </cell>
          <cell r="P335" t="str">
            <v>POINT (-66.474 -17.6746)</v>
          </cell>
          <cell r="Q335">
            <v>1</v>
          </cell>
          <cell r="R335" t="str">
            <v>Sin Info</v>
          </cell>
        </row>
        <row r="336">
          <cell r="A336">
            <v>2110</v>
          </cell>
          <cell r="B336" t="str">
            <v>U.E. Julio Dario DazziArque</v>
          </cell>
          <cell r="C336" t="str">
            <v>Cochabamba</v>
          </cell>
          <cell r="D336" t="str">
            <v>Arque</v>
          </cell>
          <cell r="E336" t="str">
            <v>Arque</v>
          </cell>
          <cell r="F336" t="str">
            <v>Huaycha</v>
          </cell>
          <cell r="G336" t="str">
            <v>U.E. Julio Dario Dazzi</v>
          </cell>
          <cell r="H336" t="str">
            <v>Zona 4440</v>
          </cell>
          <cell r="I336" t="str">
            <v>Huaycha</v>
          </cell>
          <cell r="J336" t="str">
            <v>27</v>
          </cell>
          <cell r="K336" t="str">
            <v>Uninominal</v>
          </cell>
          <cell r="L336" t="str">
            <v>-17.8941</v>
          </cell>
          <cell r="M336" t="str">
            <v>-66.3241</v>
          </cell>
          <cell r="N336" t="str">
            <v>Rural</v>
          </cell>
          <cell r="O336" t="str">
            <v>2110</v>
          </cell>
          <cell r="P336" t="str">
            <v>POINT (-66.3241 -17.8941)</v>
          </cell>
          <cell r="Q336">
            <v>2</v>
          </cell>
          <cell r="R336" t="str">
            <v>Sin Info</v>
          </cell>
        </row>
        <row r="337">
          <cell r="A337">
            <v>2111</v>
          </cell>
          <cell r="B337" t="str">
            <v>Unidad Educativa ChangollaArque</v>
          </cell>
          <cell r="C337" t="str">
            <v>Cochabamba</v>
          </cell>
          <cell r="D337" t="str">
            <v>Arque</v>
          </cell>
          <cell r="E337" t="str">
            <v>Arque</v>
          </cell>
          <cell r="F337" t="str">
            <v>Changolla</v>
          </cell>
          <cell r="G337" t="str">
            <v>Unidad Educativa Changolla</v>
          </cell>
          <cell r="H337" t="str">
            <v>Zona 4440</v>
          </cell>
          <cell r="I337" t="str">
            <v>Changolla</v>
          </cell>
          <cell r="J337" t="str">
            <v>27</v>
          </cell>
          <cell r="K337" t="str">
            <v>Uninominal</v>
          </cell>
          <cell r="L337" t="str">
            <v>-17.7748</v>
          </cell>
          <cell r="M337" t="str">
            <v>-66.4685</v>
          </cell>
          <cell r="N337" t="str">
            <v>Rural</v>
          </cell>
          <cell r="O337" t="str">
            <v>2111</v>
          </cell>
          <cell r="P337" t="str">
            <v>POINT (-66.4685 -17.7748)</v>
          </cell>
          <cell r="Q337">
            <v>2</v>
          </cell>
          <cell r="R337">
            <v>0.91239603960396043</v>
          </cell>
        </row>
        <row r="338">
          <cell r="A338">
            <v>2112</v>
          </cell>
          <cell r="B338" t="str">
            <v>U.E. Dña. Adela ZamudioArque</v>
          </cell>
          <cell r="C338" t="str">
            <v>Cochabamba</v>
          </cell>
          <cell r="D338" t="str">
            <v>Arque</v>
          </cell>
          <cell r="E338" t="str">
            <v>Arque</v>
          </cell>
          <cell r="F338" t="str">
            <v>K'utimarca</v>
          </cell>
          <cell r="G338" t="str">
            <v>U.E. Dña. Adela Zamudio</v>
          </cell>
          <cell r="H338" t="str">
            <v>Zona 4440</v>
          </cell>
          <cell r="I338" t="str">
            <v>K'utimarca</v>
          </cell>
          <cell r="J338" t="str">
            <v>27</v>
          </cell>
          <cell r="K338" t="str">
            <v>Uninominal</v>
          </cell>
          <cell r="L338" t="str">
            <v>-17.714052</v>
          </cell>
          <cell r="M338" t="str">
            <v>-66.46829</v>
          </cell>
          <cell r="N338" t="str">
            <v>Rural</v>
          </cell>
          <cell r="O338" t="str">
            <v>2112</v>
          </cell>
          <cell r="P338" t="str">
            <v>POINT (-66.46829 -17.714052)</v>
          </cell>
          <cell r="Q338">
            <v>2</v>
          </cell>
          <cell r="R338">
            <v>0.94688155636086213</v>
          </cell>
        </row>
        <row r="339">
          <cell r="A339">
            <v>2113</v>
          </cell>
          <cell r="B339" t="str">
            <v>U.E. Adolfo MercadoTacopaya</v>
          </cell>
          <cell r="C339" t="str">
            <v>Cochabamba</v>
          </cell>
          <cell r="D339" t="str">
            <v>Arque</v>
          </cell>
          <cell r="E339" t="str">
            <v>Tacopaya</v>
          </cell>
          <cell r="F339" t="str">
            <v>Tacopaya</v>
          </cell>
          <cell r="G339" t="str">
            <v>U.E. Adolfo Mercado</v>
          </cell>
          <cell r="H339" t="str">
            <v>Zona 4441</v>
          </cell>
          <cell r="I339" t="str">
            <v>Tacopaya</v>
          </cell>
          <cell r="J339" t="str">
            <v>27</v>
          </cell>
          <cell r="K339" t="str">
            <v>Uninominal</v>
          </cell>
          <cell r="L339" t="str">
            <v>-17.836</v>
          </cell>
          <cell r="M339" t="str">
            <v>-66.5361</v>
          </cell>
          <cell r="N339" t="str">
            <v>Rural</v>
          </cell>
          <cell r="O339" t="str">
            <v>2113</v>
          </cell>
          <cell r="P339" t="str">
            <v>POINT (-66.5361 -17.836)</v>
          </cell>
          <cell r="Q339">
            <v>6</v>
          </cell>
          <cell r="R339" t="str">
            <v>Sin Info</v>
          </cell>
        </row>
        <row r="340">
          <cell r="A340">
            <v>2114</v>
          </cell>
          <cell r="B340" t="str">
            <v>Unidad Educativa Aniceto ArceTacopaya</v>
          </cell>
          <cell r="C340" t="str">
            <v>Cochabamba</v>
          </cell>
          <cell r="D340" t="str">
            <v>Arque</v>
          </cell>
          <cell r="E340" t="str">
            <v>Tacopaya</v>
          </cell>
          <cell r="F340" t="str">
            <v>San Miguel de Aquerani</v>
          </cell>
          <cell r="G340" t="str">
            <v>Unidad Educativa Aniceto Arce</v>
          </cell>
          <cell r="H340" t="str">
            <v>Zona 4442</v>
          </cell>
          <cell r="I340" t="str">
            <v>San Miguel de Aquerani</v>
          </cell>
          <cell r="J340" t="str">
            <v>27</v>
          </cell>
          <cell r="K340" t="str">
            <v>Uninominal</v>
          </cell>
          <cell r="L340" t="str">
            <v>-17.7686</v>
          </cell>
          <cell r="M340" t="str">
            <v>-66.597</v>
          </cell>
          <cell r="N340" t="str">
            <v>Rural</v>
          </cell>
          <cell r="O340" t="str">
            <v>2114</v>
          </cell>
          <cell r="P340" t="str">
            <v>POINT (-66.597 -17.7686)</v>
          </cell>
          <cell r="Q340">
            <v>2</v>
          </cell>
          <cell r="R340">
            <v>0.8486587525414836</v>
          </cell>
        </row>
        <row r="341">
          <cell r="A341">
            <v>2115</v>
          </cell>
          <cell r="B341" t="str">
            <v>Escuela Seccional Rene BarrientosTacopaya</v>
          </cell>
          <cell r="C341" t="str">
            <v>Cochabamba</v>
          </cell>
          <cell r="D341" t="str">
            <v>Arque</v>
          </cell>
          <cell r="E341" t="str">
            <v>Tacopaya</v>
          </cell>
          <cell r="F341" t="str">
            <v>Ventilla</v>
          </cell>
          <cell r="G341" t="str">
            <v>Escuela Seccional Rene Barrientos</v>
          </cell>
          <cell r="H341" t="str">
            <v>Zona 4443</v>
          </cell>
          <cell r="I341" t="str">
            <v>Ventilla</v>
          </cell>
          <cell r="J341" t="str">
            <v>27</v>
          </cell>
          <cell r="K341" t="str">
            <v>Uninominal</v>
          </cell>
          <cell r="L341" t="str">
            <v>-17.7972</v>
          </cell>
          <cell r="M341" t="str">
            <v>-66.671</v>
          </cell>
          <cell r="N341" t="str">
            <v>Rural</v>
          </cell>
          <cell r="O341" t="str">
            <v>2115</v>
          </cell>
          <cell r="P341" t="str">
            <v>POINT (-66.671 -17.7972)</v>
          </cell>
          <cell r="Q341">
            <v>2</v>
          </cell>
          <cell r="R341">
            <v>0.89147666578605811</v>
          </cell>
        </row>
        <row r="342">
          <cell r="A342">
            <v>2116</v>
          </cell>
          <cell r="B342" t="str">
            <v>U.E. Genoveva RiosTacopaya</v>
          </cell>
          <cell r="C342" t="str">
            <v>Cochabamba</v>
          </cell>
          <cell r="D342" t="str">
            <v>Arque</v>
          </cell>
          <cell r="E342" t="str">
            <v>Tacopaya</v>
          </cell>
          <cell r="F342" t="str">
            <v>Comunidad  Micayani Grande</v>
          </cell>
          <cell r="G342" t="str">
            <v>U.E. Genoveva Rios</v>
          </cell>
          <cell r="H342" t="str">
            <v>Zona 4443</v>
          </cell>
          <cell r="I342" t="str">
            <v>Michayani Grande</v>
          </cell>
          <cell r="J342" t="str">
            <v>27</v>
          </cell>
          <cell r="K342" t="str">
            <v>Uninominal</v>
          </cell>
          <cell r="L342" t="str">
            <v>-17.8612</v>
          </cell>
          <cell r="M342" t="str">
            <v>-66.7012</v>
          </cell>
          <cell r="N342" t="str">
            <v>Urbano</v>
          </cell>
          <cell r="O342" t="str">
            <v>2116</v>
          </cell>
          <cell r="P342" t="str">
            <v>POINT (-66.7012 -17.8612)</v>
          </cell>
          <cell r="Q342">
            <v>1</v>
          </cell>
          <cell r="R342" t="str">
            <v>Sin Info</v>
          </cell>
        </row>
        <row r="343">
          <cell r="A343">
            <v>2117</v>
          </cell>
          <cell r="B343" t="str">
            <v>Escuela Elizardo Perez (Totorapampa)Tacopaya</v>
          </cell>
          <cell r="C343" t="str">
            <v>Cochabamba</v>
          </cell>
          <cell r="D343" t="str">
            <v>Arque</v>
          </cell>
          <cell r="E343" t="str">
            <v>Tacopaya</v>
          </cell>
          <cell r="F343" t="str">
            <v>Totora Pampa</v>
          </cell>
          <cell r="G343" t="str">
            <v>Escuela Elizardo Perez (Totorapampa)</v>
          </cell>
          <cell r="H343" t="str">
            <v>Zona 4443</v>
          </cell>
          <cell r="I343" t="str">
            <v>Totora Pampa</v>
          </cell>
          <cell r="J343" t="str">
            <v>27</v>
          </cell>
          <cell r="K343" t="str">
            <v>Uninominal</v>
          </cell>
          <cell r="L343" t="str">
            <v>-17.884</v>
          </cell>
          <cell r="M343" t="str">
            <v>-66.6155</v>
          </cell>
          <cell r="N343" t="str">
            <v>Urbano</v>
          </cell>
          <cell r="O343" t="str">
            <v>2117</v>
          </cell>
          <cell r="P343" t="str">
            <v>POINT (-66.6155 -17.884)</v>
          </cell>
          <cell r="Q343">
            <v>4</v>
          </cell>
          <cell r="R343">
            <v>0.95135664539353826</v>
          </cell>
        </row>
        <row r="344">
          <cell r="A344">
            <v>2118</v>
          </cell>
          <cell r="B344" t="str">
            <v>Escuela Martin Cardenas (Tujuta)Tacopaya</v>
          </cell>
          <cell r="C344" t="str">
            <v>Cochabamba</v>
          </cell>
          <cell r="D344" t="str">
            <v>Arque</v>
          </cell>
          <cell r="E344" t="str">
            <v>Tacopaya</v>
          </cell>
          <cell r="F344" t="str">
            <v>Tujuta</v>
          </cell>
          <cell r="G344" t="str">
            <v>Escuela Martin Cardenas (Tujuta)</v>
          </cell>
          <cell r="H344" t="str">
            <v>Zona 4443</v>
          </cell>
          <cell r="I344" t="str">
            <v>Tujuta</v>
          </cell>
          <cell r="J344" t="str">
            <v>27</v>
          </cell>
          <cell r="K344" t="str">
            <v>Uninominal</v>
          </cell>
          <cell r="L344" t="str">
            <v>-17.7119</v>
          </cell>
          <cell r="M344" t="str">
            <v>-66.74</v>
          </cell>
          <cell r="N344" t="str">
            <v>Urbano</v>
          </cell>
          <cell r="O344" t="str">
            <v>2118</v>
          </cell>
          <cell r="P344" t="str">
            <v>POINT (-66.74 -17.7119)</v>
          </cell>
          <cell r="Q344">
            <v>1</v>
          </cell>
          <cell r="R344">
            <v>0.98989898989898983</v>
          </cell>
        </row>
        <row r="345">
          <cell r="A345">
            <v>2119</v>
          </cell>
          <cell r="B345" t="str">
            <v>Escuela Vicente Donoso (Aguas Calientes)Tacopaya</v>
          </cell>
          <cell r="C345" t="str">
            <v>Cochabamba</v>
          </cell>
          <cell r="D345" t="str">
            <v>Arque</v>
          </cell>
          <cell r="E345" t="str">
            <v>Tacopaya</v>
          </cell>
          <cell r="F345" t="str">
            <v>Aguas Calientes</v>
          </cell>
          <cell r="G345" t="str">
            <v>Escuela Vicente Donoso (Aguas Calientes)</v>
          </cell>
          <cell r="H345" t="str">
            <v>Zona 4442</v>
          </cell>
          <cell r="I345" t="str">
            <v>Aguas Calientes</v>
          </cell>
          <cell r="J345" t="str">
            <v>27</v>
          </cell>
          <cell r="K345" t="str">
            <v>Uninominal</v>
          </cell>
          <cell r="L345" t="str">
            <v>-17.8214</v>
          </cell>
          <cell r="M345" t="str">
            <v>-66.6142</v>
          </cell>
          <cell r="N345" t="str">
            <v>Urbano</v>
          </cell>
          <cell r="O345" t="str">
            <v>2119</v>
          </cell>
          <cell r="P345" t="str">
            <v>POINT (-66.6142 -17.8214)</v>
          </cell>
          <cell r="Q345">
            <v>1</v>
          </cell>
          <cell r="R345">
            <v>0.90476190476190477</v>
          </cell>
        </row>
        <row r="346">
          <cell r="A346">
            <v>2120</v>
          </cell>
          <cell r="B346" t="str">
            <v>Unidad Educativa AuquipampaTacopaya</v>
          </cell>
          <cell r="C346" t="str">
            <v>Cochabamba</v>
          </cell>
          <cell r="D346" t="str">
            <v>Arque</v>
          </cell>
          <cell r="E346" t="str">
            <v>Tacopaya</v>
          </cell>
          <cell r="F346" t="str">
            <v>Auqui Pampa</v>
          </cell>
          <cell r="G346" t="str">
            <v>Unidad Educativa Auquipampa</v>
          </cell>
          <cell r="H346" t="str">
            <v>Zona 4442</v>
          </cell>
          <cell r="I346" t="str">
            <v>Auqui Pampa</v>
          </cell>
          <cell r="J346" t="str">
            <v>27</v>
          </cell>
          <cell r="K346" t="str">
            <v>Uninominal</v>
          </cell>
          <cell r="L346" t="str">
            <v>-17.7828</v>
          </cell>
          <cell r="M346" t="str">
            <v>-66.5374</v>
          </cell>
          <cell r="N346" t="str">
            <v>Urbano</v>
          </cell>
          <cell r="O346" t="str">
            <v>2120</v>
          </cell>
          <cell r="P346" t="str">
            <v>POINT (-66.5374 -17.7828)</v>
          </cell>
          <cell r="Q346">
            <v>3</v>
          </cell>
          <cell r="R346">
            <v>0.98461978273299033</v>
          </cell>
        </row>
        <row r="347">
          <cell r="A347">
            <v>2121</v>
          </cell>
          <cell r="B347" t="str">
            <v>U.E. Tupac KatariTacopaya</v>
          </cell>
          <cell r="C347" t="str">
            <v>Cochabamba</v>
          </cell>
          <cell r="D347" t="str">
            <v>Arque</v>
          </cell>
          <cell r="E347" t="str">
            <v>Tacopaya</v>
          </cell>
          <cell r="F347" t="str">
            <v>Chiquiruyo</v>
          </cell>
          <cell r="G347" t="str">
            <v>U.E. Tupac Katari</v>
          </cell>
          <cell r="H347" t="str">
            <v>Zona 4443</v>
          </cell>
          <cell r="I347" t="str">
            <v>Comunidad Chiquiruyo, sobre camino vecinal</v>
          </cell>
          <cell r="J347" t="str">
            <v>27</v>
          </cell>
          <cell r="K347" t="str">
            <v>Uninominal</v>
          </cell>
          <cell r="L347" t="str">
            <v>-17.757418</v>
          </cell>
          <cell r="M347" t="str">
            <v>-66.721634</v>
          </cell>
          <cell r="N347" t="str">
            <v>Urbano</v>
          </cell>
          <cell r="O347" t="str">
            <v>2121</v>
          </cell>
          <cell r="P347" t="str">
            <v>POINT (-66.721634 -17.757418)</v>
          </cell>
          <cell r="Q347">
            <v>1</v>
          </cell>
          <cell r="R347">
            <v>0.94680851063829785</v>
          </cell>
        </row>
        <row r="348">
          <cell r="A348">
            <v>2122</v>
          </cell>
          <cell r="B348" t="str">
            <v>U. E. 12 de AbrilTacopaya</v>
          </cell>
          <cell r="C348" t="str">
            <v>Cochabamba</v>
          </cell>
          <cell r="D348" t="str">
            <v>Arque</v>
          </cell>
          <cell r="E348" t="str">
            <v>Tacopaya</v>
          </cell>
          <cell r="F348" t="str">
            <v>Yarviri Grande</v>
          </cell>
          <cell r="G348" t="str">
            <v>U. E. 12 de Abril</v>
          </cell>
          <cell r="H348" t="str">
            <v>Zona 4442</v>
          </cell>
          <cell r="I348" t="str">
            <v>Comunidad Yarviri Grande, Sub Central Palca Mayu</v>
          </cell>
          <cell r="J348" t="str">
            <v>27</v>
          </cell>
          <cell r="K348" t="str">
            <v>Uninominal</v>
          </cell>
          <cell r="L348" t="str">
            <v>-17.827389</v>
          </cell>
          <cell r="M348" t="str">
            <v>-66.59478</v>
          </cell>
          <cell r="N348" t="str">
            <v>Rural</v>
          </cell>
          <cell r="O348" t="str">
            <v>2122</v>
          </cell>
          <cell r="P348" t="str">
            <v>POINT (-66.59478 -17.827389)</v>
          </cell>
          <cell r="Q348">
            <v>1</v>
          </cell>
          <cell r="R348">
            <v>0.95652173913043481</v>
          </cell>
        </row>
        <row r="349">
          <cell r="A349">
            <v>2123</v>
          </cell>
          <cell r="B349" t="str">
            <v>Escuela Victor BarrientosCapinota</v>
          </cell>
          <cell r="C349" t="str">
            <v>Cochabamba</v>
          </cell>
          <cell r="D349" t="str">
            <v>Capinota</v>
          </cell>
          <cell r="E349" t="str">
            <v>Capinota</v>
          </cell>
          <cell r="F349" t="str">
            <v>Capinota</v>
          </cell>
          <cell r="G349" t="str">
            <v>Escuela Victor Barrientos</v>
          </cell>
          <cell r="H349" t="str">
            <v>Zona 4449</v>
          </cell>
          <cell r="I349" t="str">
            <v>Capinota</v>
          </cell>
          <cell r="J349" t="str">
            <v>26</v>
          </cell>
          <cell r="K349" t="str">
            <v>Uninominal</v>
          </cell>
          <cell r="L349" t="str">
            <v>-17.714</v>
          </cell>
          <cell r="M349" t="str">
            <v>-66.2647</v>
          </cell>
          <cell r="N349" t="str">
            <v>Rural</v>
          </cell>
          <cell r="O349" t="str">
            <v>2123</v>
          </cell>
          <cell r="P349" t="str">
            <v>POINT (-66.2647 -17.714)</v>
          </cell>
          <cell r="Q349">
            <v>15</v>
          </cell>
          <cell r="R349">
            <v>0.72209628924511005</v>
          </cell>
        </row>
        <row r="350">
          <cell r="A350">
            <v>2124</v>
          </cell>
          <cell r="B350" t="str">
            <v>Unidad Educativa Juana Azurduy De PadillaCapinota</v>
          </cell>
          <cell r="C350" t="str">
            <v>Cochabamba</v>
          </cell>
          <cell r="D350" t="str">
            <v>Capinota</v>
          </cell>
          <cell r="E350" t="str">
            <v>Capinota</v>
          </cell>
          <cell r="F350" t="str">
            <v>Capinota</v>
          </cell>
          <cell r="G350" t="str">
            <v>Unidad Educativa Juana Azurduy De Padilla</v>
          </cell>
          <cell r="H350" t="str">
            <v>Zona 4449</v>
          </cell>
          <cell r="I350" t="str">
            <v>Capinota</v>
          </cell>
          <cell r="J350" t="str">
            <v>26</v>
          </cell>
          <cell r="K350" t="str">
            <v>Uninominal</v>
          </cell>
          <cell r="L350" t="str">
            <v>-17.7137</v>
          </cell>
          <cell r="M350" t="str">
            <v>-66.2648</v>
          </cell>
          <cell r="N350" t="str">
            <v>Rural</v>
          </cell>
          <cell r="O350" t="str">
            <v>2124</v>
          </cell>
          <cell r="P350" t="str">
            <v>POINT (-66.2648 -17.7137)</v>
          </cell>
          <cell r="Q350">
            <v>8</v>
          </cell>
          <cell r="R350">
            <v>0.82811139223161734</v>
          </cell>
        </row>
        <row r="351">
          <cell r="A351">
            <v>2125</v>
          </cell>
          <cell r="B351" t="str">
            <v>U. E. Oscar Unzaga De La VegaCapinota</v>
          </cell>
          <cell r="C351" t="str">
            <v>Cochabamba</v>
          </cell>
          <cell r="D351" t="str">
            <v>Capinota</v>
          </cell>
          <cell r="E351" t="str">
            <v>Capinota</v>
          </cell>
          <cell r="F351" t="str">
            <v>Capinota</v>
          </cell>
          <cell r="G351" t="str">
            <v>U. E. Oscar Unzaga De La Vega</v>
          </cell>
          <cell r="H351" t="str">
            <v>Zona 4449</v>
          </cell>
          <cell r="I351" t="str">
            <v>Ubicado a Norte de la localidad de Capinota</v>
          </cell>
          <cell r="J351" t="str">
            <v>26</v>
          </cell>
          <cell r="K351" t="str">
            <v>Uninominal</v>
          </cell>
          <cell r="L351" t="str">
            <v>-17.696583</v>
          </cell>
          <cell r="M351" t="str">
            <v>-66.261086</v>
          </cell>
          <cell r="N351" t="str">
            <v>Rural</v>
          </cell>
          <cell r="O351" t="str">
            <v>2125</v>
          </cell>
          <cell r="P351" t="str">
            <v>POINT (-66.261086 -17.696583)</v>
          </cell>
          <cell r="Q351">
            <v>4</v>
          </cell>
          <cell r="R351">
            <v>0.76385888994584639</v>
          </cell>
        </row>
        <row r="352">
          <cell r="A352">
            <v>2126</v>
          </cell>
          <cell r="B352" t="str">
            <v>U.E. Rodolfo Montaño ValderramaCapinota</v>
          </cell>
          <cell r="C352" t="str">
            <v>Cochabamba</v>
          </cell>
          <cell r="D352" t="str">
            <v>Capinota</v>
          </cell>
          <cell r="E352" t="str">
            <v>Capinota</v>
          </cell>
          <cell r="F352" t="str">
            <v>Capinota</v>
          </cell>
          <cell r="G352" t="str">
            <v>U.E. Rodolfo Montaño Valderrama</v>
          </cell>
          <cell r="H352" t="str">
            <v>Zona 4449</v>
          </cell>
          <cell r="I352" t="str">
            <v>Av. Busch esq. Pasaje Oruro</v>
          </cell>
          <cell r="J352" t="str">
            <v>26</v>
          </cell>
          <cell r="K352" t="str">
            <v>Uninominal</v>
          </cell>
          <cell r="L352" t="str">
            <v>-17.70823</v>
          </cell>
          <cell r="M352" t="str">
            <v>-66.265557</v>
          </cell>
          <cell r="N352" t="str">
            <v>Rural</v>
          </cell>
          <cell r="O352" t="str">
            <v>2126</v>
          </cell>
          <cell r="P352" t="str">
            <v>POINT (-66.265557 -17.70823)</v>
          </cell>
          <cell r="Q352">
            <v>2</v>
          </cell>
          <cell r="R352" t="str">
            <v>Sin Info</v>
          </cell>
        </row>
        <row r="353">
          <cell r="A353">
            <v>2127</v>
          </cell>
          <cell r="B353" t="str">
            <v>Unidad Educativa Custodio AyaviriCapinota</v>
          </cell>
          <cell r="C353" t="str">
            <v>Cochabamba</v>
          </cell>
          <cell r="D353" t="str">
            <v>Capinota</v>
          </cell>
          <cell r="E353" t="str">
            <v>Capinota</v>
          </cell>
          <cell r="F353" t="str">
            <v>Irpa Irpa</v>
          </cell>
          <cell r="G353" t="str">
            <v>Unidad Educativa Custodio Ayaviri</v>
          </cell>
          <cell r="H353" t="str">
            <v>Zona 4448</v>
          </cell>
          <cell r="I353" t="str">
            <v>Av. Coboce</v>
          </cell>
          <cell r="J353" t="str">
            <v>26</v>
          </cell>
          <cell r="K353" t="str">
            <v>Uninominal</v>
          </cell>
          <cell r="L353" t="str">
            <v>-17.7218</v>
          </cell>
          <cell r="M353" t="str">
            <v>-66.2849</v>
          </cell>
          <cell r="N353" t="str">
            <v>Rural</v>
          </cell>
          <cell r="O353" t="str">
            <v>2127</v>
          </cell>
          <cell r="P353" t="str">
            <v>POINT (-66.2849 -17.7218)</v>
          </cell>
          <cell r="Q353">
            <v>16</v>
          </cell>
          <cell r="R353">
            <v>0.71390978576219677</v>
          </cell>
        </row>
        <row r="354">
          <cell r="A354">
            <v>2128</v>
          </cell>
          <cell r="B354" t="str">
            <v>U.E. Jaime Mendez QuirogaCapinota</v>
          </cell>
          <cell r="C354" t="str">
            <v>Cochabamba</v>
          </cell>
          <cell r="D354" t="str">
            <v>Capinota</v>
          </cell>
          <cell r="E354" t="str">
            <v>Capinota</v>
          </cell>
          <cell r="F354" t="str">
            <v>Irpa Irpa</v>
          </cell>
          <cell r="G354" t="str">
            <v>U.E. Jaime Mendez Quiroga</v>
          </cell>
          <cell r="H354" t="str">
            <v>Zona 4448</v>
          </cell>
          <cell r="I354" t="str">
            <v>OTB Yuruni 2, Calle del Estudiante</v>
          </cell>
          <cell r="J354" t="str">
            <v>26</v>
          </cell>
          <cell r="K354" t="str">
            <v>Uninominal</v>
          </cell>
          <cell r="L354" t="str">
            <v>-17.718471</v>
          </cell>
          <cell r="M354" t="str">
            <v>-66.289684</v>
          </cell>
          <cell r="N354" t="str">
            <v>Rural</v>
          </cell>
          <cell r="O354" t="str">
            <v>2128</v>
          </cell>
          <cell r="P354" t="str">
            <v>POINT (-66.289684 -17.718471)</v>
          </cell>
          <cell r="Q354">
            <v>1</v>
          </cell>
          <cell r="R354" t="str">
            <v>Sin Info</v>
          </cell>
        </row>
        <row r="355">
          <cell r="A355">
            <v>2129</v>
          </cell>
          <cell r="B355" t="str">
            <v>Unidad Educativa Gustavo Garcia (Charamo)Capinota</v>
          </cell>
          <cell r="C355" t="str">
            <v>Cochabamba</v>
          </cell>
          <cell r="D355" t="str">
            <v>Capinota</v>
          </cell>
          <cell r="E355" t="str">
            <v>Capinota</v>
          </cell>
          <cell r="F355" t="str">
            <v>Charamoco</v>
          </cell>
          <cell r="G355" t="str">
            <v>Unidad Educativa Gustavo Garcia (Charamo)</v>
          </cell>
          <cell r="H355" t="str">
            <v>Zona 4445</v>
          </cell>
          <cell r="I355" t="str">
            <v>Charamoco</v>
          </cell>
          <cell r="J355" t="str">
            <v>26</v>
          </cell>
          <cell r="K355" t="str">
            <v>Uninominal</v>
          </cell>
          <cell r="L355" t="str">
            <v>-17.6135</v>
          </cell>
          <cell r="M355" t="str">
            <v>-66.2914</v>
          </cell>
          <cell r="N355" t="str">
            <v>Urbano</v>
          </cell>
          <cell r="O355" t="str">
            <v>2129</v>
          </cell>
          <cell r="P355" t="str">
            <v>POINT (-66.2914 -17.6135)</v>
          </cell>
          <cell r="Q355">
            <v>4</v>
          </cell>
          <cell r="R355">
            <v>0.82713750833461552</v>
          </cell>
        </row>
        <row r="356">
          <cell r="A356">
            <v>2130</v>
          </cell>
          <cell r="B356" t="str">
            <v>Escuela ApillapampaCapinota</v>
          </cell>
          <cell r="C356" t="str">
            <v>Cochabamba</v>
          </cell>
          <cell r="D356" t="str">
            <v>Capinota</v>
          </cell>
          <cell r="E356" t="str">
            <v>Capinota</v>
          </cell>
          <cell r="F356" t="str">
            <v>Apillapampa</v>
          </cell>
          <cell r="G356" t="str">
            <v>Escuela Apillapampa</v>
          </cell>
          <cell r="H356" t="str">
            <v>Zona 4451</v>
          </cell>
          <cell r="I356" t="str">
            <v>Apillapampa</v>
          </cell>
          <cell r="J356" t="str">
            <v>26</v>
          </cell>
          <cell r="K356" t="str">
            <v>Uninominal</v>
          </cell>
          <cell r="L356" t="str">
            <v>-17.8623</v>
          </cell>
          <cell r="M356" t="str">
            <v>-66.255</v>
          </cell>
          <cell r="N356" t="str">
            <v>Rural</v>
          </cell>
          <cell r="O356" t="str">
            <v>2130</v>
          </cell>
          <cell r="P356" t="str">
            <v>POINT (-66.255 -17.8623)</v>
          </cell>
          <cell r="Q356">
            <v>3</v>
          </cell>
          <cell r="R356">
            <v>0.94480314011363653</v>
          </cell>
        </row>
        <row r="357">
          <cell r="A357">
            <v>2131</v>
          </cell>
          <cell r="B357" t="str">
            <v>Nucleo Central HornomaCapinota</v>
          </cell>
          <cell r="C357" t="str">
            <v>Cochabamba</v>
          </cell>
          <cell r="D357" t="str">
            <v>Capinota</v>
          </cell>
          <cell r="E357" t="str">
            <v>Capinota</v>
          </cell>
          <cell r="F357" t="str">
            <v>Hornoma</v>
          </cell>
          <cell r="G357" t="str">
            <v>Nucleo Central Hornoma</v>
          </cell>
          <cell r="H357" t="str">
            <v>Zona 4447</v>
          </cell>
          <cell r="I357" t="str">
            <v>Hornoma</v>
          </cell>
          <cell r="J357" t="str">
            <v>26</v>
          </cell>
          <cell r="K357" t="str">
            <v>Uninominal</v>
          </cell>
          <cell r="L357" t="str">
            <v>-17.8866</v>
          </cell>
          <cell r="M357" t="str">
            <v>-66.2013</v>
          </cell>
          <cell r="N357" t="str">
            <v>Rural</v>
          </cell>
          <cell r="O357" t="str">
            <v>2131</v>
          </cell>
          <cell r="P357" t="str">
            <v>POINT (-66.2013 -17.8866)</v>
          </cell>
          <cell r="Q357">
            <v>2</v>
          </cell>
          <cell r="R357">
            <v>0.92738095238095242</v>
          </cell>
        </row>
        <row r="358">
          <cell r="A358">
            <v>2132</v>
          </cell>
          <cell r="B358" t="str">
            <v>Escuela Central MarcaviCapinota</v>
          </cell>
          <cell r="C358" t="str">
            <v>Cochabamba</v>
          </cell>
          <cell r="D358" t="str">
            <v>Capinota</v>
          </cell>
          <cell r="E358" t="str">
            <v>Capinota</v>
          </cell>
          <cell r="F358" t="str">
            <v>Mollini</v>
          </cell>
          <cell r="G358" t="str">
            <v>Escuela Central Marcavi</v>
          </cell>
          <cell r="H358" t="str">
            <v>Zona 4451</v>
          </cell>
          <cell r="I358" t="str">
            <v>Mollini</v>
          </cell>
          <cell r="J358" t="str">
            <v>26</v>
          </cell>
          <cell r="K358" t="str">
            <v>Uninominal</v>
          </cell>
          <cell r="L358" t="str">
            <v>-17.6857</v>
          </cell>
          <cell r="M358" t="str">
            <v>-66.1949</v>
          </cell>
          <cell r="N358" t="str">
            <v>Rural</v>
          </cell>
          <cell r="O358" t="str">
            <v>2132</v>
          </cell>
          <cell r="P358" t="str">
            <v>POINT (-66.1949 -17.6857)</v>
          </cell>
          <cell r="Q358">
            <v>2</v>
          </cell>
          <cell r="R358">
            <v>0.9579411764705883</v>
          </cell>
        </row>
        <row r="359">
          <cell r="A359">
            <v>2133</v>
          </cell>
          <cell r="B359" t="str">
            <v>Unidad Educativa TokoallaCapinota</v>
          </cell>
          <cell r="C359" t="str">
            <v>Cochabamba</v>
          </cell>
          <cell r="D359" t="str">
            <v>Capinota</v>
          </cell>
          <cell r="E359" t="str">
            <v>Capinota</v>
          </cell>
          <cell r="F359" t="str">
            <v>Tocohalla</v>
          </cell>
          <cell r="G359" t="str">
            <v>Unidad Educativa Tokoalla</v>
          </cell>
          <cell r="H359" t="str">
            <v>Zona 4446</v>
          </cell>
          <cell r="I359" t="str">
            <v>Tocohalla</v>
          </cell>
          <cell r="J359" t="str">
            <v>26</v>
          </cell>
          <cell r="K359" t="str">
            <v>Uninominal</v>
          </cell>
          <cell r="L359" t="str">
            <v>-17.860533</v>
          </cell>
          <cell r="M359" t="str">
            <v>-66.130232</v>
          </cell>
          <cell r="N359" t="str">
            <v>Rural</v>
          </cell>
          <cell r="O359" t="str">
            <v>2133</v>
          </cell>
          <cell r="P359" t="str">
            <v>POINT (-66.130232 -17.860533)</v>
          </cell>
          <cell r="Q359">
            <v>1</v>
          </cell>
          <cell r="R359" t="str">
            <v>Sin Info</v>
          </cell>
        </row>
        <row r="360">
          <cell r="A360">
            <v>2134</v>
          </cell>
          <cell r="B360" t="str">
            <v>Unidad Educativa YatamocoCapinota</v>
          </cell>
          <cell r="C360" t="str">
            <v>Cochabamba</v>
          </cell>
          <cell r="D360" t="str">
            <v>Capinota</v>
          </cell>
          <cell r="E360" t="str">
            <v>Capinota</v>
          </cell>
          <cell r="F360" t="str">
            <v>Yatamoco</v>
          </cell>
          <cell r="G360" t="str">
            <v>Unidad Educativa Yatamoco</v>
          </cell>
          <cell r="H360" t="str">
            <v>Zona 4451</v>
          </cell>
          <cell r="I360" t="str">
            <v>Yatamoco</v>
          </cell>
          <cell r="J360" t="str">
            <v>26</v>
          </cell>
          <cell r="K360" t="str">
            <v>Uninominal</v>
          </cell>
          <cell r="L360" t="str">
            <v>-17.7329</v>
          </cell>
          <cell r="M360" t="str">
            <v>-66.2712</v>
          </cell>
          <cell r="N360" t="str">
            <v>Rural</v>
          </cell>
          <cell r="O360" t="str">
            <v>2134</v>
          </cell>
          <cell r="P360" t="str">
            <v>POINT (-66.2712 -17.7329)</v>
          </cell>
          <cell r="Q360">
            <v>3</v>
          </cell>
          <cell r="R360">
            <v>0.86034182649957669</v>
          </cell>
        </row>
        <row r="361">
          <cell r="A361">
            <v>2135</v>
          </cell>
          <cell r="B361" t="str">
            <v>U. E. Playa AnchaCapinota</v>
          </cell>
          <cell r="C361" t="str">
            <v>Cochabamba</v>
          </cell>
          <cell r="D361" t="str">
            <v>Capinota</v>
          </cell>
          <cell r="E361" t="str">
            <v>Capinota</v>
          </cell>
          <cell r="F361" t="str">
            <v>Playa Ancha</v>
          </cell>
          <cell r="G361" t="str">
            <v>U. E. Playa Ancha</v>
          </cell>
          <cell r="H361" t="str">
            <v>Zona 4444</v>
          </cell>
          <cell r="I361" t="str">
            <v>Comunidad Playa Ancha, camino a Santibanez a 9 km de Capinota</v>
          </cell>
          <cell r="J361" t="str">
            <v>26</v>
          </cell>
          <cell r="K361" t="str">
            <v>Uninominal</v>
          </cell>
          <cell r="L361" t="str">
            <v>-17.649308</v>
          </cell>
          <cell r="M361" t="str">
            <v>-66.242402</v>
          </cell>
          <cell r="N361" t="str">
            <v>Rural</v>
          </cell>
          <cell r="O361" t="str">
            <v>2135</v>
          </cell>
          <cell r="P361" t="str">
            <v>POINT (-66.242402 -17.649308)</v>
          </cell>
          <cell r="Q361">
            <v>2</v>
          </cell>
          <cell r="R361">
            <v>0.69444444444444442</v>
          </cell>
        </row>
        <row r="362">
          <cell r="A362">
            <v>2136</v>
          </cell>
          <cell r="B362" t="str">
            <v>Escuela Prudencio Arauco (Santivañez)Santivañez</v>
          </cell>
          <cell r="C362" t="str">
            <v>Cochabamba</v>
          </cell>
          <cell r="D362" t="str">
            <v>Capinota</v>
          </cell>
          <cell r="E362" t="str">
            <v>Santivañez</v>
          </cell>
          <cell r="F362" t="str">
            <v>Santivañez</v>
          </cell>
          <cell r="G362" t="str">
            <v>Escuela Prudencio Arauco (Santivañez)</v>
          </cell>
          <cell r="H362" t="str">
            <v>Zona 4456</v>
          </cell>
          <cell r="I362" t="str">
            <v>Santivañez</v>
          </cell>
          <cell r="J362" t="str">
            <v>26</v>
          </cell>
          <cell r="K362" t="str">
            <v>Uninominal</v>
          </cell>
          <cell r="L362" t="str">
            <v>-17.5487</v>
          </cell>
          <cell r="M362" t="str">
            <v>-66.2481</v>
          </cell>
          <cell r="N362" t="str">
            <v>Rural</v>
          </cell>
          <cell r="O362" t="str">
            <v>2136</v>
          </cell>
          <cell r="P362" t="str">
            <v>POINT (-66.2481 -17.5487)</v>
          </cell>
          <cell r="Q362">
            <v>11</v>
          </cell>
          <cell r="R362">
            <v>0.81627017152575609</v>
          </cell>
        </row>
        <row r="363">
          <cell r="A363">
            <v>2137</v>
          </cell>
          <cell r="B363" t="str">
            <v>Sede Social ChojtamaSantivañez</v>
          </cell>
          <cell r="C363" t="str">
            <v>Cochabamba</v>
          </cell>
          <cell r="D363" t="str">
            <v>Capinota</v>
          </cell>
          <cell r="E363" t="str">
            <v>Santivañez</v>
          </cell>
          <cell r="F363" t="str">
            <v>Chojtama</v>
          </cell>
          <cell r="G363" t="str">
            <v>Sede Social Chojtama</v>
          </cell>
          <cell r="H363" t="str">
            <v>Zona 4455</v>
          </cell>
          <cell r="I363" t="str">
            <v>Chojtama</v>
          </cell>
          <cell r="J363" t="str">
            <v>26</v>
          </cell>
          <cell r="K363" t="str">
            <v>Uninominal</v>
          </cell>
          <cell r="L363" t="str">
            <v>-17.546826</v>
          </cell>
          <cell r="M363" t="str">
            <v>-66.270376</v>
          </cell>
          <cell r="N363" t="str">
            <v>Urbano</v>
          </cell>
          <cell r="O363" t="str">
            <v>2137</v>
          </cell>
          <cell r="P363" t="str">
            <v>POINT (-66.270376 -17.546826)</v>
          </cell>
          <cell r="Q363">
            <v>1</v>
          </cell>
          <cell r="R363">
            <v>0.83173076923076927</v>
          </cell>
        </row>
        <row r="364">
          <cell r="A364">
            <v>2138</v>
          </cell>
          <cell r="B364" t="str">
            <v>U. E. Castor Zambrana HuayñacotaSantivañez</v>
          </cell>
          <cell r="C364" t="str">
            <v>Cochabamba</v>
          </cell>
          <cell r="D364" t="str">
            <v>Capinota</v>
          </cell>
          <cell r="E364" t="str">
            <v>Santivañez</v>
          </cell>
          <cell r="F364" t="str">
            <v>Huayñacota</v>
          </cell>
          <cell r="G364" t="str">
            <v>U. E. Castor Zambrana Huayñacota</v>
          </cell>
          <cell r="H364" t="str">
            <v>Zona 4453</v>
          </cell>
          <cell r="I364" t="str">
            <v>Huayñacota</v>
          </cell>
          <cell r="J364" t="str">
            <v>26</v>
          </cell>
          <cell r="K364" t="str">
            <v>Uninominal</v>
          </cell>
          <cell r="L364" t="str">
            <v>-17.5453</v>
          </cell>
          <cell r="M364" t="str">
            <v>-66.1891</v>
          </cell>
          <cell r="N364" t="str">
            <v>Rural</v>
          </cell>
          <cell r="O364" t="str">
            <v>2138</v>
          </cell>
          <cell r="P364" t="str">
            <v>POINT (-66.1891 -17.5453)</v>
          </cell>
          <cell r="Q364">
            <v>3</v>
          </cell>
          <cell r="R364">
            <v>0.97568990727648475</v>
          </cell>
        </row>
        <row r="365">
          <cell r="A365">
            <v>2139</v>
          </cell>
          <cell r="B365" t="str">
            <v>Unidad Educativa Rocha RanchoSantivañez</v>
          </cell>
          <cell r="C365" t="str">
            <v>Cochabamba</v>
          </cell>
          <cell r="D365" t="str">
            <v>Capinota</v>
          </cell>
          <cell r="E365" t="str">
            <v>Santivañez</v>
          </cell>
          <cell r="F365" t="str">
            <v>Rocha Rancho</v>
          </cell>
          <cell r="G365" t="str">
            <v>Unidad Educativa Rocha Rancho</v>
          </cell>
          <cell r="H365" t="str">
            <v>Zona 4453</v>
          </cell>
          <cell r="I365" t="str">
            <v>Rocha Rancho</v>
          </cell>
          <cell r="J365" t="str">
            <v>26</v>
          </cell>
          <cell r="K365" t="str">
            <v>Uninominal</v>
          </cell>
          <cell r="L365" t="str">
            <v>-17.550201</v>
          </cell>
          <cell r="M365" t="str">
            <v>-66.140106</v>
          </cell>
          <cell r="N365" t="str">
            <v>Urbano</v>
          </cell>
          <cell r="O365" t="str">
            <v>2139</v>
          </cell>
          <cell r="P365" t="str">
            <v>POINT (-66.140106 -17.550201)</v>
          </cell>
          <cell r="Q365">
            <v>3</v>
          </cell>
          <cell r="R365">
            <v>0.91654324234728124</v>
          </cell>
        </row>
        <row r="366">
          <cell r="A366">
            <v>2140</v>
          </cell>
          <cell r="B366" t="str">
            <v>Sub Central Enrique Encinas (Ex Calera)Santivañez</v>
          </cell>
          <cell r="C366" t="str">
            <v>Cochabamba</v>
          </cell>
          <cell r="D366" t="str">
            <v>Capinota</v>
          </cell>
          <cell r="E366" t="str">
            <v>Santivañez</v>
          </cell>
          <cell r="F366" t="str">
            <v>Calera</v>
          </cell>
          <cell r="G366" t="str">
            <v>Sub Central Enrique Encinas (Ex Calera)</v>
          </cell>
          <cell r="H366" t="str">
            <v>Zona 4454</v>
          </cell>
          <cell r="I366" t="str">
            <v>Calera</v>
          </cell>
          <cell r="J366" t="str">
            <v>26</v>
          </cell>
          <cell r="K366" t="str">
            <v>Uninominal</v>
          </cell>
          <cell r="L366" t="str">
            <v>-17.578</v>
          </cell>
          <cell r="M366" t="str">
            <v>-66.2163</v>
          </cell>
          <cell r="N366" t="str">
            <v>Urbano</v>
          </cell>
          <cell r="O366" t="str">
            <v>2140</v>
          </cell>
          <cell r="P366" t="str">
            <v>POINT (-66.2163 -17.578)</v>
          </cell>
          <cell r="Q366">
            <v>3</v>
          </cell>
          <cell r="R366">
            <v>0.94237220015749779</v>
          </cell>
        </row>
        <row r="367">
          <cell r="A367">
            <v>2141</v>
          </cell>
          <cell r="B367" t="str">
            <v>Unidad Educativa Pampa ChurihuaSantivañez</v>
          </cell>
          <cell r="C367" t="str">
            <v>Cochabamba</v>
          </cell>
          <cell r="D367" t="str">
            <v>Capinota</v>
          </cell>
          <cell r="E367" t="str">
            <v>Santivañez</v>
          </cell>
          <cell r="F367" t="str">
            <v>Pampa Churihua</v>
          </cell>
          <cell r="G367" t="str">
            <v>Unidad Educativa Pampa Churihua</v>
          </cell>
          <cell r="H367" t="str">
            <v>Zona 4454</v>
          </cell>
          <cell r="I367" t="str">
            <v>Pampa Churihua</v>
          </cell>
          <cell r="J367" t="str">
            <v>26</v>
          </cell>
          <cell r="K367" t="str">
            <v>Uninominal</v>
          </cell>
          <cell r="L367" t="str">
            <v>-17.6176</v>
          </cell>
          <cell r="M367" t="str">
            <v>-66.1468</v>
          </cell>
          <cell r="N367" t="str">
            <v>Rural</v>
          </cell>
          <cell r="O367" t="str">
            <v>2141</v>
          </cell>
          <cell r="P367" t="str">
            <v>POINT (-66.1468 -17.6176)</v>
          </cell>
          <cell r="Q367">
            <v>1</v>
          </cell>
          <cell r="R367">
            <v>0.9928057553956835</v>
          </cell>
        </row>
        <row r="368">
          <cell r="A368">
            <v>2142</v>
          </cell>
          <cell r="B368" t="str">
            <v>Unidad Educativa CaporayaSantivañez</v>
          </cell>
          <cell r="C368" t="str">
            <v>Cochabamba</v>
          </cell>
          <cell r="D368" t="str">
            <v>Capinota</v>
          </cell>
          <cell r="E368" t="str">
            <v>Santivañez</v>
          </cell>
          <cell r="F368" t="str">
            <v>Caporaya</v>
          </cell>
          <cell r="G368" t="str">
            <v>Unidad Educativa Caporaya</v>
          </cell>
          <cell r="H368" t="str">
            <v>Zona 4455</v>
          </cell>
          <cell r="I368" t="str">
            <v>Caporaya</v>
          </cell>
          <cell r="J368" t="str">
            <v>26</v>
          </cell>
          <cell r="K368" t="str">
            <v>Uninominal</v>
          </cell>
          <cell r="L368" t="str">
            <v>-17.5035</v>
          </cell>
          <cell r="M368" t="str">
            <v>-66.2822</v>
          </cell>
          <cell r="N368" t="str">
            <v>Urbano</v>
          </cell>
          <cell r="O368" t="str">
            <v>2142</v>
          </cell>
          <cell r="P368" t="str">
            <v>POINT (-66.2822 -17.5035)</v>
          </cell>
          <cell r="Q368">
            <v>2</v>
          </cell>
          <cell r="R368">
            <v>0.95138519699923207</v>
          </cell>
        </row>
        <row r="369">
          <cell r="A369">
            <v>2143</v>
          </cell>
          <cell r="B369" t="str">
            <v>Unidad Educativa Jose RiveraSantivañez</v>
          </cell>
          <cell r="C369" t="str">
            <v>Cochabamba</v>
          </cell>
          <cell r="D369" t="str">
            <v>Capinota</v>
          </cell>
          <cell r="E369" t="str">
            <v>Santivañez</v>
          </cell>
          <cell r="F369" t="str">
            <v>Poquera</v>
          </cell>
          <cell r="G369" t="str">
            <v>Unidad Educativa Jose Rivera</v>
          </cell>
          <cell r="H369" t="str">
            <v>Zona 4454</v>
          </cell>
          <cell r="I369" t="str">
            <v>Poquera</v>
          </cell>
          <cell r="J369" t="str">
            <v>26</v>
          </cell>
          <cell r="K369" t="str">
            <v>Uninominal</v>
          </cell>
          <cell r="L369" t="str">
            <v>-17.6153</v>
          </cell>
          <cell r="M369" t="str">
            <v>-66.2628</v>
          </cell>
          <cell r="N369" t="str">
            <v>Urbano</v>
          </cell>
          <cell r="O369" t="str">
            <v>2143</v>
          </cell>
          <cell r="P369" t="str">
            <v>POINT (-66.2628 -17.6153)</v>
          </cell>
          <cell r="Q369">
            <v>2</v>
          </cell>
          <cell r="R369">
            <v>0.78365384615384615</v>
          </cell>
        </row>
        <row r="370">
          <cell r="A370">
            <v>2144</v>
          </cell>
          <cell r="B370" t="str">
            <v>Nucleo Humanistico SicayaSicaya</v>
          </cell>
          <cell r="C370" t="str">
            <v>Cochabamba</v>
          </cell>
          <cell r="D370" t="str">
            <v>Capinota</v>
          </cell>
          <cell r="E370" t="str">
            <v>Sicaya</v>
          </cell>
          <cell r="F370" t="str">
            <v>Sicaya</v>
          </cell>
          <cell r="G370" t="str">
            <v>Nucleo Humanistico Sicaya</v>
          </cell>
          <cell r="H370" t="str">
            <v>Zona 4457</v>
          </cell>
          <cell r="I370" t="str">
            <v>Sicaya</v>
          </cell>
          <cell r="J370" t="str">
            <v>26</v>
          </cell>
          <cell r="K370" t="str">
            <v>Uninominal</v>
          </cell>
          <cell r="L370" t="str">
            <v>-17.8005</v>
          </cell>
          <cell r="M370" t="str">
            <v>-66.3328</v>
          </cell>
          <cell r="N370" t="str">
            <v>Urbano</v>
          </cell>
          <cell r="O370" t="str">
            <v>2144</v>
          </cell>
          <cell r="P370" t="str">
            <v>POINT (-66.3328 -17.8005)</v>
          </cell>
          <cell r="Q370">
            <v>5</v>
          </cell>
          <cell r="R370">
            <v>0.97078475858288016</v>
          </cell>
        </row>
        <row r="371">
          <cell r="A371">
            <v>2145</v>
          </cell>
          <cell r="B371" t="str">
            <v>U. E. OrcomaSicaya</v>
          </cell>
          <cell r="C371" t="str">
            <v>Cochabamba</v>
          </cell>
          <cell r="D371" t="str">
            <v>Capinota</v>
          </cell>
          <cell r="E371" t="str">
            <v>Sicaya</v>
          </cell>
          <cell r="F371" t="str">
            <v>Orcoma</v>
          </cell>
          <cell r="G371" t="str">
            <v>U. E. Orcoma</v>
          </cell>
          <cell r="H371" t="str">
            <v>Zona 4460</v>
          </cell>
          <cell r="I371" t="str">
            <v>Comunidad Orcoma. Zona Central de la Población Orcoma</v>
          </cell>
          <cell r="J371" t="str">
            <v>26</v>
          </cell>
          <cell r="K371" t="str">
            <v>Uninominal</v>
          </cell>
          <cell r="L371" t="str">
            <v>-17.749111</v>
          </cell>
          <cell r="M371" t="str">
            <v>-66.355109</v>
          </cell>
          <cell r="N371" t="str">
            <v>Rural</v>
          </cell>
          <cell r="O371" t="str">
            <v>2145</v>
          </cell>
          <cell r="P371" t="str">
            <v>POINT (-66.355109 -17.749111)</v>
          </cell>
          <cell r="Q371">
            <v>3</v>
          </cell>
          <cell r="R371">
            <v>0.92236286403093815</v>
          </cell>
        </row>
        <row r="372">
          <cell r="A372">
            <v>2146</v>
          </cell>
          <cell r="B372" t="str">
            <v>Colegio Juan de Dios BalderramaCliza</v>
          </cell>
          <cell r="C372" t="str">
            <v>Cochabamba</v>
          </cell>
          <cell r="D372" t="str">
            <v>Germán Jordán</v>
          </cell>
          <cell r="E372" t="str">
            <v>Cliza</v>
          </cell>
          <cell r="F372" t="str">
            <v>Cliza</v>
          </cell>
          <cell r="G372" t="str">
            <v>Colegio Juan de Dios Balderrama</v>
          </cell>
          <cell r="H372" t="str">
            <v>Zona 4465</v>
          </cell>
          <cell r="I372" t="str">
            <v>Calle Walter Rosales</v>
          </cell>
          <cell r="J372" t="str">
            <v>26</v>
          </cell>
          <cell r="K372" t="str">
            <v>Uninominal</v>
          </cell>
          <cell r="L372" t="str">
            <v>-17.5912</v>
          </cell>
          <cell r="M372" t="str">
            <v>-65.9337</v>
          </cell>
          <cell r="N372" t="str">
            <v>Urbano</v>
          </cell>
          <cell r="O372" t="str">
            <v>2146</v>
          </cell>
          <cell r="P372" t="str">
            <v>POINT (-65.9337 -17.5912)</v>
          </cell>
          <cell r="Q372">
            <v>29</v>
          </cell>
          <cell r="R372">
            <v>0.72780311366501804</v>
          </cell>
        </row>
        <row r="373">
          <cell r="A373">
            <v>2147</v>
          </cell>
          <cell r="B373" t="str">
            <v>Escuela SucreCliza</v>
          </cell>
          <cell r="C373" t="str">
            <v>Cochabamba</v>
          </cell>
          <cell r="D373" t="str">
            <v>Germán Jordán</v>
          </cell>
          <cell r="E373" t="str">
            <v>Cliza</v>
          </cell>
          <cell r="F373" t="str">
            <v>Cliza</v>
          </cell>
          <cell r="G373" t="str">
            <v>Escuela Sucre</v>
          </cell>
          <cell r="H373" t="str">
            <v>Zona 4465</v>
          </cell>
          <cell r="I373" t="str">
            <v>Cliza</v>
          </cell>
          <cell r="J373" t="str">
            <v>26</v>
          </cell>
          <cell r="K373" t="str">
            <v>Uninominal</v>
          </cell>
          <cell r="L373" t="str">
            <v>-17.594</v>
          </cell>
          <cell r="M373" t="str">
            <v>-65.9311</v>
          </cell>
          <cell r="N373" t="str">
            <v>Rural</v>
          </cell>
          <cell r="O373" t="str">
            <v>2147</v>
          </cell>
          <cell r="P373" t="str">
            <v>POINT (-65.9311 -17.594)</v>
          </cell>
          <cell r="Q373">
            <v>17</v>
          </cell>
          <cell r="R373">
            <v>0.74885547265919683</v>
          </cell>
        </row>
        <row r="374">
          <cell r="A374">
            <v>2148</v>
          </cell>
          <cell r="B374" t="str">
            <v>U.E. Perez RanchoCliza</v>
          </cell>
          <cell r="C374" t="str">
            <v>Cochabamba</v>
          </cell>
          <cell r="D374" t="str">
            <v>Germán Jordán</v>
          </cell>
          <cell r="E374" t="str">
            <v>Cliza</v>
          </cell>
          <cell r="F374" t="str">
            <v>Cliza</v>
          </cell>
          <cell r="G374" t="str">
            <v>U.E. Perez Rancho</v>
          </cell>
          <cell r="H374" t="str">
            <v>Zona 4465</v>
          </cell>
          <cell r="I374" t="str">
            <v>Perez Rancho</v>
          </cell>
          <cell r="J374" t="str">
            <v>26</v>
          </cell>
          <cell r="K374" t="str">
            <v>Uninominal</v>
          </cell>
          <cell r="L374" t="str">
            <v>-17.57149</v>
          </cell>
          <cell r="M374" t="str">
            <v>-65.931011</v>
          </cell>
          <cell r="N374" t="str">
            <v>Rural</v>
          </cell>
          <cell r="O374" t="str">
            <v>2148</v>
          </cell>
          <cell r="P374" t="str">
            <v>POINT (-65.931011 -17.57149)</v>
          </cell>
          <cell r="Q374">
            <v>0</v>
          </cell>
          <cell r="R374" t="str">
            <v>Sin Info</v>
          </cell>
        </row>
        <row r="375">
          <cell r="A375">
            <v>2149</v>
          </cell>
          <cell r="B375" t="str">
            <v>U.E. El PorvenirCliza</v>
          </cell>
          <cell r="C375" t="str">
            <v>Cochabamba</v>
          </cell>
          <cell r="D375" t="str">
            <v>Germán Jordán</v>
          </cell>
          <cell r="E375" t="str">
            <v>Cliza</v>
          </cell>
          <cell r="F375" t="str">
            <v>Cliza</v>
          </cell>
          <cell r="G375" t="str">
            <v>U.E. El Porvenir</v>
          </cell>
          <cell r="H375" t="str">
            <v>Zona 4465</v>
          </cell>
          <cell r="I375" t="str">
            <v>El Porvenir</v>
          </cell>
          <cell r="J375" t="str">
            <v>26</v>
          </cell>
          <cell r="K375" t="str">
            <v>Uninominal</v>
          </cell>
          <cell r="L375" t="str">
            <v>-17.561304</v>
          </cell>
          <cell r="M375" t="str">
            <v>-65.942632</v>
          </cell>
          <cell r="N375" t="str">
            <v>Rural</v>
          </cell>
          <cell r="O375" t="str">
            <v>2149</v>
          </cell>
          <cell r="P375" t="str">
            <v>POINT (-65.942632 -17.561304)</v>
          </cell>
          <cell r="Q375">
            <v>0</v>
          </cell>
          <cell r="R375" t="str">
            <v>Sin Info</v>
          </cell>
        </row>
        <row r="376">
          <cell r="A376">
            <v>2150</v>
          </cell>
          <cell r="B376" t="str">
            <v>Unidad Educativa ChullpasCliza</v>
          </cell>
          <cell r="C376" t="str">
            <v>Cochabamba</v>
          </cell>
          <cell r="D376" t="str">
            <v>Germán Jordán</v>
          </cell>
          <cell r="E376" t="str">
            <v>Cliza</v>
          </cell>
          <cell r="F376" t="str">
            <v>Chullpas</v>
          </cell>
          <cell r="G376" t="str">
            <v>Unidad Educativa Chullpas</v>
          </cell>
          <cell r="H376" t="str">
            <v>Zona 4461</v>
          </cell>
          <cell r="I376" t="str">
            <v>Chullpas</v>
          </cell>
          <cell r="J376" t="str">
            <v>26</v>
          </cell>
          <cell r="K376" t="str">
            <v>Uninominal</v>
          </cell>
          <cell r="L376" t="str">
            <v>-17.6072</v>
          </cell>
          <cell r="M376" t="str">
            <v>-65.9477</v>
          </cell>
          <cell r="N376" t="str">
            <v>Rural</v>
          </cell>
          <cell r="O376" t="str">
            <v>2150</v>
          </cell>
          <cell r="P376" t="str">
            <v>POINT (-65.9477 -17.6072)</v>
          </cell>
          <cell r="Q376">
            <v>4</v>
          </cell>
          <cell r="R376">
            <v>0.85765679157135299</v>
          </cell>
        </row>
        <row r="377">
          <cell r="A377">
            <v>2151</v>
          </cell>
          <cell r="B377" t="str">
            <v>Unidad Educativa HuasacalleCliza</v>
          </cell>
          <cell r="C377" t="str">
            <v>Cochabamba</v>
          </cell>
          <cell r="D377" t="str">
            <v>Germán Jordán</v>
          </cell>
          <cell r="E377" t="str">
            <v>Cliza</v>
          </cell>
          <cell r="F377" t="str">
            <v>Huasacalle</v>
          </cell>
          <cell r="G377" t="str">
            <v>Unidad Educativa Huasacalle</v>
          </cell>
          <cell r="H377" t="str">
            <v>Zona 4465</v>
          </cell>
          <cell r="I377" t="str">
            <v>Huasacalle</v>
          </cell>
          <cell r="J377" t="str">
            <v>26</v>
          </cell>
          <cell r="K377" t="str">
            <v>Uninominal</v>
          </cell>
          <cell r="L377" t="str">
            <v>-17.5931</v>
          </cell>
          <cell r="M377" t="str">
            <v>-65.9095</v>
          </cell>
          <cell r="N377" t="str">
            <v>Urbano</v>
          </cell>
          <cell r="O377" t="str">
            <v>2151</v>
          </cell>
          <cell r="P377" t="str">
            <v>POINT (-65.9095 -17.5931)</v>
          </cell>
          <cell r="Q377">
            <v>4</v>
          </cell>
          <cell r="R377">
            <v>0.8674096911856396</v>
          </cell>
        </row>
        <row r="378">
          <cell r="A378">
            <v>2152</v>
          </cell>
          <cell r="B378" t="str">
            <v>Colegio Nacional Mixto UcureñaCliza</v>
          </cell>
          <cell r="C378" t="str">
            <v>Cochabamba</v>
          </cell>
          <cell r="D378" t="str">
            <v>Germán Jordán</v>
          </cell>
          <cell r="E378" t="str">
            <v>Cliza</v>
          </cell>
          <cell r="F378" t="str">
            <v>Ucureña</v>
          </cell>
          <cell r="G378" t="str">
            <v>Colegio Nacional Mixto Ucureña</v>
          </cell>
          <cell r="H378" t="str">
            <v>Zona 4465</v>
          </cell>
          <cell r="I378" t="str">
            <v>Ucureña</v>
          </cell>
          <cell r="J378" t="str">
            <v>26</v>
          </cell>
          <cell r="K378" t="str">
            <v>Uninominal</v>
          </cell>
          <cell r="L378" t="str">
            <v>-17.5809</v>
          </cell>
          <cell r="M378" t="str">
            <v>-65.9067</v>
          </cell>
          <cell r="N378" t="str">
            <v>Urbano</v>
          </cell>
          <cell r="O378" t="str">
            <v>2152</v>
          </cell>
          <cell r="P378" t="str">
            <v>POINT (-65.9067 -17.5809)</v>
          </cell>
          <cell r="Q378">
            <v>11</v>
          </cell>
          <cell r="R378">
            <v>0.796252348835914</v>
          </cell>
        </row>
        <row r="379">
          <cell r="A379">
            <v>2153</v>
          </cell>
          <cell r="B379" t="str">
            <v>Unidad Educativa Santa LuciaCliza</v>
          </cell>
          <cell r="C379" t="str">
            <v>Cochabamba</v>
          </cell>
          <cell r="D379" t="str">
            <v>Germán Jordán</v>
          </cell>
          <cell r="E379" t="str">
            <v>Cliza</v>
          </cell>
          <cell r="F379" t="str">
            <v>Santa Lucia</v>
          </cell>
          <cell r="G379" t="str">
            <v>Unidad Educativa Santa Lucia</v>
          </cell>
          <cell r="H379" t="str">
            <v>Zona 4465</v>
          </cell>
          <cell r="I379" t="str">
            <v>Santa Lucia</v>
          </cell>
          <cell r="J379" t="str">
            <v>26</v>
          </cell>
          <cell r="K379" t="str">
            <v>Uninominal</v>
          </cell>
          <cell r="L379" t="str">
            <v>-17.5862</v>
          </cell>
          <cell r="M379" t="str">
            <v>-65.9582</v>
          </cell>
          <cell r="N379" t="str">
            <v>Urbano</v>
          </cell>
          <cell r="O379" t="str">
            <v>2153</v>
          </cell>
          <cell r="P379" t="str">
            <v>POINT (-65.9582 -17.5862)</v>
          </cell>
          <cell r="Q379">
            <v>3</v>
          </cell>
          <cell r="R379">
            <v>0.75809895108140724</v>
          </cell>
        </row>
        <row r="380">
          <cell r="A380">
            <v>2154</v>
          </cell>
          <cell r="B380" t="str">
            <v>Escuela San IsidroCliza</v>
          </cell>
          <cell r="C380" t="str">
            <v>Cochabamba</v>
          </cell>
          <cell r="D380" t="str">
            <v>Germán Jordán</v>
          </cell>
          <cell r="E380" t="str">
            <v>Cliza</v>
          </cell>
          <cell r="F380" t="str">
            <v>San Isidro</v>
          </cell>
          <cell r="G380" t="str">
            <v>Escuela San Isidro</v>
          </cell>
          <cell r="H380" t="str">
            <v>Zona 4464</v>
          </cell>
          <cell r="I380" t="str">
            <v>Comunidad San Isidro. al oeste del municipio de Cliza</v>
          </cell>
          <cell r="J380" t="str">
            <v>26</v>
          </cell>
          <cell r="K380" t="str">
            <v>Uninominal</v>
          </cell>
          <cell r="L380" t="str">
            <v>-17.5631</v>
          </cell>
          <cell r="M380" t="str">
            <v>-65.9716</v>
          </cell>
          <cell r="N380" t="str">
            <v>Urbano</v>
          </cell>
          <cell r="O380" t="str">
            <v>2154</v>
          </cell>
          <cell r="P380" t="str">
            <v>POINT (-65.9716 -17.5631)</v>
          </cell>
          <cell r="Q380">
            <v>2</v>
          </cell>
          <cell r="R380">
            <v>0.86281435860278366</v>
          </cell>
        </row>
        <row r="381">
          <cell r="A381">
            <v>2155</v>
          </cell>
          <cell r="B381" t="str">
            <v>U. E. Villa El CarmenCliza</v>
          </cell>
          <cell r="C381" t="str">
            <v>Cochabamba</v>
          </cell>
          <cell r="D381" t="str">
            <v>Germán Jordán</v>
          </cell>
          <cell r="E381" t="str">
            <v>Cliza</v>
          </cell>
          <cell r="F381" t="str">
            <v>Villa El Carmen</v>
          </cell>
          <cell r="G381" t="str">
            <v>U. E. Villa El Carmen</v>
          </cell>
          <cell r="H381" t="str">
            <v>Zona 4465</v>
          </cell>
          <cell r="I381" t="str">
            <v>OTB Villa El Carmen, carretera de Cliza a Tarata, Av. Libertadores</v>
          </cell>
          <cell r="J381" t="str">
            <v>26</v>
          </cell>
          <cell r="K381" t="str">
            <v>Uninominal</v>
          </cell>
          <cell r="L381" t="str">
            <v>-17.597</v>
          </cell>
          <cell r="M381" t="str">
            <v>-65.952</v>
          </cell>
          <cell r="N381" t="str">
            <v>Urbano</v>
          </cell>
          <cell r="O381" t="str">
            <v>2155</v>
          </cell>
          <cell r="P381" t="str">
            <v>POINT (-65.952 -17.597)</v>
          </cell>
          <cell r="Q381">
            <v>1</v>
          </cell>
          <cell r="R381">
            <v>0.82317073170731703</v>
          </cell>
        </row>
        <row r="382">
          <cell r="A382">
            <v>2156</v>
          </cell>
          <cell r="B382" t="str">
            <v>Colegio AmbrosiniToco</v>
          </cell>
          <cell r="C382" t="str">
            <v>Cochabamba</v>
          </cell>
          <cell r="D382" t="str">
            <v>Germán Jordán</v>
          </cell>
          <cell r="E382" t="str">
            <v>Toco</v>
          </cell>
          <cell r="F382" t="str">
            <v>Toco</v>
          </cell>
          <cell r="G382" t="str">
            <v>Colegio Ambrosini</v>
          </cell>
          <cell r="H382" t="str">
            <v>Zona 4466</v>
          </cell>
          <cell r="I382" t="str">
            <v>Toco</v>
          </cell>
          <cell r="J382" t="str">
            <v>26</v>
          </cell>
          <cell r="K382" t="str">
            <v>Uninominal</v>
          </cell>
          <cell r="L382" t="str">
            <v>-17.6297</v>
          </cell>
          <cell r="M382" t="str">
            <v>-65.9278</v>
          </cell>
          <cell r="N382" t="str">
            <v>Urbano</v>
          </cell>
          <cell r="O382" t="str">
            <v>2156</v>
          </cell>
          <cell r="P382" t="str">
            <v>POINT (-65.9278 -17.6297)</v>
          </cell>
          <cell r="Q382">
            <v>11</v>
          </cell>
          <cell r="R382">
            <v>0.85695185736850743</v>
          </cell>
        </row>
        <row r="383">
          <cell r="A383">
            <v>2157</v>
          </cell>
          <cell r="B383" t="str">
            <v>Unidad Educativa SichesToco</v>
          </cell>
          <cell r="C383" t="str">
            <v>Cochabamba</v>
          </cell>
          <cell r="D383" t="str">
            <v>Germán Jordán</v>
          </cell>
          <cell r="E383" t="str">
            <v>Toco</v>
          </cell>
          <cell r="F383" t="str">
            <v>Siches</v>
          </cell>
          <cell r="G383" t="str">
            <v>Unidad Educativa Siches</v>
          </cell>
          <cell r="H383" t="str">
            <v>Zona 4466</v>
          </cell>
          <cell r="I383" t="str">
            <v>Siches</v>
          </cell>
          <cell r="J383" t="str">
            <v>26</v>
          </cell>
          <cell r="K383" t="str">
            <v>Uninominal</v>
          </cell>
          <cell r="L383" t="str">
            <v>-17.668</v>
          </cell>
          <cell r="M383" t="str">
            <v>-65.9456</v>
          </cell>
          <cell r="N383" t="str">
            <v>Urbano</v>
          </cell>
          <cell r="O383" t="str">
            <v>2157</v>
          </cell>
          <cell r="P383" t="str">
            <v>POINT (-65.9456 -17.668)</v>
          </cell>
          <cell r="Q383">
            <v>2</v>
          </cell>
          <cell r="R383">
            <v>0.89407216494845354</v>
          </cell>
        </row>
        <row r="384">
          <cell r="A384">
            <v>2158</v>
          </cell>
          <cell r="B384" t="str">
            <v>U.E. Ana RanchoToco</v>
          </cell>
          <cell r="C384" t="str">
            <v>Cochabamba</v>
          </cell>
          <cell r="D384" t="str">
            <v>Germán Jordán</v>
          </cell>
          <cell r="E384" t="str">
            <v>Toco</v>
          </cell>
          <cell r="F384" t="str">
            <v>Ana Rancho</v>
          </cell>
          <cell r="G384" t="str">
            <v>U.E. Ana Rancho</v>
          </cell>
          <cell r="H384" t="str">
            <v>Zona 4466</v>
          </cell>
          <cell r="I384" t="str">
            <v>Ana Rancho</v>
          </cell>
          <cell r="J384" t="str">
            <v>26</v>
          </cell>
          <cell r="K384" t="str">
            <v>Uninominal</v>
          </cell>
          <cell r="L384" t="str">
            <v>-17.6111</v>
          </cell>
          <cell r="M384" t="str">
            <v>-65.9102</v>
          </cell>
          <cell r="N384" t="str">
            <v>Urbano</v>
          </cell>
          <cell r="O384" t="str">
            <v>2158</v>
          </cell>
          <cell r="P384" t="str">
            <v>POINT (-65.9102 -17.6111)</v>
          </cell>
          <cell r="Q384">
            <v>2</v>
          </cell>
          <cell r="R384">
            <v>0.89186870739085278</v>
          </cell>
        </row>
        <row r="385">
          <cell r="A385">
            <v>2159</v>
          </cell>
          <cell r="B385" t="str">
            <v>U.E. Chullpa LomaToco</v>
          </cell>
          <cell r="C385" t="str">
            <v>Cochabamba</v>
          </cell>
          <cell r="D385" t="str">
            <v>Germán Jordán</v>
          </cell>
          <cell r="E385" t="str">
            <v>Toco</v>
          </cell>
          <cell r="F385" t="str">
            <v>Chullpa Loma</v>
          </cell>
          <cell r="G385" t="str">
            <v>U.E. Chullpa Loma</v>
          </cell>
          <cell r="H385" t="str">
            <v>Zona 4466</v>
          </cell>
          <cell r="I385" t="str">
            <v>Chullpa Loma</v>
          </cell>
          <cell r="J385" t="str">
            <v>26</v>
          </cell>
          <cell r="K385" t="str">
            <v>Uninominal</v>
          </cell>
          <cell r="L385" t="str">
            <v>-17.6387</v>
          </cell>
          <cell r="M385" t="str">
            <v>-65.9116</v>
          </cell>
          <cell r="N385" t="str">
            <v>Urbano</v>
          </cell>
          <cell r="O385" t="str">
            <v>2159</v>
          </cell>
          <cell r="P385" t="str">
            <v>POINT (-65.9116 -17.6387)</v>
          </cell>
          <cell r="Q385">
            <v>2</v>
          </cell>
          <cell r="R385">
            <v>0.86697330447330445</v>
          </cell>
        </row>
        <row r="386">
          <cell r="A386">
            <v>2160</v>
          </cell>
          <cell r="B386" t="str">
            <v>Colegio Victor RosalesTolata</v>
          </cell>
          <cell r="C386" t="str">
            <v>Cochabamba</v>
          </cell>
          <cell r="D386" t="str">
            <v>Germán Jordán</v>
          </cell>
          <cell r="E386" t="str">
            <v>Tolata</v>
          </cell>
          <cell r="F386" t="str">
            <v>Tolata</v>
          </cell>
          <cell r="G386" t="str">
            <v>Colegio Victor Rosales</v>
          </cell>
          <cell r="H386" t="str">
            <v>Zona 4468</v>
          </cell>
          <cell r="I386" t="str">
            <v>Tolata</v>
          </cell>
          <cell r="J386" t="str">
            <v>26</v>
          </cell>
          <cell r="K386" t="str">
            <v>Uninominal</v>
          </cell>
          <cell r="L386" t="str">
            <v>-17.5331</v>
          </cell>
          <cell r="M386" t="str">
            <v>-65.9641</v>
          </cell>
          <cell r="N386" t="str">
            <v>Urbano</v>
          </cell>
          <cell r="O386" t="str">
            <v>2160</v>
          </cell>
          <cell r="P386" t="str">
            <v>POINT (-65.9641 -17.5331)</v>
          </cell>
          <cell r="Q386">
            <v>11</v>
          </cell>
          <cell r="R386">
            <v>0.76765783865759663</v>
          </cell>
        </row>
        <row r="387">
          <cell r="A387">
            <v>2161</v>
          </cell>
          <cell r="B387" t="str">
            <v>Escuela Santa Maria (Carcaje)Tolata</v>
          </cell>
          <cell r="C387" t="str">
            <v>Cochabamba</v>
          </cell>
          <cell r="D387" t="str">
            <v>Germán Jordán</v>
          </cell>
          <cell r="E387" t="str">
            <v>Tolata</v>
          </cell>
          <cell r="F387" t="str">
            <v>Carcaje</v>
          </cell>
          <cell r="G387" t="str">
            <v>Escuela Santa Maria (Carcaje)</v>
          </cell>
          <cell r="H387" t="str">
            <v>Zona 4468</v>
          </cell>
          <cell r="I387" t="str">
            <v>Carcaje</v>
          </cell>
          <cell r="J387" t="str">
            <v>26</v>
          </cell>
          <cell r="K387" t="str">
            <v>Uninominal</v>
          </cell>
          <cell r="L387" t="str">
            <v>-17.5455</v>
          </cell>
          <cell r="M387" t="str">
            <v>-66.0082</v>
          </cell>
          <cell r="N387" t="str">
            <v>Urbano</v>
          </cell>
          <cell r="O387" t="str">
            <v>2161</v>
          </cell>
          <cell r="P387" t="str">
            <v>POINT (-66.0082 -17.5455)</v>
          </cell>
          <cell r="Q387">
            <v>10</v>
          </cell>
          <cell r="R387">
            <v>0.6895079307514983</v>
          </cell>
        </row>
        <row r="388">
          <cell r="A388">
            <v>2162</v>
          </cell>
          <cell r="B388" t="str">
            <v>U. E. Complejo CarcajeTolata</v>
          </cell>
          <cell r="C388" t="str">
            <v>Cochabamba</v>
          </cell>
          <cell r="D388" t="str">
            <v>Germán Jordán</v>
          </cell>
          <cell r="E388" t="str">
            <v>Tolata</v>
          </cell>
          <cell r="F388" t="str">
            <v>Junta Vecinal de la Comunidad de Complejo Carcaje</v>
          </cell>
          <cell r="G388" t="str">
            <v>U. E. Complejo Carcaje</v>
          </cell>
          <cell r="H388" t="str">
            <v>Zona 4468</v>
          </cell>
          <cell r="I388" t="str">
            <v>Carretera Antigua Cochabamba - Santa Cruz Km 19.5</v>
          </cell>
          <cell r="J388" t="str">
            <v>26</v>
          </cell>
          <cell r="K388" t="str">
            <v>Uninominal</v>
          </cell>
          <cell r="L388" t="str">
            <v>-17.542128</v>
          </cell>
          <cell r="M388" t="str">
            <v>-66.060536</v>
          </cell>
          <cell r="N388" t="str">
            <v>Urbano</v>
          </cell>
          <cell r="O388" t="str">
            <v>2162</v>
          </cell>
          <cell r="P388" t="str">
            <v>POINT (-66.060536 -17.542128)</v>
          </cell>
          <cell r="Q388">
            <v>3</v>
          </cell>
          <cell r="R388" t="str">
            <v>Sin Info</v>
          </cell>
        </row>
        <row r="389">
          <cell r="A389">
            <v>2163</v>
          </cell>
          <cell r="B389" t="str">
            <v>Colegio Cristina PradaQuillacollo</v>
          </cell>
          <cell r="C389" t="str">
            <v>Cochabamba</v>
          </cell>
          <cell r="D389" t="str">
            <v>Quillacollo</v>
          </cell>
          <cell r="E389" t="str">
            <v>Quillacollo</v>
          </cell>
          <cell r="F389" t="str">
            <v>Quillacollo</v>
          </cell>
          <cell r="G389" t="str">
            <v>Colegio Cristina Prada</v>
          </cell>
          <cell r="H389" t="str">
            <v>Villa Moderna</v>
          </cell>
          <cell r="I389" t="str">
            <v>23 de Marzo S/N y Carmela Cerruto</v>
          </cell>
          <cell r="J389" t="str">
            <v>28</v>
          </cell>
          <cell r="K389" t="str">
            <v>Uninominal</v>
          </cell>
          <cell r="L389" t="str">
            <v>-17.3927</v>
          </cell>
          <cell r="M389" t="str">
            <v>-66.279</v>
          </cell>
          <cell r="N389" t="str">
            <v>Urbano</v>
          </cell>
          <cell r="O389" t="str">
            <v>2163</v>
          </cell>
          <cell r="P389" t="str">
            <v>POINT (-66.279 -17.3927)</v>
          </cell>
          <cell r="Q389">
            <v>14</v>
          </cell>
          <cell r="R389">
            <v>0.3641739205933035</v>
          </cell>
        </row>
        <row r="390">
          <cell r="A390">
            <v>2164</v>
          </cell>
          <cell r="B390" t="str">
            <v>Colegio Franz TamayoQuillacollo</v>
          </cell>
          <cell r="C390" t="str">
            <v>Cochabamba</v>
          </cell>
          <cell r="D390" t="str">
            <v>Quillacollo</v>
          </cell>
          <cell r="E390" t="str">
            <v>Quillacollo</v>
          </cell>
          <cell r="F390" t="str">
            <v>Quillacollo</v>
          </cell>
          <cell r="G390" t="str">
            <v>Colegio Franz Tamayo</v>
          </cell>
          <cell r="H390" t="str">
            <v>Villa Moderna</v>
          </cell>
          <cell r="I390" t="str">
            <v>Av. Suarez Miranda Nro 515</v>
          </cell>
          <cell r="J390" t="str">
            <v>28</v>
          </cell>
          <cell r="K390" t="str">
            <v>Uninominal</v>
          </cell>
          <cell r="L390" t="str">
            <v>-17.3883</v>
          </cell>
          <cell r="M390" t="str">
            <v>-66.2808</v>
          </cell>
          <cell r="N390" t="str">
            <v>Urbano</v>
          </cell>
          <cell r="O390" t="str">
            <v>2164</v>
          </cell>
          <cell r="P390" t="str">
            <v>POINT (-66.2808 -17.3883)</v>
          </cell>
          <cell r="Q390">
            <v>23</v>
          </cell>
          <cell r="R390">
            <v>0.42852084149233077</v>
          </cell>
        </row>
        <row r="391">
          <cell r="A391">
            <v>2165</v>
          </cell>
          <cell r="B391" t="str">
            <v>Unidad Educativa Nestor Adriazola (Ex Colegio Nacional Calama)Quillacollo</v>
          </cell>
          <cell r="C391" t="str">
            <v>Cochabamba</v>
          </cell>
          <cell r="D391" t="str">
            <v>Quillacollo</v>
          </cell>
          <cell r="E391" t="str">
            <v>Quillacollo</v>
          </cell>
          <cell r="F391" t="str">
            <v>Quillacollo</v>
          </cell>
          <cell r="G391" t="str">
            <v>Unidad Educativa Nestor Adriazola (Ex Colegio Nacional Calama)</v>
          </cell>
          <cell r="H391" t="str">
            <v>Constantino Morales</v>
          </cell>
          <cell r="I391" t="str">
            <v>Av. Constantino Morales y Av. Blanco Galindonro 13</v>
          </cell>
          <cell r="J391" t="str">
            <v>28</v>
          </cell>
          <cell r="K391" t="str">
            <v>Uninominal</v>
          </cell>
          <cell r="L391" t="str">
            <v>-17.394</v>
          </cell>
          <cell r="M391" t="str">
            <v>-66.2849</v>
          </cell>
          <cell r="N391" t="str">
            <v>Urbano</v>
          </cell>
          <cell r="O391" t="str">
            <v>2165</v>
          </cell>
          <cell r="P391" t="str">
            <v>POINT (-66.2849 -17.394)</v>
          </cell>
          <cell r="Q391">
            <v>32</v>
          </cell>
          <cell r="R391">
            <v>0.54568418652664119</v>
          </cell>
        </row>
        <row r="392">
          <cell r="A392">
            <v>2166</v>
          </cell>
          <cell r="B392" t="str">
            <v>Escuela 12 de SeptiembreQuillacollo</v>
          </cell>
          <cell r="C392" t="str">
            <v>Cochabamba</v>
          </cell>
          <cell r="D392" t="str">
            <v>Quillacollo</v>
          </cell>
          <cell r="E392" t="str">
            <v>Quillacollo</v>
          </cell>
          <cell r="F392" t="str">
            <v>Quillacollo</v>
          </cell>
          <cell r="G392" t="str">
            <v>Escuela 12 de Septiembre</v>
          </cell>
          <cell r="H392" t="str">
            <v>Villa Providencia Norte</v>
          </cell>
          <cell r="I392" t="str">
            <v>General Camacho Final Sud</v>
          </cell>
          <cell r="J392" t="str">
            <v>28</v>
          </cell>
          <cell r="K392" t="str">
            <v>Uninominal</v>
          </cell>
          <cell r="L392" t="str">
            <v>-17.4117</v>
          </cell>
          <cell r="M392" t="str">
            <v>-66.2793</v>
          </cell>
          <cell r="N392" t="str">
            <v>Urbano</v>
          </cell>
          <cell r="O392" t="str">
            <v>2166</v>
          </cell>
          <cell r="P392" t="str">
            <v>POINT (-66.2793 -17.4117)</v>
          </cell>
          <cell r="Q392">
            <v>18</v>
          </cell>
          <cell r="R392">
            <v>0.57608677132746855</v>
          </cell>
        </row>
        <row r="393">
          <cell r="A393">
            <v>2167</v>
          </cell>
          <cell r="B393" t="str">
            <v>Escuela Arturo QuitónQuillacollo</v>
          </cell>
          <cell r="C393" t="str">
            <v>Cochabamba</v>
          </cell>
          <cell r="D393" t="str">
            <v>Quillacollo</v>
          </cell>
          <cell r="E393" t="str">
            <v>Quillacollo</v>
          </cell>
          <cell r="F393" t="str">
            <v>Quillacollo</v>
          </cell>
          <cell r="G393" t="str">
            <v>Escuela Arturo Quitón</v>
          </cell>
          <cell r="H393" t="str">
            <v>Chojñacollo</v>
          </cell>
          <cell r="I393" t="str">
            <v>Calle Final Antofagasta</v>
          </cell>
          <cell r="J393" t="str">
            <v>28</v>
          </cell>
          <cell r="K393" t="str">
            <v>Uninominal</v>
          </cell>
          <cell r="L393" t="str">
            <v>-17.364</v>
          </cell>
          <cell r="M393" t="str">
            <v>-66.2757</v>
          </cell>
          <cell r="N393" t="str">
            <v>Urbano</v>
          </cell>
          <cell r="O393" t="str">
            <v>2167</v>
          </cell>
          <cell r="P393" t="str">
            <v>POINT (-66.2757 -17.364)</v>
          </cell>
          <cell r="Q393">
            <v>19</v>
          </cell>
          <cell r="R393">
            <v>0.68962756501724642</v>
          </cell>
        </row>
        <row r="394">
          <cell r="A394">
            <v>2168</v>
          </cell>
          <cell r="B394" t="str">
            <v>Escuela Simón BolivarQuillacollo</v>
          </cell>
          <cell r="C394" t="str">
            <v>Cochabamba</v>
          </cell>
          <cell r="D394" t="str">
            <v>Quillacollo</v>
          </cell>
          <cell r="E394" t="str">
            <v>Quillacollo</v>
          </cell>
          <cell r="F394" t="str">
            <v>Quillacollo</v>
          </cell>
          <cell r="G394" t="str">
            <v>Escuela Simón Bolivar</v>
          </cell>
          <cell r="H394" t="str">
            <v>Lanza</v>
          </cell>
          <cell r="I394" t="str">
            <v>General Pando Pacheco y Ballivian</v>
          </cell>
          <cell r="J394" t="str">
            <v>28</v>
          </cell>
          <cell r="K394" t="str">
            <v>Uninominal</v>
          </cell>
          <cell r="L394" t="str">
            <v>-17.3952</v>
          </cell>
          <cell r="M394" t="str">
            <v>-66.2792</v>
          </cell>
          <cell r="N394" t="str">
            <v>Urbano</v>
          </cell>
          <cell r="O394" t="str">
            <v>2168</v>
          </cell>
          <cell r="P394" t="str">
            <v>POINT (-66.2792 -17.3952)</v>
          </cell>
          <cell r="Q394">
            <v>16</v>
          </cell>
          <cell r="R394">
            <v>0.45060856292201179</v>
          </cell>
        </row>
        <row r="395">
          <cell r="A395">
            <v>2169</v>
          </cell>
          <cell r="B395" t="str">
            <v>Instituto Particular QuillacolloQuillacollo</v>
          </cell>
          <cell r="C395" t="str">
            <v>Cochabamba</v>
          </cell>
          <cell r="D395" t="str">
            <v>Quillacollo</v>
          </cell>
          <cell r="E395" t="str">
            <v>Quillacollo</v>
          </cell>
          <cell r="F395" t="str">
            <v>Quillacollo</v>
          </cell>
          <cell r="G395" t="str">
            <v>Instituto Particular Quillacollo</v>
          </cell>
          <cell r="H395" t="str">
            <v>Central W</v>
          </cell>
          <cell r="I395" t="str">
            <v>Quillacollo</v>
          </cell>
          <cell r="J395" t="str">
            <v>28</v>
          </cell>
          <cell r="K395" t="str">
            <v>Uninominal</v>
          </cell>
          <cell r="L395" t="str">
            <v>-17.3955</v>
          </cell>
          <cell r="M395" t="str">
            <v>-66.2836</v>
          </cell>
          <cell r="N395" t="str">
            <v>Urbano</v>
          </cell>
          <cell r="O395" t="str">
            <v>2169</v>
          </cell>
          <cell r="P395" t="str">
            <v>POINT (-66.2836 -17.3955)</v>
          </cell>
          <cell r="Q395">
            <v>15</v>
          </cell>
          <cell r="R395">
            <v>0.35891380902638054</v>
          </cell>
        </row>
        <row r="396">
          <cell r="A396">
            <v>2170</v>
          </cell>
          <cell r="B396" t="str">
            <v>Liceo AméricaQuillacollo</v>
          </cell>
          <cell r="C396" t="str">
            <v>Cochabamba</v>
          </cell>
          <cell r="D396" t="str">
            <v>Quillacollo</v>
          </cell>
          <cell r="E396" t="str">
            <v>Quillacollo</v>
          </cell>
          <cell r="F396" t="str">
            <v>Quillacollo</v>
          </cell>
          <cell r="G396" t="str">
            <v>Liceo América</v>
          </cell>
          <cell r="H396" t="str">
            <v>Avaroa y Adyacentes</v>
          </cell>
          <cell r="I396" t="str">
            <v>Cleomedes Blanco y Atacama</v>
          </cell>
          <cell r="J396" t="str">
            <v>28</v>
          </cell>
          <cell r="K396" t="str">
            <v>Uninominal</v>
          </cell>
          <cell r="L396" t="str">
            <v>-17.3989</v>
          </cell>
          <cell r="M396" t="str">
            <v>-66.2817</v>
          </cell>
          <cell r="N396" t="str">
            <v>Urbano</v>
          </cell>
          <cell r="O396" t="str">
            <v>2170</v>
          </cell>
          <cell r="P396" t="str">
            <v>POINT (-66.2817 -17.3989)</v>
          </cell>
          <cell r="Q396">
            <v>23</v>
          </cell>
          <cell r="R396">
            <v>0.31544693228142778</v>
          </cell>
        </row>
        <row r="397">
          <cell r="A397">
            <v>2171</v>
          </cell>
          <cell r="B397" t="str">
            <v>Escuela Tomas BataQuillacollo</v>
          </cell>
          <cell r="C397" t="str">
            <v>Cochabamba</v>
          </cell>
          <cell r="D397" t="str">
            <v>Quillacollo</v>
          </cell>
          <cell r="E397" t="str">
            <v>Quillacollo</v>
          </cell>
          <cell r="F397" t="str">
            <v>Quillacollo</v>
          </cell>
          <cell r="G397" t="str">
            <v>Escuela Tomas Bata</v>
          </cell>
          <cell r="H397" t="str">
            <v>Barrio Manaco</v>
          </cell>
          <cell r="I397" t="str">
            <v>Calle 12 de Enero</v>
          </cell>
          <cell r="J397" t="str">
            <v>28</v>
          </cell>
          <cell r="K397" t="str">
            <v>Uninominal</v>
          </cell>
          <cell r="L397" t="str">
            <v>-17.4022</v>
          </cell>
          <cell r="M397" t="str">
            <v>-66.2806</v>
          </cell>
          <cell r="N397" t="str">
            <v>Urbano</v>
          </cell>
          <cell r="O397" t="str">
            <v>2171</v>
          </cell>
          <cell r="P397" t="str">
            <v>POINT (-66.2806 -17.4022)</v>
          </cell>
          <cell r="Q397">
            <v>14</v>
          </cell>
          <cell r="R397">
            <v>0.39278316601631408</v>
          </cell>
        </row>
        <row r="398">
          <cell r="A398">
            <v>2172</v>
          </cell>
          <cell r="B398" t="str">
            <v>Escuela Fidelia C. De SanchezQuillacollo</v>
          </cell>
          <cell r="C398" t="str">
            <v>Cochabamba</v>
          </cell>
          <cell r="D398" t="str">
            <v>Quillacollo</v>
          </cell>
          <cell r="E398" t="str">
            <v>Quillacollo</v>
          </cell>
          <cell r="F398" t="str">
            <v>Quillacollo</v>
          </cell>
          <cell r="G398" t="str">
            <v>Escuela Fidelia C. De Sanchez</v>
          </cell>
          <cell r="H398" t="str">
            <v>Pacheco</v>
          </cell>
          <cell r="I398" t="str">
            <v>Calle 6 de Agosto y Cleomedes Blanco</v>
          </cell>
          <cell r="J398" t="str">
            <v>28</v>
          </cell>
          <cell r="K398" t="str">
            <v>Uninominal</v>
          </cell>
          <cell r="L398" t="str">
            <v>-17.3987</v>
          </cell>
          <cell r="M398" t="str">
            <v>-66.2806</v>
          </cell>
          <cell r="N398" t="str">
            <v>Urbano</v>
          </cell>
          <cell r="O398" t="str">
            <v>2172</v>
          </cell>
          <cell r="P398" t="str">
            <v>POINT (-66.2806 -17.3987)</v>
          </cell>
          <cell r="Q398">
            <v>12</v>
          </cell>
          <cell r="R398">
            <v>0.31922844638321091</v>
          </cell>
        </row>
        <row r="399">
          <cell r="A399">
            <v>2173</v>
          </cell>
          <cell r="B399" t="str">
            <v>Unidad Educativa Villa De UrkupiñaQuillacollo</v>
          </cell>
          <cell r="C399" t="str">
            <v>Cochabamba</v>
          </cell>
          <cell r="D399" t="str">
            <v>Quillacollo</v>
          </cell>
          <cell r="E399" t="str">
            <v>Quillacollo</v>
          </cell>
          <cell r="F399" t="str">
            <v>Quillacollo</v>
          </cell>
          <cell r="G399" t="str">
            <v>Unidad Educativa Villa De Urkupiña</v>
          </cell>
          <cell r="H399" t="str">
            <v>7 de Mayo</v>
          </cell>
          <cell r="I399" t="str">
            <v>Final Sud Av. Martin Cardenas Calvario</v>
          </cell>
          <cell r="J399" t="str">
            <v>28</v>
          </cell>
          <cell r="K399" t="str">
            <v>Uninominal</v>
          </cell>
          <cell r="L399" t="str">
            <v>-17.4193</v>
          </cell>
          <cell r="M399" t="str">
            <v>-66.2897</v>
          </cell>
          <cell r="N399" t="str">
            <v>Urbano</v>
          </cell>
          <cell r="O399" t="str">
            <v>2173</v>
          </cell>
          <cell r="P399" t="str">
            <v>POINT (-66.2897 -17.4193)</v>
          </cell>
          <cell r="Q399">
            <v>19</v>
          </cell>
          <cell r="R399">
            <v>0.78818700677690123</v>
          </cell>
        </row>
        <row r="400">
          <cell r="A400">
            <v>2174</v>
          </cell>
          <cell r="B400" t="str">
            <v>Unidad Educativa Villa ModernaQuillacollo</v>
          </cell>
          <cell r="C400" t="str">
            <v>Cochabamba</v>
          </cell>
          <cell r="D400" t="str">
            <v>Quillacollo</v>
          </cell>
          <cell r="E400" t="str">
            <v>Quillacollo</v>
          </cell>
          <cell r="F400" t="str">
            <v>Quillacollo</v>
          </cell>
          <cell r="G400" t="str">
            <v>Unidad Educativa Villa Moderna</v>
          </cell>
          <cell r="H400" t="str">
            <v>Waldo Ballivian</v>
          </cell>
          <cell r="I400" t="str">
            <v>Waldo Ballivian Esquina Rafael Pabon</v>
          </cell>
          <cell r="J400" t="str">
            <v>28</v>
          </cell>
          <cell r="K400" t="str">
            <v>Uninominal</v>
          </cell>
          <cell r="L400" t="str">
            <v>-17.3884</v>
          </cell>
          <cell r="M400" t="str">
            <v>-66.2822</v>
          </cell>
          <cell r="N400" t="str">
            <v>Urbano</v>
          </cell>
          <cell r="O400" t="str">
            <v>2174</v>
          </cell>
          <cell r="P400" t="str">
            <v>POINT (-66.2822 -17.3884)</v>
          </cell>
          <cell r="Q400">
            <v>20</v>
          </cell>
          <cell r="R400">
            <v>0.60278965386778471</v>
          </cell>
        </row>
        <row r="401">
          <cell r="A401">
            <v>2175</v>
          </cell>
          <cell r="B401" t="str">
            <v>Unidad Educativa IroncolloQuillacollo</v>
          </cell>
          <cell r="C401" t="str">
            <v>Cochabamba</v>
          </cell>
          <cell r="D401" t="str">
            <v>Quillacollo</v>
          </cell>
          <cell r="E401" t="str">
            <v>Quillacollo</v>
          </cell>
          <cell r="F401" t="str">
            <v>Quillacollo</v>
          </cell>
          <cell r="G401" t="str">
            <v>Unidad Educativa Ironcollo</v>
          </cell>
          <cell r="H401" t="str">
            <v>Santa Rosa</v>
          </cell>
          <cell r="I401" t="str">
            <v>Ironcollo</v>
          </cell>
          <cell r="J401" t="str">
            <v>28</v>
          </cell>
          <cell r="K401" t="str">
            <v>Uninominal</v>
          </cell>
          <cell r="L401" t="str">
            <v>-17.3617</v>
          </cell>
          <cell r="M401" t="str">
            <v>-66.287</v>
          </cell>
          <cell r="N401" t="str">
            <v>Urbano</v>
          </cell>
          <cell r="O401" t="str">
            <v>2175</v>
          </cell>
          <cell r="P401" t="str">
            <v>POINT (-66.287 -17.3617)</v>
          </cell>
          <cell r="Q401">
            <v>16</v>
          </cell>
          <cell r="R401">
            <v>0.77099354301374945</v>
          </cell>
        </row>
        <row r="402">
          <cell r="A402">
            <v>2176</v>
          </cell>
          <cell r="B402" t="str">
            <v>Unidad Educativa MarquinaQuillacollo</v>
          </cell>
          <cell r="C402" t="str">
            <v>Cochabamba</v>
          </cell>
          <cell r="D402" t="str">
            <v>Quillacollo</v>
          </cell>
          <cell r="E402" t="str">
            <v>Quillacollo</v>
          </cell>
          <cell r="F402" t="str">
            <v>Quillacollo</v>
          </cell>
          <cell r="G402" t="str">
            <v>Unidad Educativa Marquina</v>
          </cell>
          <cell r="H402" t="str">
            <v>Zona 4472</v>
          </cell>
          <cell r="I402" t="str">
            <v>Quillacollo</v>
          </cell>
          <cell r="J402" t="str">
            <v>28</v>
          </cell>
          <cell r="K402" t="str">
            <v>Uninominal</v>
          </cell>
          <cell r="L402" t="str">
            <v>-17.3396</v>
          </cell>
          <cell r="M402" t="str">
            <v>-66.289</v>
          </cell>
          <cell r="N402" t="str">
            <v>Urbano</v>
          </cell>
          <cell r="O402" t="str">
            <v>2176</v>
          </cell>
          <cell r="P402" t="str">
            <v>POINT (-66.289 -17.3396)</v>
          </cell>
          <cell r="Q402">
            <v>20</v>
          </cell>
          <cell r="R402">
            <v>0.78012402522788893</v>
          </cell>
        </row>
        <row r="403">
          <cell r="A403">
            <v>2177</v>
          </cell>
          <cell r="B403" t="str">
            <v>(Cárcel) Penal San PabloQuillacollo</v>
          </cell>
          <cell r="C403" t="str">
            <v>Cochabamba</v>
          </cell>
          <cell r="D403" t="str">
            <v>Quillacollo</v>
          </cell>
          <cell r="E403" t="str">
            <v>Quillacollo</v>
          </cell>
          <cell r="F403" t="str">
            <v>Quillacollo</v>
          </cell>
          <cell r="G403" t="str">
            <v>(Cárcel) Penal San Pablo</v>
          </cell>
          <cell r="H403" t="str">
            <v>9 de Diciembre</v>
          </cell>
          <cell r="I403" t="str">
            <v>Penal de San Pablo</v>
          </cell>
          <cell r="J403" t="str">
            <v>28</v>
          </cell>
          <cell r="K403" t="str">
            <v>Uninominal</v>
          </cell>
          <cell r="L403" t="str">
            <v>-17.3999</v>
          </cell>
          <cell r="M403" t="str">
            <v>-66.2821</v>
          </cell>
          <cell r="N403" t="str">
            <v>Urbano</v>
          </cell>
          <cell r="O403" t="str">
            <v>2177</v>
          </cell>
          <cell r="P403" t="str">
            <v>POINT (-66.2821 -17.3999)</v>
          </cell>
          <cell r="Q403">
            <v>2</v>
          </cell>
          <cell r="R403">
            <v>0.81481481481481477</v>
          </cell>
        </row>
        <row r="404">
          <cell r="A404">
            <v>2178</v>
          </cell>
          <cell r="B404" t="str">
            <v>Unidad Educativa HeroinasQuillacollo</v>
          </cell>
          <cell r="C404" t="str">
            <v>Cochabamba</v>
          </cell>
          <cell r="D404" t="str">
            <v>Quillacollo</v>
          </cell>
          <cell r="E404" t="str">
            <v>Quillacollo</v>
          </cell>
          <cell r="F404" t="str">
            <v>Quillacollo</v>
          </cell>
          <cell r="G404" t="str">
            <v>Unidad Educativa Heroinas</v>
          </cell>
          <cell r="H404" t="str">
            <v>Pacheco</v>
          </cell>
          <cell r="I404" t="str">
            <v>C/ Ayacucho entre General Camacho  y Pacheco</v>
          </cell>
          <cell r="J404" t="str">
            <v>28</v>
          </cell>
          <cell r="K404" t="str">
            <v>Uninominal</v>
          </cell>
          <cell r="L404" t="str">
            <v>-17.4006</v>
          </cell>
          <cell r="M404" t="str">
            <v>-66.2793</v>
          </cell>
          <cell r="N404" t="str">
            <v>Urbano</v>
          </cell>
          <cell r="O404" t="str">
            <v>2178</v>
          </cell>
          <cell r="P404" t="str">
            <v>POINT (-66.2793 -17.4006)</v>
          </cell>
          <cell r="Q404">
            <v>13</v>
          </cell>
          <cell r="R404">
            <v>0.43276252705389029</v>
          </cell>
        </row>
        <row r="405">
          <cell r="A405">
            <v>2179</v>
          </cell>
          <cell r="B405" t="str">
            <v>Teofilo Vargas Candia BQuillacollo</v>
          </cell>
          <cell r="C405" t="str">
            <v>Cochabamba</v>
          </cell>
          <cell r="D405" t="str">
            <v>Quillacollo</v>
          </cell>
          <cell r="E405" t="str">
            <v>Quillacollo</v>
          </cell>
          <cell r="F405" t="str">
            <v>Quillacollo</v>
          </cell>
          <cell r="G405" t="str">
            <v>Teofilo Vargas Candia B</v>
          </cell>
          <cell r="H405" t="str">
            <v>Antofagasta Central</v>
          </cell>
          <cell r="I405" t="str">
            <v>23 de Marzo S/N y Carmela Cerruto</v>
          </cell>
          <cell r="J405" t="str">
            <v>28</v>
          </cell>
          <cell r="K405" t="str">
            <v>Uninominal</v>
          </cell>
          <cell r="L405" t="str">
            <v>-17.3861</v>
          </cell>
          <cell r="M405" t="str">
            <v>-66.2761</v>
          </cell>
          <cell r="N405" t="str">
            <v>Urbano</v>
          </cell>
          <cell r="O405" t="str">
            <v>2179</v>
          </cell>
          <cell r="P405" t="str">
            <v>POINT (-66.2761 -17.3861)</v>
          </cell>
          <cell r="Q405">
            <v>22</v>
          </cell>
          <cell r="R405">
            <v>0.44742834526288422</v>
          </cell>
        </row>
        <row r="406">
          <cell r="A406">
            <v>2180</v>
          </cell>
          <cell r="B406" t="str">
            <v>Unidad Educativa Martin CardenasQuillacollo</v>
          </cell>
          <cell r="C406" t="str">
            <v>Cochabamba</v>
          </cell>
          <cell r="D406" t="str">
            <v>Quillacollo</v>
          </cell>
          <cell r="E406" t="str">
            <v>Quillacollo</v>
          </cell>
          <cell r="F406" t="str">
            <v>Quillacollo</v>
          </cell>
          <cell r="G406" t="str">
            <v>Unidad Educativa Martin Cardenas</v>
          </cell>
          <cell r="H406" t="str">
            <v>Santa Rita</v>
          </cell>
          <cell r="I406" t="str">
            <v>Barrio Fabril Esmeralda</v>
          </cell>
          <cell r="J406" t="str">
            <v>28</v>
          </cell>
          <cell r="K406" t="str">
            <v>Uninominal</v>
          </cell>
          <cell r="L406" t="str">
            <v>-17.388</v>
          </cell>
          <cell r="M406" t="str">
            <v>-66.2957</v>
          </cell>
          <cell r="N406" t="str">
            <v>Urbano</v>
          </cell>
          <cell r="O406" t="str">
            <v>2180</v>
          </cell>
          <cell r="P406" t="str">
            <v>POINT (-66.2957 -17.388)</v>
          </cell>
          <cell r="Q406">
            <v>10</v>
          </cell>
          <cell r="R406">
            <v>0.63875608341268086</v>
          </cell>
        </row>
        <row r="407">
          <cell r="A407">
            <v>2181</v>
          </cell>
          <cell r="B407" t="str">
            <v>Unidad Educativa Flora Salinas Hinojosa   Amalia EchalarQuillacollo</v>
          </cell>
          <cell r="C407" t="str">
            <v>Cochabamba</v>
          </cell>
          <cell r="D407" t="str">
            <v>Quillacollo</v>
          </cell>
          <cell r="E407" t="str">
            <v>Quillacollo</v>
          </cell>
          <cell r="F407" t="str">
            <v>Quillacollo</v>
          </cell>
          <cell r="G407" t="str">
            <v>Unidad Educativa Flora Salinas Hinojosa   Amalia Echalar</v>
          </cell>
          <cell r="H407" t="str">
            <v>Villa Moderna</v>
          </cell>
          <cell r="I407" t="str">
            <v>Luis Uria y 23 de Marzo</v>
          </cell>
          <cell r="J407" t="str">
            <v>28</v>
          </cell>
          <cell r="K407" t="str">
            <v>Uninominal</v>
          </cell>
          <cell r="L407" t="str">
            <v>-17.3918</v>
          </cell>
          <cell r="M407" t="str">
            <v>-66.2793</v>
          </cell>
          <cell r="N407" t="str">
            <v>Urbano</v>
          </cell>
          <cell r="O407" t="str">
            <v>2181</v>
          </cell>
          <cell r="P407" t="str">
            <v>POINT (-66.2793 -17.3918)</v>
          </cell>
          <cell r="Q407">
            <v>1</v>
          </cell>
          <cell r="R407">
            <v>0.36363636363636365</v>
          </cell>
        </row>
        <row r="408">
          <cell r="A408">
            <v>2182</v>
          </cell>
          <cell r="B408" t="str">
            <v>U.E. 21 de SeptiembreQuillacollo</v>
          </cell>
          <cell r="C408" t="str">
            <v>Cochabamba</v>
          </cell>
          <cell r="D408" t="str">
            <v>Quillacollo</v>
          </cell>
          <cell r="E408" t="str">
            <v>Quillacollo</v>
          </cell>
          <cell r="F408" t="str">
            <v>Quillacollo</v>
          </cell>
          <cell r="G408" t="str">
            <v>U.E. 21 de Septiembre</v>
          </cell>
          <cell r="H408" t="str">
            <v>Villa Maria</v>
          </cell>
          <cell r="I408" t="str">
            <v>OTB Aasana Villa Maria, Calle 13, al frente de la Plaza</v>
          </cell>
          <cell r="J408" t="str">
            <v>28</v>
          </cell>
          <cell r="K408" t="str">
            <v>Uninominal</v>
          </cell>
          <cell r="L408" t="str">
            <v>-17.3831</v>
          </cell>
          <cell r="M408" t="str">
            <v>-66.262</v>
          </cell>
          <cell r="N408" t="str">
            <v>Urbano</v>
          </cell>
          <cell r="O408" t="str">
            <v>2182</v>
          </cell>
          <cell r="P408" t="str">
            <v>POINT (-66.262 -17.3831)</v>
          </cell>
          <cell r="Q408">
            <v>11</v>
          </cell>
          <cell r="R408">
            <v>0.43294245530612291</v>
          </cell>
        </row>
        <row r="409">
          <cell r="A409">
            <v>2183</v>
          </cell>
          <cell r="B409" t="str">
            <v>U.E. 1ro. de MayoQuillacollo</v>
          </cell>
          <cell r="C409" t="str">
            <v>Cochabamba</v>
          </cell>
          <cell r="D409" t="str">
            <v>Quillacollo</v>
          </cell>
          <cell r="E409" t="str">
            <v>Quillacollo</v>
          </cell>
          <cell r="F409" t="str">
            <v>Quillacollo</v>
          </cell>
          <cell r="G409" t="str">
            <v>U.E. 1ro. de Mayo</v>
          </cell>
          <cell r="H409" t="str">
            <v>1ro de Mayo</v>
          </cell>
          <cell r="I409" t="str">
            <v>Calle 1ro. De Mayo  entre calle 21 de Septiembre y  Calle Thomas Bata</v>
          </cell>
          <cell r="J409" t="str">
            <v>28</v>
          </cell>
          <cell r="K409" t="str">
            <v>Uninominal</v>
          </cell>
          <cell r="L409" t="str">
            <v>-17.396949</v>
          </cell>
          <cell r="M409" t="str">
            <v>-66.290296</v>
          </cell>
          <cell r="N409" t="str">
            <v>Urbano</v>
          </cell>
          <cell r="O409" t="str">
            <v>2183</v>
          </cell>
          <cell r="P409" t="str">
            <v>POINT (-66.290296 -17.396949)</v>
          </cell>
          <cell r="Q409">
            <v>3</v>
          </cell>
          <cell r="R409">
            <v>0.45417506520666495</v>
          </cell>
        </row>
        <row r="410">
          <cell r="A410">
            <v>2184</v>
          </cell>
          <cell r="B410" t="str">
            <v>U.E. 12 de Enero BQuillacollo</v>
          </cell>
          <cell r="C410" t="str">
            <v>Cochabamba</v>
          </cell>
          <cell r="D410" t="str">
            <v>Quillacollo</v>
          </cell>
          <cell r="E410" t="str">
            <v>Quillacollo</v>
          </cell>
          <cell r="F410" t="str">
            <v>Quillacollo</v>
          </cell>
          <cell r="G410" t="str">
            <v>U.E. 12 de Enero B</v>
          </cell>
          <cell r="H410" t="str">
            <v>Barrio Santo Domingo</v>
          </cell>
          <cell r="I410" t="str">
            <v>Av. Gral. Camacho  entre Calle 10 y Av. Fructuoso Mercado</v>
          </cell>
          <cell r="J410" t="str">
            <v>28</v>
          </cell>
          <cell r="K410" t="str">
            <v>Uninominal</v>
          </cell>
          <cell r="L410" t="str">
            <v>-17.407546</v>
          </cell>
          <cell r="M410" t="str">
            <v>-66.279522</v>
          </cell>
          <cell r="N410" t="str">
            <v>Urbano</v>
          </cell>
          <cell r="O410" t="str">
            <v>2184</v>
          </cell>
          <cell r="P410" t="str">
            <v>POINT (-66.279522 -17.407546)</v>
          </cell>
          <cell r="Q410">
            <v>5</v>
          </cell>
          <cell r="R410">
            <v>0.50627070457038648</v>
          </cell>
        </row>
        <row r="411">
          <cell r="A411">
            <v>2185</v>
          </cell>
          <cell r="B411" t="str">
            <v>U.E. Villa AsunciónQuillacollo</v>
          </cell>
          <cell r="C411" t="str">
            <v>Cochabamba</v>
          </cell>
          <cell r="D411" t="str">
            <v>Quillacollo</v>
          </cell>
          <cell r="E411" t="str">
            <v>Quillacollo</v>
          </cell>
          <cell r="F411" t="str">
            <v>Quillacollo</v>
          </cell>
          <cell r="G411" t="str">
            <v>U.E. Villa Asunción</v>
          </cell>
          <cell r="H411" t="str">
            <v>Asuncion</v>
          </cell>
          <cell r="I411" t="str">
            <v>Villa Asunción, lado Centro de Salud</v>
          </cell>
          <cell r="J411" t="str">
            <v>28</v>
          </cell>
          <cell r="K411" t="str">
            <v>Uninominal</v>
          </cell>
          <cell r="L411" t="str">
            <v>-17.407904</v>
          </cell>
          <cell r="M411" t="str">
            <v>-66.295068</v>
          </cell>
          <cell r="N411" t="str">
            <v>Urbano</v>
          </cell>
          <cell r="O411" t="str">
            <v>2185</v>
          </cell>
          <cell r="P411" t="str">
            <v>POINT (-66.295068 -17.407904)</v>
          </cell>
          <cell r="Q411">
            <v>4</v>
          </cell>
          <cell r="R411">
            <v>0.54361370716510893</v>
          </cell>
        </row>
        <row r="412">
          <cell r="A412">
            <v>2186</v>
          </cell>
          <cell r="B412" t="str">
            <v>U. E. TunariQuillacollo</v>
          </cell>
          <cell r="C412" t="str">
            <v>Cochabamba</v>
          </cell>
          <cell r="D412" t="str">
            <v>Quillacollo</v>
          </cell>
          <cell r="E412" t="str">
            <v>Quillacollo</v>
          </cell>
          <cell r="F412" t="str">
            <v>Quillacollo</v>
          </cell>
          <cell r="G412" t="str">
            <v>U. E. Tunari</v>
          </cell>
          <cell r="H412" t="str">
            <v>Barrio Tunari</v>
          </cell>
          <cell r="I412" t="str">
            <v>C/ 23 de Marzo entre Nueva Luz, OTB Tunari</v>
          </cell>
          <cell r="J412" t="str">
            <v>28</v>
          </cell>
          <cell r="K412" t="str">
            <v>Uninominal</v>
          </cell>
          <cell r="L412" t="str">
            <v>-17.355509</v>
          </cell>
          <cell r="M412" t="str">
            <v>-66.28339</v>
          </cell>
          <cell r="N412" t="str">
            <v>Urbano</v>
          </cell>
          <cell r="O412" t="str">
            <v>2186</v>
          </cell>
          <cell r="P412" t="str">
            <v>POINT (-66.28339 -17.355509)</v>
          </cell>
          <cell r="Q412">
            <v>8</v>
          </cell>
          <cell r="R412">
            <v>0.79042890656145992</v>
          </cell>
        </row>
        <row r="413">
          <cell r="A413">
            <v>2187</v>
          </cell>
          <cell r="B413" t="str">
            <v>U. E. San Martín de PorresQuillacollo</v>
          </cell>
          <cell r="C413" t="str">
            <v>Cochabamba</v>
          </cell>
          <cell r="D413" t="str">
            <v>Quillacollo</v>
          </cell>
          <cell r="E413" t="str">
            <v>Quillacollo</v>
          </cell>
          <cell r="F413" t="str">
            <v>Quillacollo</v>
          </cell>
          <cell r="G413" t="str">
            <v>U. E. San Martín de Porres</v>
          </cell>
          <cell r="H413" t="str">
            <v>Barrio Manaco</v>
          </cell>
          <cell r="I413" t="str">
            <v>Barrio Manaco, Calle 12 de Enero entre Av. Martín Cárdenas y Av. Virgen de Urkupiña</v>
          </cell>
          <cell r="J413" t="str">
            <v>28</v>
          </cell>
          <cell r="K413" t="str">
            <v>Uninominal</v>
          </cell>
          <cell r="L413" t="str">
            <v>-17.40269</v>
          </cell>
          <cell r="M413" t="str">
            <v>-66.280817</v>
          </cell>
          <cell r="N413" t="str">
            <v>Urbano</v>
          </cell>
          <cell r="O413" t="str">
            <v>2187</v>
          </cell>
          <cell r="P413" t="str">
            <v>POINT (-66.280817 -17.40269)</v>
          </cell>
          <cell r="Q413">
            <v>2</v>
          </cell>
          <cell r="R413" t="str">
            <v>Sin Info</v>
          </cell>
        </row>
        <row r="414">
          <cell r="A414">
            <v>2188</v>
          </cell>
          <cell r="B414" t="str">
            <v>U. E. Nuestra Señora de UrkupiñaQuillacollo</v>
          </cell>
          <cell r="C414" t="str">
            <v>Cochabamba</v>
          </cell>
          <cell r="D414" t="str">
            <v>Quillacollo</v>
          </cell>
          <cell r="E414" t="str">
            <v>Quillacollo</v>
          </cell>
          <cell r="F414" t="str">
            <v>Quillacollo</v>
          </cell>
          <cell r="G414" t="str">
            <v>U. E. Nuestra Señora de Urkupiña</v>
          </cell>
          <cell r="H414" t="str">
            <v>Nataniel Aguirre</v>
          </cell>
          <cell r="I414" t="str">
            <v>Calle Ricardo Soruco entre Walter Moreno y Nataniel Aguirre</v>
          </cell>
          <cell r="J414" t="str">
            <v>28</v>
          </cell>
          <cell r="K414" t="str">
            <v>Uninominal</v>
          </cell>
          <cell r="L414" t="str">
            <v>-17.396684</v>
          </cell>
          <cell r="M414" t="str">
            <v>-66.27646</v>
          </cell>
          <cell r="N414" t="str">
            <v>Urbano</v>
          </cell>
          <cell r="O414" t="str">
            <v>2188</v>
          </cell>
          <cell r="P414" t="str">
            <v>POINT (-66.27646 -17.396684)</v>
          </cell>
          <cell r="Q414">
            <v>2</v>
          </cell>
          <cell r="R414" t="str">
            <v>Sin Info</v>
          </cell>
        </row>
        <row r="415">
          <cell r="A415">
            <v>2189</v>
          </cell>
          <cell r="B415" t="str">
            <v>U.E. Rene Crespo RicoQuillacollo</v>
          </cell>
          <cell r="C415" t="str">
            <v>Cochabamba</v>
          </cell>
          <cell r="D415" t="str">
            <v>Quillacollo</v>
          </cell>
          <cell r="E415" t="str">
            <v>Quillacollo</v>
          </cell>
          <cell r="F415" t="str">
            <v>Quillacollo</v>
          </cell>
          <cell r="G415" t="str">
            <v>U.E. Rene Crespo Rico</v>
          </cell>
          <cell r="H415" t="str">
            <v>Chojñacollo</v>
          </cell>
          <cell r="I415" t="str">
            <v>Quillacollo, Calle final Antofagasta</v>
          </cell>
          <cell r="J415" t="str">
            <v>28</v>
          </cell>
          <cell r="K415" t="str">
            <v>Uninominal</v>
          </cell>
          <cell r="L415" t="str">
            <v>-17.366067</v>
          </cell>
          <cell r="M415" t="str">
            <v>-66.27661</v>
          </cell>
          <cell r="N415" t="str">
            <v>Urbano</v>
          </cell>
          <cell r="O415" t="str">
            <v>2189</v>
          </cell>
          <cell r="P415" t="str">
            <v>POINT (-66.27661 -17.366067)</v>
          </cell>
          <cell r="Q415">
            <v>1</v>
          </cell>
          <cell r="R415">
            <v>0.73661738559721324</v>
          </cell>
        </row>
        <row r="416">
          <cell r="A416">
            <v>2190</v>
          </cell>
          <cell r="B416" t="str">
            <v>Unidad Educativa Marquina (Secundaria)Quillacollo</v>
          </cell>
          <cell r="C416" t="str">
            <v>Cochabamba</v>
          </cell>
          <cell r="D416" t="str">
            <v>Quillacollo</v>
          </cell>
          <cell r="E416" t="str">
            <v>Quillacollo</v>
          </cell>
          <cell r="F416" t="str">
            <v>Quillacollo</v>
          </cell>
          <cell r="G416" t="str">
            <v>Unidad Educativa Marquina (Secundaria)</v>
          </cell>
          <cell r="H416" t="str">
            <v>Zona 4472</v>
          </cell>
          <cell r="I416" t="str">
            <v>Zona Marquina a 6 km de Quillacollo camino a Morochata</v>
          </cell>
          <cell r="J416" t="str">
            <v>28</v>
          </cell>
          <cell r="K416" t="str">
            <v>Uninominal</v>
          </cell>
          <cell r="L416" t="str">
            <v>-17.342501</v>
          </cell>
          <cell r="M416" t="str">
            <v>-66.291533</v>
          </cell>
          <cell r="N416" t="str">
            <v>Urbano</v>
          </cell>
          <cell r="O416" t="str">
            <v>2190</v>
          </cell>
          <cell r="P416" t="str">
            <v>POINT (-66.291533 -17.342501)</v>
          </cell>
          <cell r="Q416">
            <v>3</v>
          </cell>
          <cell r="R416" t="str">
            <v>Sin Info</v>
          </cell>
        </row>
        <row r="417">
          <cell r="A417">
            <v>2191</v>
          </cell>
          <cell r="B417" t="str">
            <v>U.E. San Martín de Porres TardeQuillacollo</v>
          </cell>
          <cell r="C417" t="str">
            <v>Cochabamba</v>
          </cell>
          <cell r="D417" t="str">
            <v>Quillacollo</v>
          </cell>
          <cell r="E417" t="str">
            <v>Quillacollo</v>
          </cell>
          <cell r="F417" t="str">
            <v>Quillacollo</v>
          </cell>
          <cell r="G417" t="str">
            <v>U.E. San Martín de Porres Tarde</v>
          </cell>
          <cell r="H417" t="str">
            <v>Francisco Anaya</v>
          </cell>
          <cell r="I417" t="str">
            <v>Calle s/n Av.Albina Patiño</v>
          </cell>
          <cell r="J417" t="str">
            <v>28</v>
          </cell>
          <cell r="K417" t="str">
            <v>Uninominal</v>
          </cell>
          <cell r="L417" t="str">
            <v>-17.394215</v>
          </cell>
          <cell r="M417" t="str">
            <v>-66.291101</v>
          </cell>
          <cell r="N417" t="str">
            <v>Urbano</v>
          </cell>
          <cell r="O417" t="str">
            <v>2191</v>
          </cell>
          <cell r="P417" t="str">
            <v>POINT (-66.291101 -17.394215)</v>
          </cell>
          <cell r="Q417">
            <v>2</v>
          </cell>
          <cell r="R417" t="str">
            <v>Sin Info</v>
          </cell>
        </row>
        <row r="418">
          <cell r="A418">
            <v>2192</v>
          </cell>
          <cell r="B418" t="str">
            <v>U.E. 23 de MarzoQuillacollo</v>
          </cell>
          <cell r="C418" t="str">
            <v>Cochabamba</v>
          </cell>
          <cell r="D418" t="str">
            <v>Quillacollo</v>
          </cell>
          <cell r="E418" t="str">
            <v>Quillacollo</v>
          </cell>
          <cell r="F418" t="str">
            <v>Quillacollo</v>
          </cell>
          <cell r="G418" t="str">
            <v>U.E. 23 de Marzo</v>
          </cell>
          <cell r="H418" t="str">
            <v>Huachirancho   Zona Ironcollo</v>
          </cell>
          <cell r="I418" t="str">
            <v>Calle Huachirancho</v>
          </cell>
          <cell r="J418" t="str">
            <v>28</v>
          </cell>
          <cell r="K418" t="str">
            <v>Uninominal</v>
          </cell>
          <cell r="L418" t="str">
            <v>-17.358321</v>
          </cell>
          <cell r="M418" t="str">
            <v>-66.281379</v>
          </cell>
          <cell r="N418" t="str">
            <v>Urbano</v>
          </cell>
          <cell r="O418" t="str">
            <v>2192</v>
          </cell>
          <cell r="P418" t="str">
            <v>POINT (-66.281379 -17.358321)</v>
          </cell>
          <cell r="Q418">
            <v>0</v>
          </cell>
          <cell r="R418" t="str">
            <v>Sin Info</v>
          </cell>
        </row>
        <row r="419">
          <cell r="A419">
            <v>2193</v>
          </cell>
          <cell r="B419" t="str">
            <v>U.E. Cerro CotaQuillacollo</v>
          </cell>
          <cell r="C419" t="str">
            <v>Cochabamba</v>
          </cell>
          <cell r="D419" t="str">
            <v>Quillacollo</v>
          </cell>
          <cell r="E419" t="str">
            <v>Quillacollo</v>
          </cell>
          <cell r="F419" t="str">
            <v>Quillacollo</v>
          </cell>
          <cell r="G419" t="str">
            <v>U.E. Cerro Cota</v>
          </cell>
          <cell r="H419" t="str">
            <v>Colquiri</v>
          </cell>
          <cell r="I419" t="str">
            <v>Ubicado en el cerro la cota OTB, La Cota zona calvario.</v>
          </cell>
          <cell r="J419" t="str">
            <v>28</v>
          </cell>
          <cell r="K419" t="str">
            <v>Uninominal</v>
          </cell>
          <cell r="L419" t="str">
            <v>-17.420831</v>
          </cell>
          <cell r="M419" t="str">
            <v>-66.299937</v>
          </cell>
          <cell r="N419" t="str">
            <v>Urbano</v>
          </cell>
          <cell r="O419" t="str">
            <v>2193</v>
          </cell>
          <cell r="P419" t="str">
            <v>POINT (-66.299937 -17.420831)</v>
          </cell>
          <cell r="Q419">
            <v>0</v>
          </cell>
          <cell r="R419" t="str">
            <v>Sin Info</v>
          </cell>
        </row>
        <row r="420">
          <cell r="A420">
            <v>2194</v>
          </cell>
          <cell r="B420" t="str">
            <v>U. E. Jose Miguel Lanza (Illataco)Quillacollo</v>
          </cell>
          <cell r="C420" t="str">
            <v>Cochabamba</v>
          </cell>
          <cell r="D420" t="str">
            <v>Quillacollo</v>
          </cell>
          <cell r="E420" t="str">
            <v>Quillacollo</v>
          </cell>
          <cell r="F420" t="str">
            <v>Illataco</v>
          </cell>
          <cell r="G420" t="str">
            <v>U. E. Jose Miguel Lanza (Illataco)</v>
          </cell>
          <cell r="H420" t="str">
            <v>Junta Vecinal Paucarpata</v>
          </cell>
          <cell r="I420" t="str">
            <v>5 Km. de Quillacollo al Norte</v>
          </cell>
          <cell r="J420" t="str">
            <v>28</v>
          </cell>
          <cell r="K420" t="str">
            <v>Uninominal</v>
          </cell>
          <cell r="L420" t="str">
            <v>-17.3675</v>
          </cell>
          <cell r="M420" t="str">
            <v>-66.3003</v>
          </cell>
          <cell r="N420" t="str">
            <v>Urbano</v>
          </cell>
          <cell r="O420" t="str">
            <v>2194</v>
          </cell>
          <cell r="P420" t="str">
            <v>POINT (-66.3003 -17.3675)</v>
          </cell>
          <cell r="Q420">
            <v>8</v>
          </cell>
          <cell r="R420">
            <v>0.72272083642072782</v>
          </cell>
        </row>
        <row r="421">
          <cell r="A421">
            <v>2195</v>
          </cell>
          <cell r="B421" t="str">
            <v>Escuela Felix MartinezQuillacollo</v>
          </cell>
          <cell r="C421" t="str">
            <v>Cochabamba</v>
          </cell>
          <cell r="D421" t="str">
            <v>Quillacollo</v>
          </cell>
          <cell r="E421" t="str">
            <v>Quillacollo</v>
          </cell>
          <cell r="F421" t="str">
            <v>Piñami</v>
          </cell>
          <cell r="G421" t="str">
            <v>Escuela Felix Martinez</v>
          </cell>
          <cell r="H421" t="str">
            <v>Siglo XX</v>
          </cell>
          <cell r="I421" t="str">
            <v>Av. Blanco Galindo Km 10 y Medio</v>
          </cell>
          <cell r="J421" t="str">
            <v>28</v>
          </cell>
          <cell r="K421" t="str">
            <v>Uninominal</v>
          </cell>
          <cell r="L421" t="str">
            <v>-17.3877</v>
          </cell>
          <cell r="M421" t="str">
            <v>-66.2527</v>
          </cell>
          <cell r="N421" t="str">
            <v>Urbano</v>
          </cell>
          <cell r="O421" t="str">
            <v>2195</v>
          </cell>
          <cell r="P421" t="str">
            <v>POINT (-66.2527 -17.3877)</v>
          </cell>
          <cell r="Q421">
            <v>32</v>
          </cell>
          <cell r="R421">
            <v>0.45081573254717444</v>
          </cell>
        </row>
        <row r="422">
          <cell r="A422">
            <v>2196</v>
          </cell>
          <cell r="B422" t="str">
            <v>Centro Integral Niño Jesus Fe y AlegriaQuillacollo</v>
          </cell>
          <cell r="C422" t="str">
            <v>Cochabamba</v>
          </cell>
          <cell r="D422" t="str">
            <v>Quillacollo</v>
          </cell>
          <cell r="E422" t="str">
            <v>Quillacollo</v>
          </cell>
          <cell r="F422" t="str">
            <v>Piñami</v>
          </cell>
          <cell r="G422" t="str">
            <v>Centro Integral Niño Jesus Fe y Alegria</v>
          </cell>
          <cell r="H422" t="str">
            <v>Siglo XX</v>
          </cell>
          <cell r="I422" t="str">
            <v>Calle 4 y Miraflores</v>
          </cell>
          <cell r="J422" t="str">
            <v>28</v>
          </cell>
          <cell r="K422" t="str">
            <v>Uninominal</v>
          </cell>
          <cell r="L422" t="str">
            <v>-17.387804</v>
          </cell>
          <cell r="M422" t="str">
            <v>-66.254936</v>
          </cell>
          <cell r="N422" t="str">
            <v>Urbano</v>
          </cell>
          <cell r="O422" t="str">
            <v>2196</v>
          </cell>
          <cell r="P422" t="str">
            <v>POINT (-66.254936 -17.387804)</v>
          </cell>
          <cell r="Q422">
            <v>8</v>
          </cell>
          <cell r="R422">
            <v>0.45157811198568343</v>
          </cell>
        </row>
        <row r="423">
          <cell r="A423">
            <v>2197</v>
          </cell>
          <cell r="B423" t="str">
            <v>U.E. Oscar AlfaroQuillacollo</v>
          </cell>
          <cell r="C423" t="str">
            <v>Cochabamba</v>
          </cell>
          <cell r="D423" t="str">
            <v>Quillacollo</v>
          </cell>
          <cell r="E423" t="str">
            <v>Quillacollo</v>
          </cell>
          <cell r="F423" t="str">
            <v>Piñami</v>
          </cell>
          <cell r="G423" t="str">
            <v>U.E. Oscar Alfaro</v>
          </cell>
          <cell r="H423" t="str">
            <v>Pandoja</v>
          </cell>
          <cell r="I423" t="str">
            <v>Pantoja Baja, Parada Linea P</v>
          </cell>
          <cell r="J423" t="str">
            <v>28</v>
          </cell>
          <cell r="K423" t="str">
            <v>Uninominal</v>
          </cell>
          <cell r="L423" t="str">
            <v>-17.364498</v>
          </cell>
          <cell r="M423" t="str">
            <v>-66.259036</v>
          </cell>
          <cell r="N423" t="str">
            <v>Urbano</v>
          </cell>
          <cell r="O423" t="str">
            <v>2197</v>
          </cell>
          <cell r="P423" t="str">
            <v>POINT (-66.259036 -17.364498)</v>
          </cell>
          <cell r="Q423">
            <v>3</v>
          </cell>
          <cell r="R423">
            <v>0.72639185797936623</v>
          </cell>
        </row>
        <row r="424">
          <cell r="A424">
            <v>2198</v>
          </cell>
          <cell r="B424" t="str">
            <v>U.E. PocpocolloQuillacollo</v>
          </cell>
          <cell r="C424" t="str">
            <v>Cochabamba</v>
          </cell>
          <cell r="D424" t="str">
            <v>Quillacollo</v>
          </cell>
          <cell r="E424" t="str">
            <v>Quillacollo</v>
          </cell>
          <cell r="F424" t="str">
            <v>Piñami</v>
          </cell>
          <cell r="G424" t="str">
            <v>U.E. Pocpocollo</v>
          </cell>
          <cell r="H424" t="str">
            <v>Pocpocollo</v>
          </cell>
          <cell r="I424" t="str">
            <v>Comunidad Pocpocollo</v>
          </cell>
          <cell r="J424" t="str">
            <v>28</v>
          </cell>
          <cell r="K424" t="str">
            <v>Uninominal</v>
          </cell>
          <cell r="L424" t="str">
            <v>-17.373754</v>
          </cell>
          <cell r="M424" t="str">
            <v>-66.255147</v>
          </cell>
          <cell r="N424" t="str">
            <v>Urbano</v>
          </cell>
          <cell r="O424" t="str">
            <v>2198</v>
          </cell>
          <cell r="P424" t="str">
            <v>POINT (-66.255147 -17.373754)</v>
          </cell>
          <cell r="Q424">
            <v>2</v>
          </cell>
          <cell r="R424">
            <v>0.66489667049368539</v>
          </cell>
        </row>
        <row r="425">
          <cell r="A425">
            <v>2199</v>
          </cell>
          <cell r="B425" t="str">
            <v>Normal Simón Rodríguez (Ex Nucleo Escolar Paucarpata)Quillacollo</v>
          </cell>
          <cell r="C425" t="str">
            <v>Cochabamba</v>
          </cell>
          <cell r="D425" t="str">
            <v>Quillacollo</v>
          </cell>
          <cell r="E425" t="str">
            <v>Quillacollo</v>
          </cell>
          <cell r="F425" t="str">
            <v>Paucarpata</v>
          </cell>
          <cell r="G425" t="str">
            <v>Normal Simón Rodríguez (Ex Nucleo Escolar Paucarpata)</v>
          </cell>
          <cell r="H425" t="str">
            <v>Junta Vecinal Paucarpata</v>
          </cell>
          <cell r="I425" t="str">
            <v>4 Km. de Quillacollo al Norte</v>
          </cell>
          <cell r="J425" t="str">
            <v>28</v>
          </cell>
          <cell r="K425" t="str">
            <v>Uninominal</v>
          </cell>
          <cell r="L425" t="str">
            <v>-17.3632</v>
          </cell>
          <cell r="M425" t="str">
            <v>-66.297</v>
          </cell>
          <cell r="N425" t="str">
            <v>Rural</v>
          </cell>
          <cell r="O425" t="str">
            <v>2199</v>
          </cell>
          <cell r="P425" t="str">
            <v>POINT (-66.297 -17.3632)</v>
          </cell>
          <cell r="Q425">
            <v>14</v>
          </cell>
          <cell r="R425">
            <v>0.68047297522535488</v>
          </cell>
        </row>
        <row r="426">
          <cell r="A426">
            <v>2200</v>
          </cell>
          <cell r="B426" t="str">
            <v>U. E. Mcal. José BallivianQuillacollo</v>
          </cell>
          <cell r="C426" t="str">
            <v>Cochabamba</v>
          </cell>
          <cell r="D426" t="str">
            <v>Quillacollo</v>
          </cell>
          <cell r="E426" t="str">
            <v>Quillacollo</v>
          </cell>
          <cell r="F426" t="str">
            <v>Cotapachi</v>
          </cell>
          <cell r="G426" t="str">
            <v>U. E. Mcal. José Ballivian</v>
          </cell>
          <cell r="H426" t="str">
            <v>Ceibo</v>
          </cell>
          <cell r="I426" t="str">
            <v>Barrio Saavedra, Av. Capitán Victor Ustáriz entre Av. Circunvalación (Cotapachi)</v>
          </cell>
          <cell r="J426" t="str">
            <v>28</v>
          </cell>
          <cell r="K426" t="str">
            <v>Uninominal</v>
          </cell>
          <cell r="L426" t="str">
            <v>-17.397433</v>
          </cell>
          <cell r="M426" t="str">
            <v>-66.265554</v>
          </cell>
          <cell r="N426" t="str">
            <v>Rural</v>
          </cell>
          <cell r="O426" t="str">
            <v>2200</v>
          </cell>
          <cell r="P426" t="str">
            <v>POINT (-66.265554 -17.397433)</v>
          </cell>
          <cell r="Q426">
            <v>14</v>
          </cell>
          <cell r="R426">
            <v>0.49958680102649639</v>
          </cell>
        </row>
        <row r="427">
          <cell r="A427">
            <v>2201</v>
          </cell>
          <cell r="B427" t="str">
            <v>U. E. Milivoy Eterovic MatendaQuillacollo</v>
          </cell>
          <cell r="C427" t="str">
            <v>Cochabamba</v>
          </cell>
          <cell r="D427" t="str">
            <v>Quillacollo</v>
          </cell>
          <cell r="E427" t="str">
            <v>Quillacollo</v>
          </cell>
          <cell r="F427" t="str">
            <v>Cotapachi</v>
          </cell>
          <cell r="G427" t="str">
            <v>U. E. Milivoy Eterovic Matenda</v>
          </cell>
          <cell r="H427" t="str">
            <v>Cochabamba</v>
          </cell>
          <cell r="I427" t="str">
            <v>Km 12 y 1/2 Av. Blanco Galindo y Av. Cochabamba a 150 Mts. Rio Wayculi</v>
          </cell>
          <cell r="J427" t="str">
            <v>28</v>
          </cell>
          <cell r="K427" t="str">
            <v>Uninominal</v>
          </cell>
          <cell r="L427" t="str">
            <v>-17.3938</v>
          </cell>
          <cell r="M427" t="str">
            <v>-66.2693</v>
          </cell>
          <cell r="N427" t="str">
            <v>Rural</v>
          </cell>
          <cell r="O427" t="str">
            <v>2201</v>
          </cell>
          <cell r="P427" t="str">
            <v>POINT (-66.2693 -17.3938)</v>
          </cell>
          <cell r="Q427">
            <v>13</v>
          </cell>
          <cell r="R427">
            <v>0.42004530826946318</v>
          </cell>
        </row>
        <row r="428">
          <cell r="A428">
            <v>2202</v>
          </cell>
          <cell r="B428" t="str">
            <v>Colegio Nacional Calama (Nueva Infraestructura)Quillacollo</v>
          </cell>
          <cell r="C428" t="str">
            <v>Cochabamba</v>
          </cell>
          <cell r="D428" t="str">
            <v>Quillacollo</v>
          </cell>
          <cell r="E428" t="str">
            <v>Quillacollo</v>
          </cell>
          <cell r="F428" t="str">
            <v>Cotapachi</v>
          </cell>
          <cell r="G428" t="str">
            <v>Colegio Nacional Calama (Nueva Infraestructura)</v>
          </cell>
          <cell r="H428" t="str">
            <v>Nombre 1</v>
          </cell>
          <cell r="I428" t="str">
            <v>Avenida Ferroviaria Sud</v>
          </cell>
          <cell r="J428" t="str">
            <v>28</v>
          </cell>
          <cell r="K428" t="str">
            <v>Uninominal</v>
          </cell>
          <cell r="L428" t="str">
            <v>-17.4118</v>
          </cell>
          <cell r="M428" t="str">
            <v>-66.272</v>
          </cell>
          <cell r="N428" t="str">
            <v>Rural</v>
          </cell>
          <cell r="O428" t="str">
            <v>2202</v>
          </cell>
          <cell r="P428" t="str">
            <v>POINT (-66.272 -17.4118)</v>
          </cell>
          <cell r="Q428">
            <v>6</v>
          </cell>
          <cell r="R428">
            <v>0.53879755434782606</v>
          </cell>
        </row>
        <row r="429">
          <cell r="A429">
            <v>2203</v>
          </cell>
          <cell r="B429" t="str">
            <v>U.E. CotapachiQuillacollo</v>
          </cell>
          <cell r="C429" t="str">
            <v>Cochabamba</v>
          </cell>
          <cell r="D429" t="str">
            <v>Quillacollo</v>
          </cell>
          <cell r="E429" t="str">
            <v>Quillacollo</v>
          </cell>
          <cell r="F429" t="str">
            <v>Cotapachi</v>
          </cell>
          <cell r="G429" t="str">
            <v>U.E. Cotapachi</v>
          </cell>
          <cell r="H429" t="str">
            <v>Zona 4471</v>
          </cell>
          <cell r="I429" t="str">
            <v>Carretera Quillacollo a Cochabamba Sindicato Agrario Cotapachi</v>
          </cell>
          <cell r="J429" t="str">
            <v>28</v>
          </cell>
          <cell r="K429" t="str">
            <v>Uninominal</v>
          </cell>
          <cell r="L429" t="str">
            <v>-17.439098</v>
          </cell>
          <cell r="M429" t="str">
            <v>-66.27453</v>
          </cell>
          <cell r="N429" t="str">
            <v>Urbano</v>
          </cell>
          <cell r="O429" t="str">
            <v>2203</v>
          </cell>
          <cell r="P429" t="str">
            <v>POINT (-66.27453 -17.439098)</v>
          </cell>
          <cell r="Q429">
            <v>2</v>
          </cell>
          <cell r="R429" t="str">
            <v>Sin Info</v>
          </cell>
        </row>
        <row r="430">
          <cell r="A430">
            <v>2204</v>
          </cell>
          <cell r="B430" t="str">
            <v>Unidad Educativa El PasoQuillacollo</v>
          </cell>
          <cell r="C430" t="str">
            <v>Cochabamba</v>
          </cell>
          <cell r="D430" t="str">
            <v>Quillacollo</v>
          </cell>
          <cell r="E430" t="str">
            <v>Quillacollo</v>
          </cell>
          <cell r="F430" t="str">
            <v>El Paso</v>
          </cell>
          <cell r="G430" t="str">
            <v>Unidad Educativa El Paso</v>
          </cell>
          <cell r="H430" t="str">
            <v>Aransaya</v>
          </cell>
          <cell r="I430" t="str">
            <v>El Paso</v>
          </cell>
          <cell r="J430" t="str">
            <v>28</v>
          </cell>
          <cell r="K430" t="str">
            <v>Uninominal</v>
          </cell>
          <cell r="L430" t="str">
            <v>-17.3385</v>
          </cell>
          <cell r="M430" t="str">
            <v>-66.2668</v>
          </cell>
          <cell r="N430" t="str">
            <v>Urbano</v>
          </cell>
          <cell r="O430" t="str">
            <v>2204</v>
          </cell>
          <cell r="P430" t="str">
            <v>POINT (-66.2668 -17.3385)</v>
          </cell>
          <cell r="Q430">
            <v>20</v>
          </cell>
          <cell r="R430">
            <v>0.69764964029212584</v>
          </cell>
        </row>
        <row r="431">
          <cell r="A431">
            <v>2205</v>
          </cell>
          <cell r="B431" t="str">
            <v>Unidad Educativa Maria AuxiliadoraQuillacollo</v>
          </cell>
          <cell r="C431" t="str">
            <v>Cochabamba</v>
          </cell>
          <cell r="D431" t="str">
            <v>Quillacollo</v>
          </cell>
          <cell r="E431" t="str">
            <v>Quillacollo</v>
          </cell>
          <cell r="F431" t="str">
            <v>El Paso</v>
          </cell>
          <cell r="G431" t="str">
            <v>Unidad Educativa Maria Auxiliadora</v>
          </cell>
          <cell r="H431" t="str">
            <v>Apote Central</v>
          </cell>
          <cell r="I431" t="str">
            <v>De Quillacollo a 17 Km. entre El Paso y Tiquipaya</v>
          </cell>
          <cell r="J431" t="str">
            <v>28</v>
          </cell>
          <cell r="K431" t="str">
            <v>Uninominal</v>
          </cell>
          <cell r="L431" t="str">
            <v>-17.3294</v>
          </cell>
          <cell r="M431" t="str">
            <v>-66.243</v>
          </cell>
          <cell r="N431" t="str">
            <v>Urbano</v>
          </cell>
          <cell r="O431" t="str">
            <v>2205</v>
          </cell>
          <cell r="P431" t="str">
            <v>POINT (-66.243 -17.3294)</v>
          </cell>
          <cell r="Q431">
            <v>6</v>
          </cell>
          <cell r="R431">
            <v>0.7281986000538202</v>
          </cell>
        </row>
        <row r="432">
          <cell r="A432">
            <v>2206</v>
          </cell>
          <cell r="B432" t="str">
            <v>Instituto Tecnologico El PasoQuillacollo</v>
          </cell>
          <cell r="C432" t="str">
            <v>Cochabamba</v>
          </cell>
          <cell r="D432" t="str">
            <v>Quillacollo</v>
          </cell>
          <cell r="E432" t="str">
            <v>Quillacollo</v>
          </cell>
          <cell r="F432" t="str">
            <v>El Paso</v>
          </cell>
          <cell r="G432" t="str">
            <v>Instituto Tecnologico El Paso</v>
          </cell>
          <cell r="H432" t="str">
            <v>Llauquenquiri</v>
          </cell>
          <cell r="I432" t="str">
            <v>Avenida Elias Meneces</v>
          </cell>
          <cell r="J432" t="str">
            <v>28</v>
          </cell>
          <cell r="K432" t="str">
            <v>Uninominal</v>
          </cell>
          <cell r="L432" t="str">
            <v>-17.3497</v>
          </cell>
          <cell r="M432" t="str">
            <v>-66.2566</v>
          </cell>
          <cell r="N432" t="str">
            <v>Urbano</v>
          </cell>
          <cell r="O432" t="str">
            <v>2206</v>
          </cell>
          <cell r="P432" t="str">
            <v>POINT (-66.2566 -17.3497)</v>
          </cell>
          <cell r="Q432">
            <v>9</v>
          </cell>
          <cell r="R432">
            <v>0.66486914258763108</v>
          </cell>
        </row>
        <row r="433">
          <cell r="A433">
            <v>2207</v>
          </cell>
          <cell r="B433" t="str">
            <v>U. E. El Paso  AQuillacollo</v>
          </cell>
          <cell r="C433" t="str">
            <v>Cochabamba</v>
          </cell>
          <cell r="D433" t="str">
            <v>Quillacollo</v>
          </cell>
          <cell r="E433" t="str">
            <v>Quillacollo</v>
          </cell>
          <cell r="F433" t="str">
            <v>El Paso</v>
          </cell>
          <cell r="G433" t="str">
            <v>U. E. El Paso  A</v>
          </cell>
          <cell r="H433" t="str">
            <v>Aransaya</v>
          </cell>
          <cell r="I433" t="str">
            <v>Zona Central El Paso</v>
          </cell>
          <cell r="J433" t="str">
            <v>28</v>
          </cell>
          <cell r="K433" t="str">
            <v>Uninominal</v>
          </cell>
          <cell r="L433" t="str">
            <v>-17.338628</v>
          </cell>
          <cell r="M433" t="str">
            <v>-66.267885</v>
          </cell>
          <cell r="N433" t="str">
            <v>Urbano</v>
          </cell>
          <cell r="O433" t="str">
            <v>2207</v>
          </cell>
          <cell r="P433" t="str">
            <v>POINT (-66.267885 -17.338628)</v>
          </cell>
          <cell r="Q433">
            <v>14</v>
          </cell>
          <cell r="R433">
            <v>0.73264905061951779</v>
          </cell>
        </row>
        <row r="434">
          <cell r="A434">
            <v>2208</v>
          </cell>
          <cell r="B434" t="str">
            <v>U.E. Molle MolleQuillacollo</v>
          </cell>
          <cell r="C434" t="str">
            <v>Cochabamba</v>
          </cell>
          <cell r="D434" t="str">
            <v>Quillacollo</v>
          </cell>
          <cell r="E434" t="str">
            <v>Quillacollo</v>
          </cell>
          <cell r="F434" t="str">
            <v>El Paso</v>
          </cell>
          <cell r="G434" t="str">
            <v>U.E. Molle Molle</v>
          </cell>
          <cell r="H434" t="str">
            <v>Molle Molle</v>
          </cell>
          <cell r="I434" t="str">
            <v>Comunidad Molle Molle</v>
          </cell>
          <cell r="J434" t="str">
            <v>28</v>
          </cell>
          <cell r="K434" t="str">
            <v>Uninominal</v>
          </cell>
          <cell r="L434" t="str">
            <v>-17.318452</v>
          </cell>
          <cell r="M434" t="str">
            <v>-66.264365</v>
          </cell>
          <cell r="N434" t="str">
            <v>Urbano</v>
          </cell>
          <cell r="O434" t="str">
            <v>2208</v>
          </cell>
          <cell r="P434" t="str">
            <v>POINT (-66.264365 -17.318452)</v>
          </cell>
          <cell r="Q434">
            <v>2</v>
          </cell>
          <cell r="R434">
            <v>0.88856990962254123</v>
          </cell>
        </row>
        <row r="435">
          <cell r="A435">
            <v>2209</v>
          </cell>
          <cell r="B435" t="str">
            <v>U.E. Santiago ApóstolQuillacollo</v>
          </cell>
          <cell r="C435" t="str">
            <v>Cochabamba</v>
          </cell>
          <cell r="D435" t="str">
            <v>Quillacollo</v>
          </cell>
          <cell r="E435" t="str">
            <v>Quillacollo</v>
          </cell>
          <cell r="F435" t="str">
            <v>El Paso</v>
          </cell>
          <cell r="G435" t="str">
            <v>U.E. Santiago Apóstol</v>
          </cell>
          <cell r="H435" t="str">
            <v>Urinsaya</v>
          </cell>
          <cell r="I435" t="str">
            <v>Zona Candelaria Urinzaya, El Paso</v>
          </cell>
          <cell r="J435" t="str">
            <v>28</v>
          </cell>
          <cell r="K435" t="str">
            <v>Uninominal</v>
          </cell>
          <cell r="L435" t="str">
            <v>-17.335113</v>
          </cell>
          <cell r="M435" t="str">
            <v>-66.262933</v>
          </cell>
          <cell r="N435" t="str">
            <v>Urbano</v>
          </cell>
          <cell r="O435" t="str">
            <v>2209</v>
          </cell>
          <cell r="P435" t="str">
            <v>POINT (-66.262933 -17.335113)</v>
          </cell>
          <cell r="Q435">
            <v>2</v>
          </cell>
          <cell r="R435">
            <v>0.71212121212121215</v>
          </cell>
        </row>
        <row r="436">
          <cell r="A436">
            <v>2210</v>
          </cell>
          <cell r="B436" t="str">
            <v>Unidad Educativa Bella VistaQuillacollo</v>
          </cell>
          <cell r="C436" t="str">
            <v>Cochabamba</v>
          </cell>
          <cell r="D436" t="str">
            <v>Quillacollo</v>
          </cell>
          <cell r="E436" t="str">
            <v>Quillacollo</v>
          </cell>
          <cell r="F436" t="str">
            <v>Bella Vista</v>
          </cell>
          <cell r="G436" t="str">
            <v>Unidad Educativa Bella Vista</v>
          </cell>
          <cell r="H436" t="str">
            <v>Zona 4472</v>
          </cell>
          <cell r="I436" t="str">
            <v>Bella Vista 7 Km de Quillacollo Camino a Morochata</v>
          </cell>
          <cell r="J436" t="str">
            <v>28</v>
          </cell>
          <cell r="K436" t="str">
            <v>Uninominal</v>
          </cell>
          <cell r="L436" t="str">
            <v>-17.3294</v>
          </cell>
          <cell r="M436" t="str">
            <v>-66.283</v>
          </cell>
          <cell r="N436" t="str">
            <v>Urbano</v>
          </cell>
          <cell r="O436" t="str">
            <v>2210</v>
          </cell>
          <cell r="P436" t="str">
            <v>POINT (-66.283 -17.3294)</v>
          </cell>
          <cell r="Q436">
            <v>23</v>
          </cell>
          <cell r="R436">
            <v>0.84006818393919613</v>
          </cell>
        </row>
        <row r="437">
          <cell r="A437">
            <v>2211</v>
          </cell>
          <cell r="B437" t="str">
            <v>U. E. Rene Barrienos Ortuño (Misicuni)Quillacollo</v>
          </cell>
          <cell r="C437" t="str">
            <v>Cochabamba</v>
          </cell>
          <cell r="D437" t="str">
            <v>Quillacollo</v>
          </cell>
          <cell r="E437" t="str">
            <v>Quillacollo</v>
          </cell>
          <cell r="F437" t="str">
            <v>Misicuni</v>
          </cell>
          <cell r="G437" t="str">
            <v>U. E. Rene Barrienos Ortuño (Misicuni)</v>
          </cell>
          <cell r="H437" t="str">
            <v>Comunidad Campesina Uyuni</v>
          </cell>
          <cell r="I437" t="str">
            <v>Misicuni</v>
          </cell>
          <cell r="J437" t="str">
            <v>28</v>
          </cell>
          <cell r="K437" t="str">
            <v>Uninominal</v>
          </cell>
          <cell r="L437" t="str">
            <v>-17.1173</v>
          </cell>
          <cell r="M437" t="str">
            <v>-66.3227</v>
          </cell>
          <cell r="N437" t="str">
            <v>Urbano</v>
          </cell>
          <cell r="O437" t="str">
            <v>2211</v>
          </cell>
          <cell r="P437" t="str">
            <v>POINT (-66.3227 -17.1173)</v>
          </cell>
          <cell r="Q437">
            <v>2</v>
          </cell>
          <cell r="R437">
            <v>0.90423662631784452</v>
          </cell>
        </row>
        <row r="438">
          <cell r="A438">
            <v>2212</v>
          </cell>
          <cell r="B438" t="str">
            <v>Centro Internado MisicuniQuillacollo</v>
          </cell>
          <cell r="C438" t="str">
            <v>Cochabamba</v>
          </cell>
          <cell r="D438" t="str">
            <v>Quillacollo</v>
          </cell>
          <cell r="E438" t="str">
            <v>Quillacollo</v>
          </cell>
          <cell r="F438" t="str">
            <v>Misicuni</v>
          </cell>
          <cell r="G438" t="str">
            <v>Centro Internado Misicuni</v>
          </cell>
          <cell r="H438" t="str">
            <v>Subcentral  Agraria Pata Pampa</v>
          </cell>
          <cell r="I438" t="str">
            <v>Misicuni</v>
          </cell>
          <cell r="J438" t="str">
            <v>28</v>
          </cell>
          <cell r="K438" t="str">
            <v>Uninominal</v>
          </cell>
          <cell r="L438" t="str">
            <v>-17.1265</v>
          </cell>
          <cell r="M438" t="str">
            <v>-66.3219</v>
          </cell>
          <cell r="N438" t="str">
            <v>Urbano</v>
          </cell>
          <cell r="O438" t="str">
            <v>2212</v>
          </cell>
          <cell r="P438" t="str">
            <v>POINT (-66.3219 -17.1265)</v>
          </cell>
          <cell r="Q438">
            <v>3</v>
          </cell>
          <cell r="R438">
            <v>0.94201304640316863</v>
          </cell>
        </row>
        <row r="439">
          <cell r="A439">
            <v>2213</v>
          </cell>
          <cell r="B439" t="str">
            <v>Unidad Educativa LiriuniQuillacollo</v>
          </cell>
          <cell r="C439" t="str">
            <v>Cochabamba</v>
          </cell>
          <cell r="D439" t="str">
            <v>Quillacollo</v>
          </cell>
          <cell r="E439" t="str">
            <v>Quillacollo</v>
          </cell>
          <cell r="F439" t="str">
            <v>Liriuni</v>
          </cell>
          <cell r="G439" t="str">
            <v>Unidad Educativa Liriuni</v>
          </cell>
          <cell r="H439" t="str">
            <v>Zona 4473</v>
          </cell>
          <cell r="I439" t="str">
            <v>Liriuni</v>
          </cell>
          <cell r="J439" t="str">
            <v>28</v>
          </cell>
          <cell r="K439" t="str">
            <v>Uninominal</v>
          </cell>
          <cell r="L439" t="str">
            <v>-17.2848</v>
          </cell>
          <cell r="M439" t="str">
            <v>-66.2998</v>
          </cell>
          <cell r="N439" t="str">
            <v>Urbano</v>
          </cell>
          <cell r="O439" t="str">
            <v>2213</v>
          </cell>
          <cell r="P439" t="str">
            <v>POINT (-66.2998 -17.2848)</v>
          </cell>
          <cell r="Q439">
            <v>1</v>
          </cell>
          <cell r="R439">
            <v>0.96618357487922701</v>
          </cell>
        </row>
        <row r="440">
          <cell r="A440">
            <v>2214</v>
          </cell>
          <cell r="B440" t="str">
            <v>U. E. PotreroQuillacollo</v>
          </cell>
          <cell r="C440" t="str">
            <v>Cochabamba</v>
          </cell>
          <cell r="D440" t="str">
            <v>Quillacollo</v>
          </cell>
          <cell r="E440" t="str">
            <v>Quillacollo</v>
          </cell>
          <cell r="F440" t="str">
            <v>Potrero</v>
          </cell>
          <cell r="G440" t="str">
            <v>U. E. Potrero</v>
          </cell>
          <cell r="H440" t="str">
            <v>Zona 4472</v>
          </cell>
          <cell r="I440" t="str">
            <v>Comunidad Potrero, al norte del municipio Quillacollo sobre el camino vecinal</v>
          </cell>
          <cell r="J440" t="str">
            <v>28</v>
          </cell>
          <cell r="K440" t="str">
            <v>Uninominal</v>
          </cell>
          <cell r="L440" t="str">
            <v>-17.326364</v>
          </cell>
          <cell r="M440" t="str">
            <v>-66.302063</v>
          </cell>
          <cell r="N440" t="str">
            <v>Urbano</v>
          </cell>
          <cell r="O440" t="str">
            <v>2214</v>
          </cell>
          <cell r="P440" t="str">
            <v>POINT (-66.302063 -17.326364)</v>
          </cell>
          <cell r="Q440">
            <v>6</v>
          </cell>
          <cell r="R440">
            <v>0.86075115014498871</v>
          </cell>
        </row>
        <row r="441">
          <cell r="A441">
            <v>2215</v>
          </cell>
          <cell r="B441" t="str">
            <v>Escuela Sucre (Sipe Sipe)Sipesipe</v>
          </cell>
          <cell r="C441" t="str">
            <v>Cochabamba</v>
          </cell>
          <cell r="D441" t="str">
            <v>Quillacollo</v>
          </cell>
          <cell r="E441" t="str">
            <v>Sipesipe</v>
          </cell>
          <cell r="F441" t="str">
            <v>Sipe Sipe</v>
          </cell>
          <cell r="G441" t="str">
            <v>Escuela Sucre (Sipe Sipe)</v>
          </cell>
          <cell r="H441" t="str">
            <v>Sipe Sipe Casco Viejo</v>
          </cell>
          <cell r="I441" t="str">
            <v>Sipe Sipe</v>
          </cell>
          <cell r="J441" t="str">
            <v>27</v>
          </cell>
          <cell r="K441" t="str">
            <v>Uninominal</v>
          </cell>
          <cell r="L441" t="str">
            <v>-17.4548</v>
          </cell>
          <cell r="M441" t="str">
            <v>-66.3571</v>
          </cell>
          <cell r="N441" t="str">
            <v>Rural</v>
          </cell>
          <cell r="O441" t="str">
            <v>2215</v>
          </cell>
          <cell r="P441" t="str">
            <v>POINT (-66.3571 -17.4548)</v>
          </cell>
          <cell r="Q441">
            <v>26</v>
          </cell>
          <cell r="R441">
            <v>0.77520182329344989</v>
          </cell>
        </row>
        <row r="442">
          <cell r="A442">
            <v>2216</v>
          </cell>
          <cell r="B442" t="str">
            <v>Unidad Educativa Andres Uzeda OcampoSipesipe</v>
          </cell>
          <cell r="C442" t="str">
            <v>Cochabamba</v>
          </cell>
          <cell r="D442" t="str">
            <v>Quillacollo</v>
          </cell>
          <cell r="E442" t="str">
            <v>Sipesipe</v>
          </cell>
          <cell r="F442" t="str">
            <v>Sipe Sipe</v>
          </cell>
          <cell r="G442" t="str">
            <v>Unidad Educativa Andres Uzeda Ocampo</v>
          </cell>
          <cell r="H442" t="str">
            <v>Sipe Sipe Casco Viejo</v>
          </cell>
          <cell r="I442" t="str">
            <v>Sipe Sipe</v>
          </cell>
          <cell r="J442" t="str">
            <v>27</v>
          </cell>
          <cell r="K442" t="str">
            <v>Uninominal</v>
          </cell>
          <cell r="L442" t="str">
            <v>-17.4543</v>
          </cell>
          <cell r="M442" t="str">
            <v>-66.3586</v>
          </cell>
          <cell r="N442" t="str">
            <v>Rural</v>
          </cell>
          <cell r="O442" t="str">
            <v>2216</v>
          </cell>
          <cell r="P442" t="str">
            <v>POINT (-66.3586 -17.4543)</v>
          </cell>
          <cell r="Q442">
            <v>19</v>
          </cell>
          <cell r="R442">
            <v>0.81881843577474267</v>
          </cell>
        </row>
        <row r="443">
          <cell r="A443">
            <v>2217</v>
          </cell>
          <cell r="B443" t="str">
            <v>U.E. Daniel Albornoz ISipesipe</v>
          </cell>
          <cell r="C443" t="str">
            <v>Cochabamba</v>
          </cell>
          <cell r="D443" t="str">
            <v>Quillacollo</v>
          </cell>
          <cell r="E443" t="str">
            <v>Sipesipe</v>
          </cell>
          <cell r="F443" t="str">
            <v>Sipe Sipe</v>
          </cell>
          <cell r="G443" t="str">
            <v>U.E. Daniel Albornoz I</v>
          </cell>
          <cell r="H443" t="str">
            <v>Montecanto</v>
          </cell>
          <cell r="I443" t="str">
            <v>OTB Monte Canto, Calle 2</v>
          </cell>
          <cell r="J443" t="str">
            <v>27</v>
          </cell>
          <cell r="K443" t="str">
            <v>Uninominal</v>
          </cell>
          <cell r="L443" t="str">
            <v>-17.458944</v>
          </cell>
          <cell r="M443" t="str">
            <v>-66.361946</v>
          </cell>
          <cell r="N443" t="str">
            <v>Urbano</v>
          </cell>
          <cell r="O443" t="str">
            <v>2217</v>
          </cell>
          <cell r="P443" t="str">
            <v>POINT (-66.361946 -17.458944)</v>
          </cell>
          <cell r="Q443">
            <v>1</v>
          </cell>
          <cell r="R443">
            <v>0.90909090909090906</v>
          </cell>
        </row>
        <row r="444">
          <cell r="A444">
            <v>2218</v>
          </cell>
          <cell r="B444" t="str">
            <v>Unidad Educativa SuticolloSipesipe</v>
          </cell>
          <cell r="C444" t="str">
            <v>Cochabamba</v>
          </cell>
          <cell r="D444" t="str">
            <v>Quillacollo</v>
          </cell>
          <cell r="E444" t="str">
            <v>Sipesipe</v>
          </cell>
          <cell r="F444" t="str">
            <v>Suticollo</v>
          </cell>
          <cell r="G444" t="str">
            <v>Unidad Educativa Suticollo</v>
          </cell>
          <cell r="H444" t="str">
            <v>Pueblo Nuevo</v>
          </cell>
          <cell r="I444" t="str">
            <v>Suticollo</v>
          </cell>
          <cell r="J444" t="str">
            <v>27</v>
          </cell>
          <cell r="K444" t="str">
            <v>Uninominal</v>
          </cell>
          <cell r="L444" t="str">
            <v>-17.4668</v>
          </cell>
          <cell r="M444" t="str">
            <v>-66.3357</v>
          </cell>
          <cell r="N444" t="str">
            <v>Rural</v>
          </cell>
          <cell r="O444" t="str">
            <v>2218</v>
          </cell>
          <cell r="P444" t="str">
            <v>POINT (-66.3357 -17.4668)</v>
          </cell>
          <cell r="Q444">
            <v>14</v>
          </cell>
          <cell r="R444">
            <v>0.67568329746889233</v>
          </cell>
        </row>
        <row r="445">
          <cell r="A445">
            <v>2219</v>
          </cell>
          <cell r="B445" t="str">
            <v>Unidad Educativa VilomaSipesipe</v>
          </cell>
          <cell r="C445" t="str">
            <v>Cochabamba</v>
          </cell>
          <cell r="D445" t="str">
            <v>Quillacollo</v>
          </cell>
          <cell r="E445" t="str">
            <v>Sipesipe</v>
          </cell>
          <cell r="F445" t="str">
            <v>Viloma</v>
          </cell>
          <cell r="G445" t="str">
            <v>Unidad Educativa Viloma</v>
          </cell>
          <cell r="H445" t="str">
            <v>Zona 4476</v>
          </cell>
          <cell r="I445" t="str">
            <v>Viloma</v>
          </cell>
          <cell r="J445" t="str">
            <v>27</v>
          </cell>
          <cell r="K445" t="str">
            <v>Uninominal</v>
          </cell>
          <cell r="L445" t="str">
            <v>-17.4124</v>
          </cell>
          <cell r="M445" t="str">
            <v>-66.3753</v>
          </cell>
          <cell r="N445" t="str">
            <v>Urbano</v>
          </cell>
          <cell r="O445" t="str">
            <v>2219</v>
          </cell>
          <cell r="P445" t="str">
            <v>POINT (-66.3753 -17.4124)</v>
          </cell>
          <cell r="Q445">
            <v>7</v>
          </cell>
          <cell r="R445">
            <v>0.89687925258425349</v>
          </cell>
        </row>
        <row r="446">
          <cell r="A446">
            <v>2220</v>
          </cell>
          <cell r="B446" t="str">
            <v>Unidad Educativa Sauce RanchoSipesipe</v>
          </cell>
          <cell r="C446" t="str">
            <v>Cochabamba</v>
          </cell>
          <cell r="D446" t="str">
            <v>Quillacollo</v>
          </cell>
          <cell r="E446" t="str">
            <v>Sipesipe</v>
          </cell>
          <cell r="F446" t="str">
            <v>Sauce Rancho</v>
          </cell>
          <cell r="G446" t="str">
            <v>Unidad Educativa Sauce Rancho</v>
          </cell>
          <cell r="H446" t="str">
            <v>Sauce Rancho</v>
          </cell>
          <cell r="I446" t="str">
            <v>Sauce Rancho</v>
          </cell>
          <cell r="J446" t="str">
            <v>27</v>
          </cell>
          <cell r="K446" t="str">
            <v>Uninominal</v>
          </cell>
          <cell r="L446" t="str">
            <v>-17.4262</v>
          </cell>
          <cell r="M446" t="str">
            <v>-66.3294</v>
          </cell>
          <cell r="N446" t="str">
            <v>Rural</v>
          </cell>
          <cell r="O446" t="str">
            <v>2220</v>
          </cell>
          <cell r="P446" t="str">
            <v>POINT (-66.3294 -17.4262)</v>
          </cell>
          <cell r="Q446">
            <v>16</v>
          </cell>
          <cell r="R446">
            <v>0.73662863362743047</v>
          </cell>
        </row>
        <row r="447">
          <cell r="A447">
            <v>2221</v>
          </cell>
          <cell r="B447" t="str">
            <v>U. E. German BuschSipesipe</v>
          </cell>
          <cell r="C447" t="str">
            <v>Cochabamba</v>
          </cell>
          <cell r="D447" t="str">
            <v>Quillacollo</v>
          </cell>
          <cell r="E447" t="str">
            <v>Sipesipe</v>
          </cell>
          <cell r="F447" t="str">
            <v>Sauce Rancho</v>
          </cell>
          <cell r="G447" t="str">
            <v>U. E. German Busch</v>
          </cell>
          <cell r="H447" t="str">
            <v>Payacollo</v>
          </cell>
          <cell r="I447" t="str">
            <v>Comunidad Payacollo, carretera Oruro - Cochabamba Km 21 1/2 aprox. C/ 2 DE Septiembre</v>
          </cell>
          <cell r="J447" t="str">
            <v>27</v>
          </cell>
          <cell r="K447" t="str">
            <v>Uninominal</v>
          </cell>
          <cell r="L447" t="str">
            <v>-17.432191</v>
          </cell>
          <cell r="M447" t="str">
            <v>-66.326937</v>
          </cell>
          <cell r="N447" t="str">
            <v>Urbano</v>
          </cell>
          <cell r="O447" t="str">
            <v>2221</v>
          </cell>
          <cell r="P447" t="str">
            <v>POINT (-66.326937 -17.432191)</v>
          </cell>
          <cell r="Q447">
            <v>7</v>
          </cell>
          <cell r="R447">
            <v>0.76589883057563668</v>
          </cell>
        </row>
        <row r="448">
          <cell r="A448">
            <v>2222</v>
          </cell>
          <cell r="B448" t="str">
            <v>U. E. Isidoro Carrasco OlguínSipesipe</v>
          </cell>
          <cell r="C448" t="str">
            <v>Cochabamba</v>
          </cell>
          <cell r="D448" t="str">
            <v>Quillacollo</v>
          </cell>
          <cell r="E448" t="str">
            <v>Sipesipe</v>
          </cell>
          <cell r="F448" t="str">
            <v>Sauce Rancho</v>
          </cell>
          <cell r="G448" t="str">
            <v>U. E. Isidoro Carrasco Olguín</v>
          </cell>
          <cell r="H448" t="str">
            <v>Caramarca Otavi</v>
          </cell>
          <cell r="I448" t="str">
            <v>OTB Comunidad Caramarca Otavi, carretera Cochabamba - Oruro</v>
          </cell>
          <cell r="J448" t="str">
            <v>27</v>
          </cell>
          <cell r="K448" t="str">
            <v>Uninominal</v>
          </cell>
          <cell r="L448" t="str">
            <v>-17.415205</v>
          </cell>
          <cell r="M448" t="str">
            <v>-66.31985</v>
          </cell>
          <cell r="N448" t="str">
            <v>Urbano</v>
          </cell>
          <cell r="O448" t="str">
            <v>2222</v>
          </cell>
          <cell r="P448" t="str">
            <v>POINT (-66.31985 -17.415205)</v>
          </cell>
          <cell r="Q448">
            <v>5</v>
          </cell>
          <cell r="R448">
            <v>0.92327209244254116</v>
          </cell>
        </row>
        <row r="449">
          <cell r="A449">
            <v>2223</v>
          </cell>
          <cell r="B449" t="str">
            <v>Esc. Rene Barrientos Ortuño (Itapaya)Sipesipe</v>
          </cell>
          <cell r="C449" t="str">
            <v>Cochabamba</v>
          </cell>
          <cell r="D449" t="str">
            <v>Quillacollo</v>
          </cell>
          <cell r="E449" t="str">
            <v>Sipesipe</v>
          </cell>
          <cell r="F449" t="str">
            <v>Itapaya</v>
          </cell>
          <cell r="G449" t="str">
            <v>Esc. Rene Barrientos Ortuño (Itapaya)</v>
          </cell>
          <cell r="H449" t="str">
            <v>Itapaya</v>
          </cell>
          <cell r="I449" t="str">
            <v>Itapaya</v>
          </cell>
          <cell r="J449" t="str">
            <v>27</v>
          </cell>
          <cell r="K449" t="str">
            <v>Uninominal</v>
          </cell>
          <cell r="L449" t="str">
            <v>-17.58</v>
          </cell>
          <cell r="M449" t="str">
            <v>-66.3264</v>
          </cell>
          <cell r="N449" t="str">
            <v>Urbano</v>
          </cell>
          <cell r="O449" t="str">
            <v>2223</v>
          </cell>
          <cell r="P449" t="str">
            <v>POINT (-66.3264 -17.58)</v>
          </cell>
          <cell r="Q449">
            <v>7</v>
          </cell>
          <cell r="R449">
            <v>0.79000291344249862</v>
          </cell>
        </row>
        <row r="450">
          <cell r="A450">
            <v>2224</v>
          </cell>
          <cell r="B450" t="str">
            <v>Unidad Educativa Eduardo AbaroaSipesipe</v>
          </cell>
          <cell r="C450" t="str">
            <v>Cochabamba</v>
          </cell>
          <cell r="D450" t="str">
            <v>Quillacollo</v>
          </cell>
          <cell r="E450" t="str">
            <v>Sipesipe</v>
          </cell>
          <cell r="F450" t="str">
            <v>Parotani</v>
          </cell>
          <cell r="G450" t="str">
            <v>Unidad Educativa Eduardo Abaroa</v>
          </cell>
          <cell r="H450" t="str">
            <v>Parotani</v>
          </cell>
          <cell r="I450" t="str">
            <v>Al Lado de La Escuela Carlos Quiton, Barrio 14 de Septiembre</v>
          </cell>
          <cell r="J450" t="str">
            <v>27</v>
          </cell>
          <cell r="K450" t="str">
            <v>Uninominal</v>
          </cell>
          <cell r="L450" t="str">
            <v>-17.5672</v>
          </cell>
          <cell r="M450" t="str">
            <v>-66.3469</v>
          </cell>
          <cell r="N450" t="str">
            <v>Urbano</v>
          </cell>
          <cell r="O450" t="str">
            <v>2224</v>
          </cell>
          <cell r="P450" t="str">
            <v>POINT (-66.3469 -17.5672)</v>
          </cell>
          <cell r="Q450">
            <v>13</v>
          </cell>
          <cell r="R450">
            <v>0.86809177424763173</v>
          </cell>
        </row>
        <row r="451">
          <cell r="A451">
            <v>2225</v>
          </cell>
          <cell r="B451" t="str">
            <v>Escuela Bolviana AmericanaSipesipe</v>
          </cell>
          <cell r="C451" t="str">
            <v>Cochabamba</v>
          </cell>
          <cell r="D451" t="str">
            <v>Quillacollo</v>
          </cell>
          <cell r="E451" t="str">
            <v>Sipesipe</v>
          </cell>
          <cell r="F451" t="str">
            <v>Mallco Rancho</v>
          </cell>
          <cell r="G451" t="str">
            <v>Escuela Bolviana Americana</v>
          </cell>
          <cell r="H451" t="str">
            <v>Mallcorancho</v>
          </cell>
          <cell r="I451" t="str">
            <v>Mallco Rancho</v>
          </cell>
          <cell r="J451" t="str">
            <v>27</v>
          </cell>
          <cell r="K451" t="str">
            <v>Uninominal</v>
          </cell>
          <cell r="L451" t="str">
            <v>-17.4197</v>
          </cell>
          <cell r="M451" t="str">
            <v>-66.364</v>
          </cell>
          <cell r="N451" t="str">
            <v>Urbano</v>
          </cell>
          <cell r="O451" t="str">
            <v>2225</v>
          </cell>
          <cell r="P451" t="str">
            <v>POINT (-66.364 -17.4197)</v>
          </cell>
          <cell r="Q451">
            <v>13</v>
          </cell>
          <cell r="R451">
            <v>0.83404087030358198</v>
          </cell>
        </row>
        <row r="452">
          <cell r="A452">
            <v>2226</v>
          </cell>
          <cell r="B452" t="str">
            <v>U. E. Cohachaca ChicoSipesipe</v>
          </cell>
          <cell r="C452" t="str">
            <v>Cochabamba</v>
          </cell>
          <cell r="D452" t="str">
            <v>Quillacollo</v>
          </cell>
          <cell r="E452" t="str">
            <v>Sipesipe</v>
          </cell>
          <cell r="F452" t="str">
            <v>Mallco Rancho</v>
          </cell>
          <cell r="G452" t="str">
            <v>U. E. Cohachaca Chico</v>
          </cell>
          <cell r="H452" t="str">
            <v>Coachaca Chico</v>
          </cell>
          <cell r="I452" t="str">
            <v>OTB Coacha Chico, Distrito Mallcorancho</v>
          </cell>
          <cell r="J452" t="str">
            <v>27</v>
          </cell>
          <cell r="K452" t="str">
            <v>Uninominal</v>
          </cell>
          <cell r="L452" t="str">
            <v>-17.412503</v>
          </cell>
          <cell r="M452" t="str">
            <v>-66.340414</v>
          </cell>
          <cell r="N452" t="str">
            <v>Urbano</v>
          </cell>
          <cell r="O452" t="str">
            <v>2226</v>
          </cell>
          <cell r="P452" t="str">
            <v>POINT (-66.340414 -17.412503)</v>
          </cell>
          <cell r="Q452">
            <v>3</v>
          </cell>
          <cell r="R452" t="str">
            <v>Sin Info</v>
          </cell>
        </row>
        <row r="453">
          <cell r="A453">
            <v>2227</v>
          </cell>
          <cell r="B453" t="str">
            <v>Unidad Educativa Uchu UchuSipesipe</v>
          </cell>
          <cell r="C453" t="str">
            <v>Cochabamba</v>
          </cell>
          <cell r="D453" t="str">
            <v>Quillacollo</v>
          </cell>
          <cell r="E453" t="str">
            <v>Sipesipe</v>
          </cell>
          <cell r="F453" t="str">
            <v>Uchu Uchu</v>
          </cell>
          <cell r="G453" t="str">
            <v>Unidad Educativa Uchu Uchu</v>
          </cell>
          <cell r="H453" t="str">
            <v>Sub Central Uchu Uchu</v>
          </cell>
          <cell r="I453" t="str">
            <v>Uchu Uchu</v>
          </cell>
          <cell r="J453" t="str">
            <v>27</v>
          </cell>
          <cell r="K453" t="str">
            <v>Uninominal</v>
          </cell>
          <cell r="L453" t="str">
            <v>-17.3755</v>
          </cell>
          <cell r="M453" t="str">
            <v>-66.4711</v>
          </cell>
          <cell r="N453" t="str">
            <v>Urbano</v>
          </cell>
          <cell r="O453" t="str">
            <v>2227</v>
          </cell>
          <cell r="P453" t="str">
            <v>POINT (-66.4711 -17.3755)</v>
          </cell>
          <cell r="Q453">
            <v>2</v>
          </cell>
          <cell r="R453">
            <v>0.93306763285024152</v>
          </cell>
        </row>
        <row r="454">
          <cell r="A454">
            <v>2228</v>
          </cell>
          <cell r="B454" t="str">
            <v>Unidad Educativa Caramarca CollpaSipesipe</v>
          </cell>
          <cell r="C454" t="str">
            <v>Cochabamba</v>
          </cell>
          <cell r="D454" t="str">
            <v>Quillacollo</v>
          </cell>
          <cell r="E454" t="str">
            <v>Sipesipe</v>
          </cell>
          <cell r="F454" t="str">
            <v>Caramarca</v>
          </cell>
          <cell r="G454" t="str">
            <v>Unidad Educativa Caramarca Collpa</v>
          </cell>
          <cell r="H454" t="str">
            <v>Collpa Central</v>
          </cell>
          <cell r="I454" t="str">
            <v>Comunidad Caramarca, Acera Este de La Plaza de Collpa Caramarca</v>
          </cell>
          <cell r="J454" t="str">
            <v>27</v>
          </cell>
          <cell r="K454" t="str">
            <v>Uninominal</v>
          </cell>
          <cell r="L454" t="str">
            <v>-17.4525</v>
          </cell>
          <cell r="M454" t="str">
            <v>-66.305</v>
          </cell>
          <cell r="N454" t="str">
            <v>Urbano</v>
          </cell>
          <cell r="O454" t="str">
            <v>2228</v>
          </cell>
          <cell r="P454" t="str">
            <v>POINT (-66.305 -17.4525)</v>
          </cell>
          <cell r="Q454">
            <v>4</v>
          </cell>
          <cell r="R454">
            <v>0.86211836005159137</v>
          </cell>
        </row>
        <row r="455">
          <cell r="A455">
            <v>2229</v>
          </cell>
          <cell r="B455" t="str">
            <v>Unidad Educativa 3 de AbrilSipesipe</v>
          </cell>
          <cell r="C455" t="str">
            <v>Cochabamba</v>
          </cell>
          <cell r="D455" t="str">
            <v>Quillacollo</v>
          </cell>
          <cell r="E455" t="str">
            <v>Sipesipe</v>
          </cell>
          <cell r="F455" t="str">
            <v>Mallco Chapi</v>
          </cell>
          <cell r="G455" t="str">
            <v>Unidad Educativa 3 de Abril</v>
          </cell>
          <cell r="H455" t="str">
            <v>Mallcochapi</v>
          </cell>
          <cell r="I455" t="str">
            <v>Mallco Chapi</v>
          </cell>
          <cell r="J455" t="str">
            <v>27</v>
          </cell>
          <cell r="K455" t="str">
            <v>Uninominal</v>
          </cell>
          <cell r="L455" t="str">
            <v>-17.4215</v>
          </cell>
          <cell r="M455" t="str">
            <v>-66.3355</v>
          </cell>
          <cell r="N455" t="str">
            <v>Rural</v>
          </cell>
          <cell r="O455" t="str">
            <v>2229</v>
          </cell>
          <cell r="P455" t="str">
            <v>POINT (-66.3355 -17.4215)</v>
          </cell>
          <cell r="Q455">
            <v>11</v>
          </cell>
          <cell r="R455">
            <v>0.78677083445569795</v>
          </cell>
        </row>
        <row r="456">
          <cell r="A456">
            <v>2230</v>
          </cell>
          <cell r="B456" t="str">
            <v>Unidad Educativa Toribio ClaureSipesipe</v>
          </cell>
          <cell r="C456" t="str">
            <v>Cochabamba</v>
          </cell>
          <cell r="D456" t="str">
            <v>Quillacollo</v>
          </cell>
          <cell r="E456" t="str">
            <v>Sipesipe</v>
          </cell>
          <cell r="F456" t="str">
            <v>Siqui Siquia</v>
          </cell>
          <cell r="G456" t="str">
            <v>Unidad Educativa Toribio Claure</v>
          </cell>
          <cell r="H456" t="str">
            <v>Siquisiquia</v>
          </cell>
          <cell r="I456" t="str">
            <v>Comunidad Siqui Siquia</v>
          </cell>
          <cell r="J456" t="str">
            <v>27</v>
          </cell>
          <cell r="K456" t="str">
            <v>Uninominal</v>
          </cell>
          <cell r="L456" t="str">
            <v>-17.4404</v>
          </cell>
          <cell r="M456" t="str">
            <v>-66.3767</v>
          </cell>
          <cell r="N456" t="str">
            <v>Urbano</v>
          </cell>
          <cell r="O456" t="str">
            <v>2230</v>
          </cell>
          <cell r="P456" t="str">
            <v>POINT (-66.3767 -17.4404)</v>
          </cell>
          <cell r="Q456">
            <v>3</v>
          </cell>
          <cell r="R456">
            <v>0.92389643070336147</v>
          </cell>
        </row>
        <row r="457">
          <cell r="A457">
            <v>2231</v>
          </cell>
          <cell r="B457" t="str">
            <v>Unidad Educativa  CavilomaSipesipe</v>
          </cell>
          <cell r="C457" t="str">
            <v>Cochabamba</v>
          </cell>
          <cell r="D457" t="str">
            <v>Quillacollo</v>
          </cell>
          <cell r="E457" t="str">
            <v>Sipesipe</v>
          </cell>
          <cell r="F457" t="str">
            <v>Caviloma</v>
          </cell>
          <cell r="G457" t="str">
            <v>Unidad Educativa  Caviloma</v>
          </cell>
          <cell r="H457" t="str">
            <v>Caviloma</v>
          </cell>
          <cell r="I457" t="str">
            <v>Comunidad Caviloma</v>
          </cell>
          <cell r="J457" t="str">
            <v>27</v>
          </cell>
          <cell r="K457" t="str">
            <v>Uninominal</v>
          </cell>
          <cell r="L457" t="str">
            <v>-17.438</v>
          </cell>
          <cell r="M457" t="str">
            <v>-66.3457</v>
          </cell>
          <cell r="N457" t="str">
            <v>Urbano</v>
          </cell>
          <cell r="O457" t="str">
            <v>2231</v>
          </cell>
          <cell r="P457" t="str">
            <v>POINT (-66.3457 -17.438)</v>
          </cell>
          <cell r="Q457">
            <v>6</v>
          </cell>
          <cell r="R457">
            <v>0.85711506035600082</v>
          </cell>
        </row>
        <row r="458">
          <cell r="A458">
            <v>2232</v>
          </cell>
          <cell r="B458" t="str">
            <v>U. E. Viloma Cala CalaSipesipe</v>
          </cell>
          <cell r="C458" t="str">
            <v>Cochabamba</v>
          </cell>
          <cell r="D458" t="str">
            <v>Quillacollo</v>
          </cell>
          <cell r="E458" t="str">
            <v>Sipesipe</v>
          </cell>
          <cell r="F458" t="str">
            <v>Viloma Cala Cala</v>
          </cell>
          <cell r="G458" t="str">
            <v>U. E. Viloma Cala Cala</v>
          </cell>
          <cell r="H458" t="str">
            <v>Viloma Cala Cala</v>
          </cell>
          <cell r="I458" t="str">
            <v>Comunidad Viloma Cala Cala</v>
          </cell>
          <cell r="J458" t="str">
            <v>27</v>
          </cell>
          <cell r="K458" t="str">
            <v>Uninominal</v>
          </cell>
          <cell r="L458" t="str">
            <v>-17.426157</v>
          </cell>
          <cell r="M458" t="str">
            <v>-66.387126</v>
          </cell>
          <cell r="N458" t="str">
            <v>Urbano</v>
          </cell>
          <cell r="O458" t="str">
            <v>2232</v>
          </cell>
          <cell r="P458" t="str">
            <v>POINT (-66.387126 -17.426157)</v>
          </cell>
          <cell r="Q458">
            <v>3</v>
          </cell>
          <cell r="R458">
            <v>0.91805728882380622</v>
          </cell>
        </row>
        <row r="459">
          <cell r="A459">
            <v>2233</v>
          </cell>
          <cell r="B459" t="str">
            <v>Colegio San Miguel (Tiquipaya)Tiquipaya</v>
          </cell>
          <cell r="C459" t="str">
            <v>Cochabamba</v>
          </cell>
          <cell r="D459" t="str">
            <v>Quillacollo</v>
          </cell>
          <cell r="E459" t="str">
            <v>Tiquipaya</v>
          </cell>
          <cell r="F459" t="str">
            <v>Tiquipaya</v>
          </cell>
          <cell r="G459" t="str">
            <v>Colegio San Miguel (Tiquipaya)</v>
          </cell>
          <cell r="H459" t="str">
            <v>Zona 4477</v>
          </cell>
          <cell r="I459" t="str">
            <v>Tiquipaya</v>
          </cell>
          <cell r="J459" t="str">
            <v>28</v>
          </cell>
          <cell r="K459" t="str">
            <v>Uninominal</v>
          </cell>
          <cell r="L459" t="str">
            <v>-17.3365</v>
          </cell>
          <cell r="M459" t="str">
            <v>-66.2195</v>
          </cell>
          <cell r="N459" t="str">
            <v>Urbano</v>
          </cell>
          <cell r="O459" t="str">
            <v>2233</v>
          </cell>
          <cell r="P459" t="str">
            <v>POINT (-66.2195 -17.3365)</v>
          </cell>
          <cell r="Q459">
            <v>20</v>
          </cell>
          <cell r="R459">
            <v>0.57830119345706454</v>
          </cell>
        </row>
        <row r="460">
          <cell r="A460">
            <v>2234</v>
          </cell>
          <cell r="B460" t="str">
            <v>Colegio Simon Bolivar (Tiquipaya)Tiquipaya</v>
          </cell>
          <cell r="C460" t="str">
            <v>Cochabamba</v>
          </cell>
          <cell r="D460" t="str">
            <v>Quillacollo</v>
          </cell>
          <cell r="E460" t="str">
            <v>Tiquipaya</v>
          </cell>
          <cell r="F460" t="str">
            <v>Tiquipaya</v>
          </cell>
          <cell r="G460" t="str">
            <v>Colegio Simon Bolivar (Tiquipaya)</v>
          </cell>
          <cell r="H460" t="str">
            <v>Zona 4477</v>
          </cell>
          <cell r="I460" t="str">
            <v>Tiquipaya</v>
          </cell>
          <cell r="J460" t="str">
            <v>28</v>
          </cell>
          <cell r="K460" t="str">
            <v>Uninominal</v>
          </cell>
          <cell r="L460" t="str">
            <v>-17.3362</v>
          </cell>
          <cell r="M460" t="str">
            <v>-66.2203</v>
          </cell>
          <cell r="N460" t="str">
            <v>Urbano</v>
          </cell>
          <cell r="O460" t="str">
            <v>2234</v>
          </cell>
          <cell r="P460" t="str">
            <v>POINT (-66.2203 -17.3362)</v>
          </cell>
          <cell r="Q460">
            <v>32</v>
          </cell>
          <cell r="R460">
            <v>0.63236702157268032</v>
          </cell>
        </row>
        <row r="461">
          <cell r="A461">
            <v>2235</v>
          </cell>
          <cell r="B461" t="str">
            <v>U.E. La FlorestaTiquipaya</v>
          </cell>
          <cell r="C461" t="str">
            <v>Cochabamba</v>
          </cell>
          <cell r="D461" t="str">
            <v>Quillacollo</v>
          </cell>
          <cell r="E461" t="str">
            <v>Tiquipaya</v>
          </cell>
          <cell r="F461" t="str">
            <v>Tiquipaya</v>
          </cell>
          <cell r="G461" t="str">
            <v>U.E. La Floresta</v>
          </cell>
          <cell r="H461" t="str">
            <v>Zona 4477</v>
          </cell>
          <cell r="I461" t="str">
            <v>Av. Cochabamba final</v>
          </cell>
          <cell r="J461" t="str">
            <v>28</v>
          </cell>
          <cell r="K461" t="str">
            <v>Uninominal</v>
          </cell>
          <cell r="L461" t="str">
            <v>-17.335248</v>
          </cell>
          <cell r="M461" t="str">
            <v>-66.229166</v>
          </cell>
          <cell r="N461" t="str">
            <v>Urbano</v>
          </cell>
          <cell r="O461" t="str">
            <v>2235</v>
          </cell>
          <cell r="P461" t="str">
            <v>POINT (-66.229166 -17.335248)</v>
          </cell>
          <cell r="Q461">
            <v>5</v>
          </cell>
          <cell r="R461">
            <v>0.57674590012898463</v>
          </cell>
        </row>
        <row r="462">
          <cell r="A462">
            <v>2236</v>
          </cell>
          <cell r="B462" t="str">
            <v>U.E. Monseñor Salomón RomeroTiquipaya</v>
          </cell>
          <cell r="C462" t="str">
            <v>Cochabamba</v>
          </cell>
          <cell r="D462" t="str">
            <v>Quillacollo</v>
          </cell>
          <cell r="E462" t="str">
            <v>Tiquipaya</v>
          </cell>
          <cell r="F462" t="str">
            <v>Tiquipaya</v>
          </cell>
          <cell r="G462" t="str">
            <v>U.E. Monseñor Salomón Romero</v>
          </cell>
          <cell r="H462" t="str">
            <v>Zona 4477</v>
          </cell>
          <cell r="I462" t="str">
            <v>Entre Calle Julio Rodriguez y calle San Miguel</v>
          </cell>
          <cell r="J462" t="str">
            <v>28</v>
          </cell>
          <cell r="K462" t="str">
            <v>Uninominal</v>
          </cell>
          <cell r="L462" t="str">
            <v>-17.342158</v>
          </cell>
          <cell r="M462" t="str">
            <v>-66.215778</v>
          </cell>
          <cell r="N462" t="str">
            <v>Urbano</v>
          </cell>
          <cell r="O462" t="str">
            <v>2236</v>
          </cell>
          <cell r="P462" t="str">
            <v>POINT (-66.215778 -17.342158)</v>
          </cell>
          <cell r="Q462">
            <v>10</v>
          </cell>
          <cell r="R462">
            <v>0.49587736715154002</v>
          </cell>
        </row>
        <row r="463">
          <cell r="A463">
            <v>2237</v>
          </cell>
          <cell r="B463" t="str">
            <v>U.E. Encanto PampaTiquipaya</v>
          </cell>
          <cell r="C463" t="str">
            <v>Cochabamba</v>
          </cell>
          <cell r="D463" t="str">
            <v>Quillacollo</v>
          </cell>
          <cell r="E463" t="str">
            <v>Tiquipaya</v>
          </cell>
          <cell r="F463" t="str">
            <v>Tiquipaya</v>
          </cell>
          <cell r="G463" t="str">
            <v>U.E. Encanto Pampa</v>
          </cell>
          <cell r="H463" t="str">
            <v>Zona 4477</v>
          </cell>
          <cell r="I463" t="str">
            <v>Encanto Pampa Calle 10 de Noviembre</v>
          </cell>
          <cell r="J463" t="str">
            <v>28</v>
          </cell>
          <cell r="K463" t="str">
            <v>Uninominal</v>
          </cell>
          <cell r="L463" t="str">
            <v>-17.323963</v>
          </cell>
          <cell r="M463" t="str">
            <v>-66.223141</v>
          </cell>
          <cell r="N463" t="str">
            <v>Urbano</v>
          </cell>
          <cell r="O463" t="str">
            <v>2237</v>
          </cell>
          <cell r="P463" t="str">
            <v>POINT (-66.223141 -17.323963)</v>
          </cell>
          <cell r="Q463">
            <v>0</v>
          </cell>
          <cell r="R463" t="str">
            <v>Sin Info</v>
          </cell>
        </row>
        <row r="464">
          <cell r="A464">
            <v>2238</v>
          </cell>
          <cell r="B464" t="str">
            <v>Escuela Toribio ClaureTiquipaya</v>
          </cell>
          <cell r="C464" t="str">
            <v>Cochabamba</v>
          </cell>
          <cell r="D464" t="str">
            <v>Quillacollo</v>
          </cell>
          <cell r="E464" t="str">
            <v>Tiquipaya</v>
          </cell>
          <cell r="F464" t="str">
            <v>Trojes</v>
          </cell>
          <cell r="G464" t="str">
            <v>Escuela Toribio Claure</v>
          </cell>
          <cell r="H464" t="str">
            <v>Zona 4477</v>
          </cell>
          <cell r="I464" t="str">
            <v>Trojes</v>
          </cell>
          <cell r="J464" t="str">
            <v>28</v>
          </cell>
          <cell r="K464" t="str">
            <v>Uninominal</v>
          </cell>
          <cell r="L464" t="str">
            <v>-17.3447</v>
          </cell>
          <cell r="M464" t="str">
            <v>-66.2043</v>
          </cell>
          <cell r="N464" t="str">
            <v>Rural</v>
          </cell>
          <cell r="O464" t="str">
            <v>2238</v>
          </cell>
          <cell r="P464" t="str">
            <v>POINT (-66.2043 -17.3447)</v>
          </cell>
          <cell r="Q464">
            <v>29</v>
          </cell>
          <cell r="R464">
            <v>0.51487605328516273</v>
          </cell>
        </row>
        <row r="465">
          <cell r="A465">
            <v>2239</v>
          </cell>
          <cell r="B465" t="str">
            <v>Unidad Educativa Jesus MaestroTiquipaya</v>
          </cell>
          <cell r="C465" t="str">
            <v>Cochabamba</v>
          </cell>
          <cell r="D465" t="str">
            <v>Quillacollo</v>
          </cell>
          <cell r="E465" t="str">
            <v>Tiquipaya</v>
          </cell>
          <cell r="F465" t="str">
            <v>Trojes</v>
          </cell>
          <cell r="G465" t="str">
            <v>Unidad Educativa Jesus Maestro</v>
          </cell>
          <cell r="H465" t="str">
            <v>Zona 4477</v>
          </cell>
          <cell r="I465" t="str">
            <v>Zona Chiquicollo, Villa Satelite</v>
          </cell>
          <cell r="J465" t="str">
            <v>28</v>
          </cell>
          <cell r="K465" t="str">
            <v>Uninominal</v>
          </cell>
          <cell r="L465" t="str">
            <v>-17.3333</v>
          </cell>
          <cell r="M465" t="str">
            <v>-66.1934</v>
          </cell>
          <cell r="N465" t="str">
            <v>Rural</v>
          </cell>
          <cell r="O465" t="str">
            <v>2239</v>
          </cell>
          <cell r="P465" t="str">
            <v>POINT (-66.1934 -17.3333)</v>
          </cell>
          <cell r="Q465">
            <v>15</v>
          </cell>
          <cell r="R465">
            <v>0.64593283995825179</v>
          </cell>
        </row>
        <row r="466">
          <cell r="A466">
            <v>2240</v>
          </cell>
          <cell r="B466" t="str">
            <v>U.E. Técnico Humanístico San GabrielTiquipaya</v>
          </cell>
          <cell r="C466" t="str">
            <v>Cochabamba</v>
          </cell>
          <cell r="D466" t="str">
            <v>Quillacollo</v>
          </cell>
          <cell r="E466" t="str">
            <v>Tiquipaya</v>
          </cell>
          <cell r="F466" t="str">
            <v>Trojes</v>
          </cell>
          <cell r="G466" t="str">
            <v>U.E. Técnico Humanístico San Gabriel</v>
          </cell>
          <cell r="H466" t="str">
            <v>Zona 4477</v>
          </cell>
          <cell r="I466" t="str">
            <v>OTB Kanarancho</v>
          </cell>
          <cell r="J466" t="str">
            <v>28</v>
          </cell>
          <cell r="K466" t="str">
            <v>Uninominal</v>
          </cell>
          <cell r="L466" t="str">
            <v>-17.350049</v>
          </cell>
          <cell r="M466" t="str">
            <v>-66.20484</v>
          </cell>
          <cell r="N466" t="str">
            <v>Rural</v>
          </cell>
          <cell r="O466" t="str">
            <v>2240</v>
          </cell>
          <cell r="P466" t="str">
            <v>POINT (-66.20484 -17.350049)</v>
          </cell>
          <cell r="Q466">
            <v>2</v>
          </cell>
          <cell r="R466" t="str">
            <v>Sin Info</v>
          </cell>
        </row>
        <row r="467">
          <cell r="A467">
            <v>2241</v>
          </cell>
          <cell r="B467" t="str">
            <v>U.E. Santa María Magdalena PostelTiquipaya</v>
          </cell>
          <cell r="C467" t="str">
            <v>Cochabamba</v>
          </cell>
          <cell r="D467" t="str">
            <v>Quillacollo</v>
          </cell>
          <cell r="E467" t="str">
            <v>Tiquipaya</v>
          </cell>
          <cell r="F467" t="str">
            <v>Cuatro Esquinas (Tiquipaya)</v>
          </cell>
          <cell r="G467" t="str">
            <v>U.E. Santa María Magdalena Postel</v>
          </cell>
          <cell r="H467" t="str">
            <v>Zona 4477</v>
          </cell>
          <cell r="I467" t="str">
            <v>OTB Cuatro Esquinas, Av. 23 de Septiembre</v>
          </cell>
          <cell r="J467" t="str">
            <v>28</v>
          </cell>
          <cell r="K467" t="str">
            <v>Uninominal</v>
          </cell>
          <cell r="L467" t="str">
            <v>-17.3599</v>
          </cell>
          <cell r="M467" t="str">
            <v>-66.2331</v>
          </cell>
          <cell r="N467" t="str">
            <v>Rural</v>
          </cell>
          <cell r="O467" t="str">
            <v>2241</v>
          </cell>
          <cell r="P467" t="str">
            <v>POINT (-66.2331 -17.3599)</v>
          </cell>
          <cell r="Q467">
            <v>0</v>
          </cell>
          <cell r="R467" t="str">
            <v>Sin Info</v>
          </cell>
        </row>
        <row r="468">
          <cell r="A468">
            <v>2242</v>
          </cell>
          <cell r="B468" t="str">
            <v>Nucleo Educativo ChapisircaTiquipaya</v>
          </cell>
          <cell r="C468" t="str">
            <v>Cochabamba</v>
          </cell>
          <cell r="D468" t="str">
            <v>Quillacollo</v>
          </cell>
          <cell r="E468" t="str">
            <v>Tiquipaya</v>
          </cell>
          <cell r="F468" t="str">
            <v>Chapisirca</v>
          </cell>
          <cell r="G468" t="str">
            <v>Nucleo Educativo Chapisirca</v>
          </cell>
          <cell r="H468" t="str">
            <v>Zona 4478</v>
          </cell>
          <cell r="I468" t="str">
            <v>Chapisirca</v>
          </cell>
          <cell r="J468" t="str">
            <v>28</v>
          </cell>
          <cell r="K468" t="str">
            <v>Uninominal</v>
          </cell>
          <cell r="L468" t="str">
            <v>-17.1481</v>
          </cell>
          <cell r="M468" t="str">
            <v>-66.1443</v>
          </cell>
          <cell r="N468" t="str">
            <v>Urbano</v>
          </cell>
          <cell r="O468" t="str">
            <v>2242</v>
          </cell>
          <cell r="P468" t="str">
            <v>POINT (-66.1443 -17.1481)</v>
          </cell>
          <cell r="Q468">
            <v>4</v>
          </cell>
          <cell r="R468">
            <v>0.94136300404629303</v>
          </cell>
        </row>
        <row r="469">
          <cell r="A469">
            <v>2243</v>
          </cell>
          <cell r="B469" t="str">
            <v>Unidad Educativa LibertadTiquipaya</v>
          </cell>
          <cell r="C469" t="str">
            <v>Cochabamba</v>
          </cell>
          <cell r="D469" t="str">
            <v>Quillacollo</v>
          </cell>
          <cell r="E469" t="str">
            <v>Tiquipaya</v>
          </cell>
          <cell r="F469" t="str">
            <v>Ciudad del Niño</v>
          </cell>
          <cell r="G469" t="str">
            <v>Unidad Educativa Libertad</v>
          </cell>
          <cell r="H469" t="str">
            <v>Zona 4477</v>
          </cell>
          <cell r="I469" t="str">
            <v>C/ Porvenir y C/ Mejillones</v>
          </cell>
          <cell r="J469" t="str">
            <v>28</v>
          </cell>
          <cell r="K469" t="str">
            <v>Uninominal</v>
          </cell>
          <cell r="L469" t="str">
            <v>-17.346</v>
          </cell>
          <cell r="M469" t="str">
            <v>-66.1932</v>
          </cell>
          <cell r="N469" t="str">
            <v>Urbano</v>
          </cell>
          <cell r="O469" t="str">
            <v>2243</v>
          </cell>
          <cell r="P469" t="str">
            <v>POINT (-66.1932 -17.346)</v>
          </cell>
          <cell r="Q469">
            <v>25</v>
          </cell>
          <cell r="R469">
            <v>0.5098915157127728</v>
          </cell>
        </row>
        <row r="470">
          <cell r="A470">
            <v>2244</v>
          </cell>
          <cell r="B470" t="str">
            <v>U.E. Técnico Humanístico San RafaelTiquipaya</v>
          </cell>
          <cell r="C470" t="str">
            <v>Cochabamba</v>
          </cell>
          <cell r="D470" t="str">
            <v>Quillacollo</v>
          </cell>
          <cell r="E470" t="str">
            <v>Tiquipaya</v>
          </cell>
          <cell r="F470" t="str">
            <v>Ciudad del Niño</v>
          </cell>
          <cell r="G470" t="str">
            <v>U.E. Técnico Humanístico San Rafael</v>
          </cell>
          <cell r="H470" t="str">
            <v>Zona 4477</v>
          </cell>
          <cell r="I470" t="str">
            <v>Av. Los Molles lado Sud Posgrado Agronomia UMSS.</v>
          </cell>
          <cell r="J470" t="str">
            <v>28</v>
          </cell>
          <cell r="K470" t="str">
            <v>Uninominal</v>
          </cell>
          <cell r="L470" t="str">
            <v>-17.343841</v>
          </cell>
          <cell r="M470" t="str">
            <v>-66.196663</v>
          </cell>
          <cell r="N470" t="str">
            <v>Urbano</v>
          </cell>
          <cell r="O470" t="str">
            <v>2244</v>
          </cell>
          <cell r="P470" t="str">
            <v>POINT (-66.196663 -17.343841)</v>
          </cell>
          <cell r="Q470">
            <v>3</v>
          </cell>
          <cell r="R470">
            <v>0.24783549783549783</v>
          </cell>
        </row>
        <row r="471">
          <cell r="A471">
            <v>2245</v>
          </cell>
          <cell r="B471" t="str">
            <v>U. E. Constantino ITiquipaya</v>
          </cell>
          <cell r="C471" t="str">
            <v>Cochabamba</v>
          </cell>
          <cell r="D471" t="str">
            <v>Quillacollo</v>
          </cell>
          <cell r="E471" t="str">
            <v>Tiquipaya</v>
          </cell>
          <cell r="F471" t="str">
            <v>Ciudad del Niño</v>
          </cell>
          <cell r="G471" t="str">
            <v>U. E. Constantino I</v>
          </cell>
          <cell r="H471" t="str">
            <v>Zona 4477</v>
          </cell>
          <cell r="I471" t="str">
            <v>C/ Mejillones entre Av. Circunvalación Beijing y C/ Cochabamba</v>
          </cell>
          <cell r="J471" t="str">
            <v>28</v>
          </cell>
          <cell r="K471" t="str">
            <v>Uninominal</v>
          </cell>
          <cell r="L471" t="str">
            <v>-17.346365</v>
          </cell>
          <cell r="M471" t="str">
            <v>-66.19375</v>
          </cell>
          <cell r="N471" t="str">
            <v>Urbano</v>
          </cell>
          <cell r="O471" t="str">
            <v>2245</v>
          </cell>
          <cell r="P471" t="str">
            <v>POINT (-66.19375 -17.346365)</v>
          </cell>
          <cell r="Q471">
            <v>2</v>
          </cell>
          <cell r="R471" t="str">
            <v>Sin Info</v>
          </cell>
        </row>
        <row r="472">
          <cell r="A472">
            <v>2246</v>
          </cell>
          <cell r="B472" t="str">
            <v>Escuela Eugenia RavascoTiquipaya</v>
          </cell>
          <cell r="C472" t="str">
            <v>Cochabamba</v>
          </cell>
          <cell r="D472" t="str">
            <v>Quillacollo</v>
          </cell>
          <cell r="E472" t="str">
            <v>Tiquipaya</v>
          </cell>
          <cell r="F472" t="str">
            <v>Rumi Mayu (Tiquipaya)</v>
          </cell>
          <cell r="G472" t="str">
            <v>Escuela Eugenia Ravasco</v>
          </cell>
          <cell r="H472" t="str">
            <v>Zona 4477</v>
          </cell>
          <cell r="I472" t="str">
            <v>Rumi Mayu (Tiquipaya)</v>
          </cell>
          <cell r="J472" t="str">
            <v>28</v>
          </cell>
          <cell r="K472" t="str">
            <v>Uninominal</v>
          </cell>
          <cell r="L472" t="str">
            <v>-17.3625</v>
          </cell>
          <cell r="M472" t="str">
            <v>-66.2074</v>
          </cell>
          <cell r="N472" t="str">
            <v>Urbano</v>
          </cell>
          <cell r="O472" t="str">
            <v>2246</v>
          </cell>
          <cell r="P472" t="str">
            <v>POINT (-66.2074 -17.3625)</v>
          </cell>
          <cell r="Q472">
            <v>10</v>
          </cell>
          <cell r="R472">
            <v>0.47424933438253802</v>
          </cell>
        </row>
        <row r="473">
          <cell r="A473">
            <v>2247</v>
          </cell>
          <cell r="B473" t="str">
            <v>Escuela Isaac AttieTiquipaya</v>
          </cell>
          <cell r="C473" t="str">
            <v>Cochabamba</v>
          </cell>
          <cell r="D473" t="str">
            <v>Quillacollo</v>
          </cell>
          <cell r="E473" t="str">
            <v>Tiquipaya</v>
          </cell>
          <cell r="F473" t="str">
            <v>Linde   Chiquicollo</v>
          </cell>
          <cell r="G473" t="str">
            <v>Escuela Isaac Attie</v>
          </cell>
          <cell r="H473" t="str">
            <v>Zona 4477</v>
          </cell>
          <cell r="I473" t="str">
            <v>Linde - Chiquicollo</v>
          </cell>
          <cell r="J473" t="str">
            <v>28</v>
          </cell>
          <cell r="K473" t="str">
            <v>Uninominal</v>
          </cell>
          <cell r="L473" t="str">
            <v>-17.3695</v>
          </cell>
          <cell r="M473" t="str">
            <v>-66.1954</v>
          </cell>
          <cell r="N473" t="str">
            <v>Urbano</v>
          </cell>
          <cell r="O473" t="str">
            <v>2247</v>
          </cell>
          <cell r="P473" t="str">
            <v>POINT (-66.1954 -17.3695)</v>
          </cell>
          <cell r="Q473">
            <v>12</v>
          </cell>
          <cell r="R473">
            <v>0.35120947354747795</v>
          </cell>
        </row>
        <row r="474">
          <cell r="A474">
            <v>2248</v>
          </cell>
          <cell r="B474" t="str">
            <v>Aldeas S.O.STiquipaya</v>
          </cell>
          <cell r="C474" t="str">
            <v>Cochabamba</v>
          </cell>
          <cell r="D474" t="str">
            <v>Quillacollo</v>
          </cell>
          <cell r="E474" t="str">
            <v>Tiquipaya</v>
          </cell>
          <cell r="F474" t="str">
            <v>Linde   Chiquicollo</v>
          </cell>
          <cell r="G474" t="str">
            <v>Aldeas S.O.S</v>
          </cell>
          <cell r="H474" t="str">
            <v>Zona 4477</v>
          </cell>
          <cell r="I474" t="str">
            <v>Linde - Chiquicollo</v>
          </cell>
          <cell r="J474" t="str">
            <v>28</v>
          </cell>
          <cell r="K474" t="str">
            <v>Uninominal</v>
          </cell>
          <cell r="L474" t="str">
            <v>-17.351131</v>
          </cell>
          <cell r="M474" t="str">
            <v>-66.193337</v>
          </cell>
          <cell r="N474" t="str">
            <v>Urbano</v>
          </cell>
          <cell r="O474" t="str">
            <v>2248</v>
          </cell>
          <cell r="P474" t="str">
            <v>POINT (-66.193337 -17.351131)</v>
          </cell>
          <cell r="Q474">
            <v>10</v>
          </cell>
          <cell r="R474">
            <v>0.44647628691331182</v>
          </cell>
        </row>
        <row r="475">
          <cell r="A475">
            <v>2249</v>
          </cell>
          <cell r="B475" t="str">
            <v>U. E. Titos LindeTiquipaya</v>
          </cell>
          <cell r="C475" t="str">
            <v>Cochabamba</v>
          </cell>
          <cell r="D475" t="str">
            <v>Quillacollo</v>
          </cell>
          <cell r="E475" t="str">
            <v>Tiquipaya</v>
          </cell>
          <cell r="F475" t="str">
            <v>Linde   Chiquicollo</v>
          </cell>
          <cell r="G475" t="str">
            <v>U. E. Titos Linde</v>
          </cell>
          <cell r="H475" t="str">
            <v>Zona 4477</v>
          </cell>
          <cell r="I475" t="str">
            <v>Av. Malteria C/ Innominada a una cuadra y media del Instituto Oncológico Nacional, Linde S/N</v>
          </cell>
          <cell r="J475" t="str">
            <v>28</v>
          </cell>
          <cell r="K475" t="str">
            <v>Uninominal</v>
          </cell>
          <cell r="L475" t="str">
            <v>-17.354266</v>
          </cell>
          <cell r="M475" t="str">
            <v>-66.199856</v>
          </cell>
          <cell r="N475" t="str">
            <v>Urbano</v>
          </cell>
          <cell r="O475" t="str">
            <v>2249</v>
          </cell>
          <cell r="P475" t="str">
            <v>POINT (-66.199856 -17.354266)</v>
          </cell>
          <cell r="Q475">
            <v>2</v>
          </cell>
          <cell r="R475">
            <v>0.27489837398373984</v>
          </cell>
        </row>
        <row r="476">
          <cell r="A476">
            <v>2250</v>
          </cell>
          <cell r="B476" t="str">
            <v>Unidad Educativa Nuestra Sra. De AltagraciaTiquipaya</v>
          </cell>
          <cell r="C476" t="str">
            <v>Cochabamba</v>
          </cell>
          <cell r="D476" t="str">
            <v>Quillacollo</v>
          </cell>
          <cell r="E476" t="str">
            <v>Tiquipaya</v>
          </cell>
          <cell r="F476" t="str">
            <v>Callaj Chullpa (Tiquipaya)</v>
          </cell>
          <cell r="G476" t="str">
            <v>Unidad Educativa Nuestra Sra. De Altagracia</v>
          </cell>
          <cell r="H476" t="str">
            <v>Zona 4477</v>
          </cell>
          <cell r="I476" t="str">
            <v>Avenida Callajchullpa O Don Bosco</v>
          </cell>
          <cell r="J476" t="str">
            <v>28</v>
          </cell>
          <cell r="K476" t="str">
            <v>Uninominal</v>
          </cell>
          <cell r="L476" t="str">
            <v>-17.353</v>
          </cell>
          <cell r="M476" t="str">
            <v>-66.2435</v>
          </cell>
          <cell r="N476" t="str">
            <v>Urbano</v>
          </cell>
          <cell r="O476" t="str">
            <v>2250</v>
          </cell>
          <cell r="P476" t="str">
            <v>POINT (-66.2435 -17.353)</v>
          </cell>
          <cell r="Q476">
            <v>3</v>
          </cell>
          <cell r="R476">
            <v>0.61919805156427166</v>
          </cell>
        </row>
        <row r="477">
          <cell r="A477">
            <v>2251</v>
          </cell>
          <cell r="B477" t="str">
            <v>Escuela Seccional WaripucaraTiquipaya</v>
          </cell>
          <cell r="C477" t="str">
            <v>Cochabamba</v>
          </cell>
          <cell r="D477" t="str">
            <v>Quillacollo</v>
          </cell>
          <cell r="E477" t="str">
            <v>Tiquipaya</v>
          </cell>
          <cell r="F477" t="str">
            <v>Waripucara</v>
          </cell>
          <cell r="G477" t="str">
            <v>Escuela Seccional Waripucara</v>
          </cell>
          <cell r="H477" t="str">
            <v>Zona 4478</v>
          </cell>
          <cell r="I477" t="str">
            <v>Waripucara</v>
          </cell>
          <cell r="J477" t="str">
            <v>28</v>
          </cell>
          <cell r="K477" t="str">
            <v>Uninominal</v>
          </cell>
          <cell r="L477" t="str">
            <v>-17.0279</v>
          </cell>
          <cell r="M477" t="str">
            <v>-66.2721</v>
          </cell>
          <cell r="N477" t="str">
            <v>Urbano</v>
          </cell>
          <cell r="O477" t="str">
            <v>2251</v>
          </cell>
          <cell r="P477" t="str">
            <v>POINT (-66.2721 -17.0279)</v>
          </cell>
          <cell r="Q477">
            <v>1</v>
          </cell>
          <cell r="R477">
            <v>0.96453900709219853</v>
          </cell>
        </row>
        <row r="478">
          <cell r="A478">
            <v>2252</v>
          </cell>
          <cell r="B478" t="str">
            <v>Unidad Educativa MontecilloTiquipaya</v>
          </cell>
          <cell r="C478" t="str">
            <v>Cochabamba</v>
          </cell>
          <cell r="D478" t="str">
            <v>Quillacollo</v>
          </cell>
          <cell r="E478" t="str">
            <v>Tiquipaya</v>
          </cell>
          <cell r="F478" t="str">
            <v>Waripucara</v>
          </cell>
          <cell r="G478" t="str">
            <v>Unidad Educativa Montecillo</v>
          </cell>
          <cell r="H478" t="str">
            <v>Zona 4478</v>
          </cell>
          <cell r="I478" t="str">
            <v>Waripucara</v>
          </cell>
          <cell r="J478" t="str">
            <v>28</v>
          </cell>
          <cell r="K478" t="str">
            <v>Uninominal</v>
          </cell>
          <cell r="L478" t="str">
            <v>-16.9731</v>
          </cell>
          <cell r="M478" t="str">
            <v>-66.3439</v>
          </cell>
          <cell r="N478" t="str">
            <v>Urbano</v>
          </cell>
          <cell r="O478" t="str">
            <v>2252</v>
          </cell>
          <cell r="P478" t="str">
            <v>POINT (-66.3439 -16.9731)</v>
          </cell>
          <cell r="Q478">
            <v>2</v>
          </cell>
          <cell r="R478">
            <v>0.95471311475409837</v>
          </cell>
        </row>
        <row r="479">
          <cell r="A479">
            <v>2253</v>
          </cell>
          <cell r="B479" t="str">
            <v>U.E. Rumy CorralTiquipaya</v>
          </cell>
          <cell r="C479" t="str">
            <v>Cochabamba</v>
          </cell>
          <cell r="D479" t="str">
            <v>Quillacollo</v>
          </cell>
          <cell r="E479" t="str">
            <v>Tiquipaya</v>
          </cell>
          <cell r="F479" t="str">
            <v>Rumy Corral</v>
          </cell>
          <cell r="G479" t="str">
            <v>U.E. Rumy Corral</v>
          </cell>
          <cell r="H479" t="str">
            <v>Zona 4478</v>
          </cell>
          <cell r="I479" t="str">
            <v>Comunidad Rumy Corral Centro</v>
          </cell>
          <cell r="J479" t="str">
            <v>28</v>
          </cell>
          <cell r="K479" t="str">
            <v>Uninominal</v>
          </cell>
          <cell r="L479" t="str">
            <v>-17.1245</v>
          </cell>
          <cell r="M479" t="str">
            <v>-66.203</v>
          </cell>
          <cell r="N479" t="str">
            <v>Urbano</v>
          </cell>
          <cell r="O479" t="str">
            <v>2253</v>
          </cell>
          <cell r="P479" t="str">
            <v>POINT (-66.203 -17.1245)</v>
          </cell>
          <cell r="Q479">
            <v>2</v>
          </cell>
          <cell r="R479">
            <v>0.97906976744186047</v>
          </cell>
        </row>
        <row r="480">
          <cell r="A480">
            <v>2254</v>
          </cell>
          <cell r="B480" t="str">
            <v>U.E. Cuatro EsquinasTiquipaya</v>
          </cell>
          <cell r="C480" t="str">
            <v>Cochabamba</v>
          </cell>
          <cell r="D480" t="str">
            <v>Quillacollo</v>
          </cell>
          <cell r="E480" t="str">
            <v>Tiquipaya</v>
          </cell>
          <cell r="F480" t="str">
            <v>4 Esquinas</v>
          </cell>
          <cell r="G480" t="str">
            <v>U.E. Cuatro Esquinas</v>
          </cell>
          <cell r="H480" t="str">
            <v>Zona 4478</v>
          </cell>
          <cell r="I480" t="str">
            <v>Comunidad 4 Esquinas, al norte del municipio de Tiquipaya</v>
          </cell>
          <cell r="J480" t="str">
            <v>28</v>
          </cell>
          <cell r="K480" t="str">
            <v>Uninominal</v>
          </cell>
          <cell r="L480" t="str">
            <v>-17.19689</v>
          </cell>
          <cell r="M480" t="str">
            <v>-66.244469</v>
          </cell>
          <cell r="N480" t="str">
            <v>Urbano</v>
          </cell>
          <cell r="O480" t="str">
            <v>2254</v>
          </cell>
          <cell r="P480" t="str">
            <v>POINT (-66.244469 -17.19689)</v>
          </cell>
          <cell r="Q480">
            <v>2</v>
          </cell>
          <cell r="R480">
            <v>0.95070422535211263</v>
          </cell>
        </row>
        <row r="481">
          <cell r="A481">
            <v>2255</v>
          </cell>
          <cell r="B481" t="str">
            <v>Escuela Melchor CuadrosVinto</v>
          </cell>
          <cell r="C481" t="str">
            <v>Cochabamba</v>
          </cell>
          <cell r="D481" t="str">
            <v>Quillacollo</v>
          </cell>
          <cell r="E481" t="str">
            <v>Vinto</v>
          </cell>
          <cell r="F481" t="str">
            <v>Vinto</v>
          </cell>
          <cell r="G481" t="str">
            <v>Escuela Melchor Cuadros</v>
          </cell>
          <cell r="H481" t="str">
            <v>Lazarte</v>
          </cell>
          <cell r="I481" t="str">
            <v>Vinto</v>
          </cell>
          <cell r="J481" t="str">
            <v>27</v>
          </cell>
          <cell r="K481" t="str">
            <v>Uninominal</v>
          </cell>
          <cell r="L481" t="str">
            <v>-17.3958</v>
          </cell>
          <cell r="M481" t="str">
            <v>-66.3169</v>
          </cell>
          <cell r="N481" t="str">
            <v>Urbano</v>
          </cell>
          <cell r="O481" t="str">
            <v>2255</v>
          </cell>
          <cell r="P481" t="str">
            <v>POINT (-66.3169 -17.3958)</v>
          </cell>
          <cell r="Q481">
            <v>35</v>
          </cell>
          <cell r="R481">
            <v>0.55863050007588433</v>
          </cell>
        </row>
        <row r="482">
          <cell r="A482">
            <v>2256</v>
          </cell>
          <cell r="B482" t="str">
            <v>Escuela Martín CardenasVinto</v>
          </cell>
          <cell r="C482" t="str">
            <v>Cochabamba</v>
          </cell>
          <cell r="D482" t="str">
            <v>Quillacollo</v>
          </cell>
          <cell r="E482" t="str">
            <v>Vinto</v>
          </cell>
          <cell r="F482" t="str">
            <v>Vinto</v>
          </cell>
          <cell r="G482" t="str">
            <v>Escuela Martín Cardenas</v>
          </cell>
          <cell r="H482" t="str">
            <v>Martin Cardenas</v>
          </cell>
          <cell r="I482" t="str">
            <v>Vinto</v>
          </cell>
          <cell r="J482" t="str">
            <v>27</v>
          </cell>
          <cell r="K482" t="str">
            <v>Uninominal</v>
          </cell>
          <cell r="L482" t="str">
            <v>-17.4019</v>
          </cell>
          <cell r="M482" t="str">
            <v>-66.3142</v>
          </cell>
          <cell r="N482" t="str">
            <v>Urbano</v>
          </cell>
          <cell r="O482" t="str">
            <v>2256</v>
          </cell>
          <cell r="P482" t="str">
            <v>POINT (-66.3142 -17.4019)</v>
          </cell>
          <cell r="Q482">
            <v>25</v>
          </cell>
          <cell r="R482">
            <v>0.62925826603590085</v>
          </cell>
        </row>
        <row r="483">
          <cell r="A483">
            <v>2257</v>
          </cell>
          <cell r="B483" t="str">
            <v>Unidad Educativa Sagrada FamiliaVinto</v>
          </cell>
          <cell r="C483" t="str">
            <v>Cochabamba</v>
          </cell>
          <cell r="D483" t="str">
            <v>Quillacollo</v>
          </cell>
          <cell r="E483" t="str">
            <v>Vinto</v>
          </cell>
          <cell r="F483" t="str">
            <v>Vinto</v>
          </cell>
          <cell r="G483" t="str">
            <v>Unidad Educativa Sagrada Familia</v>
          </cell>
          <cell r="H483" t="str">
            <v>Lazarte</v>
          </cell>
          <cell r="I483" t="str">
            <v>Vinto</v>
          </cell>
          <cell r="J483" t="str">
            <v>27</v>
          </cell>
          <cell r="K483" t="str">
            <v>Uninominal</v>
          </cell>
          <cell r="L483" t="str">
            <v>-17.3918</v>
          </cell>
          <cell r="M483" t="str">
            <v>-66.3198</v>
          </cell>
          <cell r="N483" t="str">
            <v>Urbano</v>
          </cell>
          <cell r="O483" t="str">
            <v>2257</v>
          </cell>
          <cell r="P483" t="str">
            <v>POINT (-66.3198 -17.3918)</v>
          </cell>
          <cell r="Q483">
            <v>15</v>
          </cell>
          <cell r="R483">
            <v>0.60219664422129815</v>
          </cell>
        </row>
        <row r="484">
          <cell r="A484">
            <v>2258</v>
          </cell>
          <cell r="B484" t="str">
            <v>Unidad Educativa David ArzabeVinto</v>
          </cell>
          <cell r="C484" t="str">
            <v>Cochabamba</v>
          </cell>
          <cell r="D484" t="str">
            <v>Quillacollo</v>
          </cell>
          <cell r="E484" t="str">
            <v>Vinto</v>
          </cell>
          <cell r="F484" t="str">
            <v>Vinto</v>
          </cell>
          <cell r="G484" t="str">
            <v>Unidad Educativa David Arzabe</v>
          </cell>
          <cell r="H484" t="str">
            <v>Martin Cardenas</v>
          </cell>
          <cell r="I484" t="str">
            <v>Vinto</v>
          </cell>
          <cell r="J484" t="str">
            <v>27</v>
          </cell>
          <cell r="K484" t="str">
            <v>Uninominal</v>
          </cell>
          <cell r="L484" t="str">
            <v>-17.4001</v>
          </cell>
          <cell r="M484" t="str">
            <v>-66.3144</v>
          </cell>
          <cell r="N484" t="str">
            <v>Urbano</v>
          </cell>
          <cell r="O484" t="str">
            <v>2258</v>
          </cell>
          <cell r="P484" t="str">
            <v>POINT (-66.3144 -17.4001)</v>
          </cell>
          <cell r="Q484">
            <v>14</v>
          </cell>
          <cell r="R484">
            <v>0.69985824947915154</v>
          </cell>
        </row>
        <row r="485">
          <cell r="A485">
            <v>2259</v>
          </cell>
          <cell r="B485" t="str">
            <v>U.E. Avelino Mérida ZubietaVinto</v>
          </cell>
          <cell r="C485" t="str">
            <v>Cochabamba</v>
          </cell>
          <cell r="D485" t="str">
            <v>Quillacollo</v>
          </cell>
          <cell r="E485" t="str">
            <v>Vinto</v>
          </cell>
          <cell r="F485" t="str">
            <v>Vinto</v>
          </cell>
          <cell r="G485" t="str">
            <v>U.E. Avelino Mérida Zubieta</v>
          </cell>
          <cell r="H485" t="str">
            <v>Campos Verdes</v>
          </cell>
          <cell r="I485" t="str">
            <v>Calle Colombia entre Calle Brasil y calle Venezuela</v>
          </cell>
          <cell r="J485" t="str">
            <v>27</v>
          </cell>
          <cell r="K485" t="str">
            <v>Uninominal</v>
          </cell>
          <cell r="L485" t="str">
            <v>-17.389424</v>
          </cell>
          <cell r="M485" t="str">
            <v>-66.318822</v>
          </cell>
          <cell r="N485" t="str">
            <v>Rural</v>
          </cell>
          <cell r="O485" t="str">
            <v>2259</v>
          </cell>
          <cell r="P485" t="str">
            <v>POINT (-66.318822 -17.389424)</v>
          </cell>
          <cell r="Q485">
            <v>6</v>
          </cell>
          <cell r="R485">
            <v>0.6573901564758815</v>
          </cell>
        </row>
        <row r="486">
          <cell r="A486">
            <v>2260</v>
          </cell>
          <cell r="B486" t="str">
            <v>U.E. 5 de SeptiembreVinto</v>
          </cell>
          <cell r="C486" t="str">
            <v>Cochabamba</v>
          </cell>
          <cell r="D486" t="str">
            <v>Quillacollo</v>
          </cell>
          <cell r="E486" t="str">
            <v>Vinto</v>
          </cell>
          <cell r="F486" t="str">
            <v>Vinto</v>
          </cell>
          <cell r="G486" t="str">
            <v>U.E. 5 de Septiembre</v>
          </cell>
          <cell r="H486" t="str">
            <v>Nombre 4</v>
          </cell>
          <cell r="I486" t="str">
            <v>OTB 21 de Septiembre - Calle Tte. Benavides</v>
          </cell>
          <cell r="J486" t="str">
            <v>27</v>
          </cell>
          <cell r="K486" t="str">
            <v>Uninominal</v>
          </cell>
          <cell r="L486" t="str">
            <v>-17.390709</v>
          </cell>
          <cell r="M486" t="str">
            <v>-66.310582</v>
          </cell>
          <cell r="N486" t="str">
            <v>Urbano</v>
          </cell>
          <cell r="O486" t="str">
            <v>2260</v>
          </cell>
          <cell r="P486" t="str">
            <v>POINT (-66.310582 -17.390709)</v>
          </cell>
          <cell r="Q486">
            <v>4</v>
          </cell>
          <cell r="R486">
            <v>0.66269882576146033</v>
          </cell>
        </row>
        <row r="487">
          <cell r="A487">
            <v>2261</v>
          </cell>
          <cell r="B487" t="str">
            <v>U.E. Soledad RivasVinto</v>
          </cell>
          <cell r="C487" t="str">
            <v>Cochabamba</v>
          </cell>
          <cell r="D487" t="str">
            <v>Quillacollo</v>
          </cell>
          <cell r="E487" t="str">
            <v>Vinto</v>
          </cell>
          <cell r="F487" t="str">
            <v>Vinto</v>
          </cell>
          <cell r="G487" t="str">
            <v>U.E. Soledad Rivas</v>
          </cell>
          <cell r="H487" t="str">
            <v>Cercado</v>
          </cell>
          <cell r="I487" t="str">
            <v>OTB Cercado-Vinto, una cuadra al oeste del seminario de Vinto</v>
          </cell>
          <cell r="J487" t="str">
            <v>27</v>
          </cell>
          <cell r="K487" t="str">
            <v>Uninominal</v>
          </cell>
          <cell r="L487" t="str">
            <v>-17.406514</v>
          </cell>
          <cell r="M487" t="str">
            <v>-66.307762</v>
          </cell>
          <cell r="N487" t="str">
            <v>Rural</v>
          </cell>
          <cell r="O487" t="str">
            <v>2261</v>
          </cell>
          <cell r="P487" t="str">
            <v>POINT (-66.307762 -17.406514)</v>
          </cell>
          <cell r="Q487">
            <v>3</v>
          </cell>
          <cell r="R487">
            <v>0.61830553116769105</v>
          </cell>
        </row>
        <row r="488">
          <cell r="A488">
            <v>2262</v>
          </cell>
          <cell r="B488" t="str">
            <v>U.E. Bartolina SisaVinto</v>
          </cell>
          <cell r="C488" t="str">
            <v>Cochabamba</v>
          </cell>
          <cell r="D488" t="str">
            <v>Quillacollo</v>
          </cell>
          <cell r="E488" t="str">
            <v>Vinto</v>
          </cell>
          <cell r="F488" t="str">
            <v>Vinto</v>
          </cell>
          <cell r="G488" t="str">
            <v>U.E. Bartolina Sisa</v>
          </cell>
          <cell r="H488" t="str">
            <v>Nombre 1</v>
          </cell>
          <cell r="I488" t="str">
            <v>Calle Innominada</v>
          </cell>
          <cell r="J488" t="str">
            <v>27</v>
          </cell>
          <cell r="K488" t="str">
            <v>Uninominal</v>
          </cell>
          <cell r="L488" t="str">
            <v>-17.404693</v>
          </cell>
          <cell r="M488" t="str">
            <v>-66.32532</v>
          </cell>
          <cell r="N488" t="str">
            <v>Rural</v>
          </cell>
          <cell r="O488" t="str">
            <v>2262</v>
          </cell>
          <cell r="P488" t="str">
            <v>POINT (-66.32532 -17.404693)</v>
          </cell>
          <cell r="Q488">
            <v>2</v>
          </cell>
          <cell r="R488" t="str">
            <v>Sin Info</v>
          </cell>
        </row>
        <row r="489">
          <cell r="A489">
            <v>2263</v>
          </cell>
          <cell r="B489" t="str">
            <v>U. E. Carmen Rosa SalgueroVinto</v>
          </cell>
          <cell r="C489" t="str">
            <v>Cochabamba</v>
          </cell>
          <cell r="D489" t="str">
            <v>Quillacollo</v>
          </cell>
          <cell r="E489" t="str">
            <v>Vinto</v>
          </cell>
          <cell r="F489" t="str">
            <v>Vinto</v>
          </cell>
          <cell r="G489" t="str">
            <v>U. E. Carmen Rosa Salguero</v>
          </cell>
          <cell r="H489" t="str">
            <v>Miguel Mercado</v>
          </cell>
          <cell r="I489" t="str">
            <v>Calle Miguel Mercado Moreira esq. Circunvalación</v>
          </cell>
          <cell r="J489" t="str">
            <v>27</v>
          </cell>
          <cell r="K489" t="str">
            <v>Uninominal</v>
          </cell>
          <cell r="L489" t="str">
            <v>-17.399562</v>
          </cell>
          <cell r="M489" t="str">
            <v>-66.30561</v>
          </cell>
          <cell r="N489" t="str">
            <v>Urbano</v>
          </cell>
          <cell r="O489" t="str">
            <v>2263</v>
          </cell>
          <cell r="P489" t="str">
            <v>POINT (-66.30561 -17.399562)</v>
          </cell>
          <cell r="Q489">
            <v>2</v>
          </cell>
          <cell r="R489" t="str">
            <v>Sin Info</v>
          </cell>
        </row>
        <row r="490">
          <cell r="A490">
            <v>2264</v>
          </cell>
          <cell r="B490" t="str">
            <v>U. E. María AymaVinto</v>
          </cell>
          <cell r="C490" t="str">
            <v>Cochabamba</v>
          </cell>
          <cell r="D490" t="str">
            <v>Quillacollo</v>
          </cell>
          <cell r="E490" t="str">
            <v>Vinto</v>
          </cell>
          <cell r="F490" t="str">
            <v>Vinto</v>
          </cell>
          <cell r="G490" t="str">
            <v>U. E. María Ayma</v>
          </cell>
          <cell r="H490" t="str">
            <v>Nombre 1</v>
          </cell>
          <cell r="I490" t="str">
            <v>Carretera a Machajmarca</v>
          </cell>
          <cell r="J490" t="str">
            <v>27</v>
          </cell>
          <cell r="K490" t="str">
            <v>Uninominal</v>
          </cell>
          <cell r="L490" t="str">
            <v>-17.396596</v>
          </cell>
          <cell r="M490" t="str">
            <v>-66.33229</v>
          </cell>
          <cell r="N490" t="str">
            <v>Urbano</v>
          </cell>
          <cell r="O490" t="str">
            <v>2264</v>
          </cell>
          <cell r="P490" t="str">
            <v>POINT (-66.33229 -17.396596)</v>
          </cell>
          <cell r="Q490">
            <v>3</v>
          </cell>
          <cell r="R490" t="str">
            <v>Sin Info</v>
          </cell>
        </row>
        <row r="491">
          <cell r="A491">
            <v>2265</v>
          </cell>
          <cell r="B491" t="str">
            <v>U. E. Nuestra Señora del RosarioVinto</v>
          </cell>
          <cell r="C491" t="str">
            <v>Cochabamba</v>
          </cell>
          <cell r="D491" t="str">
            <v>Quillacollo</v>
          </cell>
          <cell r="E491" t="str">
            <v>Vinto</v>
          </cell>
          <cell r="F491" t="str">
            <v>Vinto</v>
          </cell>
          <cell r="G491" t="str">
            <v>U. E. Nuestra Señora del Rosario</v>
          </cell>
          <cell r="H491" t="str">
            <v>Bolivar</v>
          </cell>
          <cell r="I491" t="str">
            <v>Pasaje Bolívar</v>
          </cell>
          <cell r="J491" t="str">
            <v>27</v>
          </cell>
          <cell r="K491" t="str">
            <v>Uninominal</v>
          </cell>
          <cell r="L491" t="str">
            <v>-17.393028</v>
          </cell>
          <cell r="M491" t="str">
            <v>-66.31612</v>
          </cell>
          <cell r="N491" t="str">
            <v>Urbano</v>
          </cell>
          <cell r="O491" t="str">
            <v>2265</v>
          </cell>
          <cell r="P491" t="str">
            <v>POINT (-66.31612 -17.393028)</v>
          </cell>
          <cell r="Q491">
            <v>2</v>
          </cell>
          <cell r="R491" t="str">
            <v>Sin Info</v>
          </cell>
        </row>
        <row r="492">
          <cell r="A492">
            <v>2266</v>
          </cell>
          <cell r="B492" t="str">
            <v>Unidad Educativa Reino UnidoVinto</v>
          </cell>
          <cell r="C492" t="str">
            <v>Cochabamba</v>
          </cell>
          <cell r="D492" t="str">
            <v>Quillacollo</v>
          </cell>
          <cell r="E492" t="str">
            <v>Vinto</v>
          </cell>
          <cell r="F492" t="str">
            <v>Machac Marca</v>
          </cell>
          <cell r="G492" t="str">
            <v>Unidad Educativa Reino Unido</v>
          </cell>
          <cell r="H492" t="str">
            <v>Nombre 1</v>
          </cell>
          <cell r="I492" t="str">
            <v>Machac Marca</v>
          </cell>
          <cell r="J492" t="str">
            <v>27</v>
          </cell>
          <cell r="K492" t="str">
            <v>Uninominal</v>
          </cell>
          <cell r="L492" t="str">
            <v>-17.3836</v>
          </cell>
          <cell r="M492" t="str">
            <v>-66.3387</v>
          </cell>
          <cell r="N492" t="str">
            <v>Urbano</v>
          </cell>
          <cell r="O492" t="str">
            <v>2266</v>
          </cell>
          <cell r="P492" t="str">
            <v>POINT (-66.3387 -17.3836)</v>
          </cell>
          <cell r="Q492">
            <v>25</v>
          </cell>
          <cell r="R492">
            <v>0.83454261314536049</v>
          </cell>
        </row>
        <row r="493">
          <cell r="A493">
            <v>2267</v>
          </cell>
          <cell r="B493" t="str">
            <v>Escuela Ismael MontesVinto</v>
          </cell>
          <cell r="C493" t="str">
            <v>Cochabamba</v>
          </cell>
          <cell r="D493" t="str">
            <v>Quillacollo</v>
          </cell>
          <cell r="E493" t="str">
            <v>Vinto</v>
          </cell>
          <cell r="F493" t="str">
            <v>La Chulla</v>
          </cell>
          <cell r="G493" t="str">
            <v>Escuela Ismael Montes</v>
          </cell>
          <cell r="H493" t="str">
            <v>Zona 4481</v>
          </cell>
          <cell r="I493" t="str">
            <v>La Chulla</v>
          </cell>
          <cell r="J493" t="str">
            <v>27</v>
          </cell>
          <cell r="K493" t="str">
            <v>Uninominal</v>
          </cell>
          <cell r="L493" t="str">
            <v>-17.378427</v>
          </cell>
          <cell r="M493" t="str">
            <v>-66.308766</v>
          </cell>
          <cell r="N493" t="str">
            <v>Urbano</v>
          </cell>
          <cell r="O493" t="str">
            <v>2267</v>
          </cell>
          <cell r="P493" t="str">
            <v>POINT (-66.308766 -17.378427)</v>
          </cell>
          <cell r="Q493">
            <v>16</v>
          </cell>
          <cell r="R493">
            <v>0.67465617761537144</v>
          </cell>
        </row>
        <row r="494">
          <cell r="A494">
            <v>2268</v>
          </cell>
          <cell r="B494" t="str">
            <v>Unidad Educativa AnocaraireVinto</v>
          </cell>
          <cell r="C494" t="str">
            <v>Cochabamba</v>
          </cell>
          <cell r="D494" t="str">
            <v>Quillacollo</v>
          </cell>
          <cell r="E494" t="str">
            <v>Vinto</v>
          </cell>
          <cell r="F494" t="str">
            <v>Anocaraire</v>
          </cell>
          <cell r="G494" t="str">
            <v>Unidad Educativa Anocaraire</v>
          </cell>
          <cell r="H494" t="str">
            <v>Zona 4482</v>
          </cell>
          <cell r="I494" t="str">
            <v>Anocaraire</v>
          </cell>
          <cell r="J494" t="str">
            <v>27</v>
          </cell>
          <cell r="K494" t="str">
            <v>Uninominal</v>
          </cell>
          <cell r="L494" t="str">
            <v>-17.370235</v>
          </cell>
          <cell r="M494" t="str">
            <v>-66.326955</v>
          </cell>
          <cell r="N494" t="str">
            <v>Urbano</v>
          </cell>
          <cell r="O494" t="str">
            <v>2268</v>
          </cell>
          <cell r="P494" t="str">
            <v>POINT (-66.326955 -17.370235)</v>
          </cell>
          <cell r="Q494">
            <v>16</v>
          </cell>
          <cell r="R494">
            <v>0.72707637087667942</v>
          </cell>
        </row>
        <row r="495">
          <cell r="A495">
            <v>2269</v>
          </cell>
          <cell r="B495" t="str">
            <v>U.E. Álvaro García LineraVinto</v>
          </cell>
          <cell r="C495" t="str">
            <v>Cochabamba</v>
          </cell>
          <cell r="D495" t="str">
            <v>Quillacollo</v>
          </cell>
          <cell r="E495" t="str">
            <v>Vinto</v>
          </cell>
          <cell r="F495" t="str">
            <v>Anocaraire</v>
          </cell>
          <cell r="G495" t="str">
            <v>U.E. Álvaro García Linera</v>
          </cell>
          <cell r="H495" t="str">
            <v>Zona 4482</v>
          </cell>
          <cell r="I495" t="str">
            <v>Calle Integración</v>
          </cell>
          <cell r="J495" t="str">
            <v>27</v>
          </cell>
          <cell r="K495" t="str">
            <v>Uninominal</v>
          </cell>
          <cell r="L495" t="str">
            <v>-17.380653</v>
          </cell>
          <cell r="M495" t="str">
            <v>-66.3298</v>
          </cell>
          <cell r="N495" t="str">
            <v>Urbano</v>
          </cell>
          <cell r="O495" t="str">
            <v>2269</v>
          </cell>
          <cell r="P495" t="str">
            <v>POINT (-66.3298 -17.380653)</v>
          </cell>
          <cell r="Q495">
            <v>3</v>
          </cell>
          <cell r="R495" t="str">
            <v>Sin Info</v>
          </cell>
        </row>
        <row r="496">
          <cell r="A496">
            <v>2270</v>
          </cell>
          <cell r="B496" t="str">
            <v>U.E. Simón I. PatiñoVinto</v>
          </cell>
          <cell r="C496" t="str">
            <v>Cochabamba</v>
          </cell>
          <cell r="D496" t="str">
            <v>Quillacollo</v>
          </cell>
          <cell r="E496" t="str">
            <v>Vinto</v>
          </cell>
          <cell r="F496" t="str">
            <v>Anocaraire</v>
          </cell>
          <cell r="G496" t="str">
            <v>U.E. Simón I. Patiño</v>
          </cell>
          <cell r="H496" t="str">
            <v>Zona 4482</v>
          </cell>
          <cell r="I496" t="str">
            <v>Avenida Pairumani</v>
          </cell>
          <cell r="J496" t="str">
            <v>27</v>
          </cell>
          <cell r="K496" t="str">
            <v>Uninominal</v>
          </cell>
          <cell r="L496" t="str">
            <v>-17.358455</v>
          </cell>
          <cell r="M496" t="str">
            <v>-66.32391</v>
          </cell>
          <cell r="N496" t="str">
            <v>Urbano</v>
          </cell>
          <cell r="O496" t="str">
            <v>2270</v>
          </cell>
          <cell r="P496" t="str">
            <v>POINT (-66.32391 -17.358455)</v>
          </cell>
          <cell r="Q496">
            <v>3</v>
          </cell>
          <cell r="R496" t="str">
            <v>Sin Info</v>
          </cell>
        </row>
        <row r="497">
          <cell r="A497">
            <v>2271</v>
          </cell>
          <cell r="B497" t="str">
            <v>U. E. CombuyoVinto</v>
          </cell>
          <cell r="C497" t="str">
            <v>Cochabamba</v>
          </cell>
          <cell r="D497" t="str">
            <v>Quillacollo</v>
          </cell>
          <cell r="E497" t="str">
            <v>Vinto</v>
          </cell>
          <cell r="F497" t="str">
            <v>Anocaraire</v>
          </cell>
          <cell r="G497" t="str">
            <v>U. E. Combuyo</v>
          </cell>
          <cell r="H497" t="str">
            <v>Zona 4482</v>
          </cell>
          <cell r="I497" t="str">
            <v>Calle de Combuyo</v>
          </cell>
          <cell r="J497" t="str">
            <v>27</v>
          </cell>
          <cell r="K497" t="str">
            <v>Uninominal</v>
          </cell>
          <cell r="L497" t="str">
            <v>-17.362714</v>
          </cell>
          <cell r="M497" t="str">
            <v>-66.34056</v>
          </cell>
          <cell r="N497" t="str">
            <v>Urbano</v>
          </cell>
          <cell r="O497" t="str">
            <v>2271</v>
          </cell>
          <cell r="P497" t="str">
            <v>POINT (-66.34056 -17.362714)</v>
          </cell>
          <cell r="Q497">
            <v>2</v>
          </cell>
          <cell r="R497" t="str">
            <v>Sin Info</v>
          </cell>
        </row>
        <row r="498">
          <cell r="A498">
            <v>2272</v>
          </cell>
          <cell r="B498" t="str">
            <v>Unidad Educativa KerayaVinto</v>
          </cell>
          <cell r="C498" t="str">
            <v>Cochabamba</v>
          </cell>
          <cell r="D498" t="str">
            <v>Quillacollo</v>
          </cell>
          <cell r="E498" t="str">
            <v>Vinto</v>
          </cell>
          <cell r="F498" t="str">
            <v>Keraya</v>
          </cell>
          <cell r="G498" t="str">
            <v>Unidad Educativa Keraya</v>
          </cell>
          <cell r="H498" t="str">
            <v>Zona 4479</v>
          </cell>
          <cell r="I498" t="str">
            <v>Keraya</v>
          </cell>
          <cell r="J498" t="str">
            <v>27</v>
          </cell>
          <cell r="K498" t="str">
            <v>Uninominal</v>
          </cell>
          <cell r="L498" t="str">
            <v>-17.298183</v>
          </cell>
          <cell r="M498" t="str">
            <v>-66.456889</v>
          </cell>
          <cell r="N498" t="str">
            <v>Urbano</v>
          </cell>
          <cell r="O498" t="str">
            <v>2272</v>
          </cell>
          <cell r="P498" t="str">
            <v>POINT (-66.456889 -17.298183)</v>
          </cell>
          <cell r="Q498">
            <v>2</v>
          </cell>
          <cell r="R498">
            <v>0.96110861086108612</v>
          </cell>
        </row>
        <row r="499">
          <cell r="A499">
            <v>2273</v>
          </cell>
          <cell r="B499" t="str">
            <v>Nucleo Escolar Simon Bolivar (Thiomoko)Vinto</v>
          </cell>
          <cell r="C499" t="str">
            <v>Cochabamba</v>
          </cell>
          <cell r="D499" t="str">
            <v>Quillacollo</v>
          </cell>
          <cell r="E499" t="str">
            <v>Vinto</v>
          </cell>
          <cell r="F499" t="str">
            <v>Thiomoko</v>
          </cell>
          <cell r="G499" t="str">
            <v>Nucleo Escolar Simon Bolivar (Thiomoko)</v>
          </cell>
          <cell r="H499" t="str">
            <v>Nombre 1</v>
          </cell>
          <cell r="I499" t="str">
            <v>Comunidad Thiomoko</v>
          </cell>
          <cell r="J499" t="str">
            <v>27</v>
          </cell>
          <cell r="K499" t="str">
            <v>Uninominal</v>
          </cell>
          <cell r="L499" t="str">
            <v>-17.3972</v>
          </cell>
          <cell r="M499" t="str">
            <v>-66.3459</v>
          </cell>
          <cell r="N499" t="str">
            <v>Urbano</v>
          </cell>
          <cell r="O499" t="str">
            <v>2273</v>
          </cell>
          <cell r="P499" t="str">
            <v>POINT (-66.3459 -17.3972)</v>
          </cell>
          <cell r="Q499">
            <v>8</v>
          </cell>
          <cell r="R499">
            <v>0.87434841247347095</v>
          </cell>
        </row>
        <row r="500">
          <cell r="A500">
            <v>2274</v>
          </cell>
          <cell r="B500" t="str">
            <v>U.E. La LlaveVinto</v>
          </cell>
          <cell r="C500" t="str">
            <v>Cochabamba</v>
          </cell>
          <cell r="D500" t="str">
            <v>Quillacollo</v>
          </cell>
          <cell r="E500" t="str">
            <v>Vinto</v>
          </cell>
          <cell r="F500" t="str">
            <v>Llave Grande</v>
          </cell>
          <cell r="G500" t="str">
            <v>U.E. La Llave</v>
          </cell>
          <cell r="H500" t="str">
            <v>Zona 4479</v>
          </cell>
          <cell r="I500" t="str">
            <v>Comunidad Llave Grande</v>
          </cell>
          <cell r="J500" t="str">
            <v>27</v>
          </cell>
          <cell r="K500" t="str">
            <v>Uninominal</v>
          </cell>
          <cell r="L500" t="str">
            <v>-17.3443</v>
          </cell>
          <cell r="M500" t="str">
            <v>-66.3852</v>
          </cell>
          <cell r="N500" t="str">
            <v>Urbano</v>
          </cell>
          <cell r="O500" t="str">
            <v>2274</v>
          </cell>
          <cell r="P500" t="str">
            <v>POINT (-66.3852 -17.3443)</v>
          </cell>
          <cell r="Q500">
            <v>2</v>
          </cell>
          <cell r="R500">
            <v>0.94365119836817946</v>
          </cell>
        </row>
        <row r="501">
          <cell r="A501">
            <v>2275</v>
          </cell>
          <cell r="B501" t="str">
            <v>U.E. VilomillaVinto</v>
          </cell>
          <cell r="C501" t="str">
            <v>Cochabamba</v>
          </cell>
          <cell r="D501" t="str">
            <v>Quillacollo</v>
          </cell>
          <cell r="E501" t="str">
            <v>Vinto</v>
          </cell>
          <cell r="F501" t="str">
            <v>Vilomilla</v>
          </cell>
          <cell r="G501" t="str">
            <v>U.E. Vilomilla</v>
          </cell>
          <cell r="H501" t="str">
            <v>Nombre 1</v>
          </cell>
          <cell r="I501" t="str">
            <v>Vilomilla</v>
          </cell>
          <cell r="J501" t="str">
            <v>27</v>
          </cell>
          <cell r="K501" t="str">
            <v>Uninominal</v>
          </cell>
          <cell r="L501" t="str">
            <v>-17.406983</v>
          </cell>
          <cell r="M501" t="str">
            <v>-66.368952</v>
          </cell>
          <cell r="N501" t="str">
            <v>Urbano</v>
          </cell>
          <cell r="O501" t="str">
            <v>2275</v>
          </cell>
          <cell r="P501" t="str">
            <v>POINT (-66.368952 -17.406983)</v>
          </cell>
          <cell r="Q501">
            <v>3</v>
          </cell>
          <cell r="R501" t="str">
            <v>Sin Info</v>
          </cell>
        </row>
        <row r="502">
          <cell r="A502">
            <v>2276</v>
          </cell>
          <cell r="B502" t="str">
            <v>Unidad Educativa Daniel SalamancaColcapirhua</v>
          </cell>
          <cell r="C502" t="str">
            <v>Cochabamba</v>
          </cell>
          <cell r="D502" t="str">
            <v>Quillacollo</v>
          </cell>
          <cell r="E502" t="str">
            <v>Colcapirhua</v>
          </cell>
          <cell r="F502" t="str">
            <v>Colcapirhua</v>
          </cell>
          <cell r="G502" t="str">
            <v>Unidad Educativa Daniel Salamanca</v>
          </cell>
          <cell r="H502" t="str">
            <v>Zona 4485</v>
          </cell>
          <cell r="I502" t="str">
            <v>Colcapirhua</v>
          </cell>
          <cell r="J502" t="str">
            <v>22</v>
          </cell>
          <cell r="K502" t="str">
            <v>Uninominal</v>
          </cell>
          <cell r="L502" t="str">
            <v>-17.3878</v>
          </cell>
          <cell r="M502" t="str">
            <v>-66.2415</v>
          </cell>
          <cell r="N502" t="str">
            <v>Urbano</v>
          </cell>
          <cell r="O502" t="str">
            <v>2276</v>
          </cell>
          <cell r="P502" t="str">
            <v>POINT (-66.2415 -17.3878)</v>
          </cell>
          <cell r="Q502">
            <v>24</v>
          </cell>
          <cell r="R502">
            <v>0.47262123208642537</v>
          </cell>
        </row>
        <row r="503">
          <cell r="A503">
            <v>2277</v>
          </cell>
          <cell r="B503" t="str">
            <v>Unidad Educativa San LorenzoColcapirhua</v>
          </cell>
          <cell r="C503" t="str">
            <v>Cochabamba</v>
          </cell>
          <cell r="D503" t="str">
            <v>Quillacollo</v>
          </cell>
          <cell r="E503" t="str">
            <v>Colcapirhua</v>
          </cell>
          <cell r="F503" t="str">
            <v>Colcapirhua</v>
          </cell>
          <cell r="G503" t="str">
            <v>Unidad Educativa San Lorenzo</v>
          </cell>
          <cell r="H503" t="str">
            <v>Zona 4485</v>
          </cell>
          <cell r="I503" t="str">
            <v>Plaza 15 de Abril</v>
          </cell>
          <cell r="J503" t="str">
            <v>22</v>
          </cell>
          <cell r="K503" t="str">
            <v>Uninominal</v>
          </cell>
          <cell r="L503" t="str">
            <v>-17.3888</v>
          </cell>
          <cell r="M503" t="str">
            <v>-66.2411</v>
          </cell>
          <cell r="N503" t="str">
            <v>Urbano</v>
          </cell>
          <cell r="O503" t="str">
            <v>2277</v>
          </cell>
          <cell r="P503" t="str">
            <v>POINT (-66.2411 -17.3888)</v>
          </cell>
          <cell r="Q503">
            <v>17</v>
          </cell>
          <cell r="R503">
            <v>0.47063807310021116</v>
          </cell>
        </row>
        <row r="504">
          <cell r="A504">
            <v>2278</v>
          </cell>
          <cell r="B504" t="str">
            <v>U.E. 27 de MayoColcapirhua</v>
          </cell>
          <cell r="C504" t="str">
            <v>Cochabamba</v>
          </cell>
          <cell r="D504" t="str">
            <v>Quillacollo</v>
          </cell>
          <cell r="E504" t="str">
            <v>Colcapirhua</v>
          </cell>
          <cell r="F504" t="str">
            <v>Colcapirhua</v>
          </cell>
          <cell r="G504" t="str">
            <v>U.E. 27 de Mayo</v>
          </cell>
          <cell r="H504" t="str">
            <v>Zona 4485</v>
          </cell>
          <cell r="I504" t="str">
            <v>Av. Elias Meneses entre Agapito Gamboa y Pasaje Innominada</v>
          </cell>
          <cell r="J504" t="str">
            <v>22</v>
          </cell>
          <cell r="K504" t="str">
            <v>Uninominal</v>
          </cell>
          <cell r="L504" t="str">
            <v>-17.392367</v>
          </cell>
          <cell r="M504" t="str">
            <v>-66.249885</v>
          </cell>
          <cell r="N504" t="str">
            <v>Rural</v>
          </cell>
          <cell r="O504" t="str">
            <v>2278</v>
          </cell>
          <cell r="P504" t="str">
            <v>POINT (-66.249885 -17.392367)</v>
          </cell>
          <cell r="Q504">
            <v>4</v>
          </cell>
          <cell r="R504">
            <v>0.50625002516194229</v>
          </cell>
        </row>
        <row r="505">
          <cell r="A505">
            <v>2279</v>
          </cell>
          <cell r="B505" t="str">
            <v>Unidad Educativa San José de KamiColcapirhua</v>
          </cell>
          <cell r="C505" t="str">
            <v>Cochabamba</v>
          </cell>
          <cell r="D505" t="str">
            <v>Quillacollo</v>
          </cell>
          <cell r="E505" t="str">
            <v>Colcapirhua</v>
          </cell>
          <cell r="F505" t="str">
            <v>San Jose (Cuatro Esquinas)</v>
          </cell>
          <cell r="G505" t="str">
            <v>Unidad Educativa San José de Kami</v>
          </cell>
          <cell r="H505" t="str">
            <v>Zona 4487</v>
          </cell>
          <cell r="I505" t="str">
            <v>Av. La Paz Frente Posta Sanitaria - Collpapampa</v>
          </cell>
          <cell r="J505" t="str">
            <v>22</v>
          </cell>
          <cell r="K505" t="str">
            <v>Uninominal</v>
          </cell>
          <cell r="L505" t="str">
            <v>-17.3674</v>
          </cell>
          <cell r="M505" t="str">
            <v>-66.2354</v>
          </cell>
          <cell r="N505" t="str">
            <v>Urbano</v>
          </cell>
          <cell r="O505" t="str">
            <v>2279</v>
          </cell>
          <cell r="P505" t="str">
            <v>POINT (-66.2354 -17.3674)</v>
          </cell>
          <cell r="Q505">
            <v>18</v>
          </cell>
          <cell r="R505">
            <v>0.61927941921449559</v>
          </cell>
        </row>
        <row r="506">
          <cell r="A506">
            <v>2280</v>
          </cell>
          <cell r="B506" t="str">
            <v>U. E. Nuestra Señora de La PazColcapirhua</v>
          </cell>
          <cell r="C506" t="str">
            <v>Cochabamba</v>
          </cell>
          <cell r="D506" t="str">
            <v>Quillacollo</v>
          </cell>
          <cell r="E506" t="str">
            <v>Colcapirhua</v>
          </cell>
          <cell r="F506" t="str">
            <v>San Jose (Cuatro Esquinas)</v>
          </cell>
          <cell r="G506" t="str">
            <v>U. E. Nuestra Señora de La Paz</v>
          </cell>
          <cell r="H506" t="str">
            <v>Zona 4487</v>
          </cell>
          <cell r="I506" t="str">
            <v>Av. La Paz San José Cuatro Esquinas</v>
          </cell>
          <cell r="J506" t="str">
            <v>22</v>
          </cell>
          <cell r="K506" t="str">
            <v>Uninominal</v>
          </cell>
          <cell r="L506" t="str">
            <v>-17.366996</v>
          </cell>
          <cell r="M506" t="str">
            <v>-66.23674</v>
          </cell>
          <cell r="N506" t="str">
            <v>Urbano</v>
          </cell>
          <cell r="O506" t="str">
            <v>2280</v>
          </cell>
          <cell r="P506" t="str">
            <v>POINT (-66.23674 -17.366996)</v>
          </cell>
          <cell r="Q506">
            <v>10</v>
          </cell>
          <cell r="R506" t="str">
            <v>Sin Info</v>
          </cell>
        </row>
        <row r="507">
          <cell r="A507">
            <v>2281</v>
          </cell>
          <cell r="B507" t="str">
            <v>Sede Social Callaj Chullpa (Colcapirhua)Colcapirhua</v>
          </cell>
          <cell r="C507" t="str">
            <v>Cochabamba</v>
          </cell>
          <cell r="D507" t="str">
            <v>Quillacollo</v>
          </cell>
          <cell r="E507" t="str">
            <v>Colcapirhua</v>
          </cell>
          <cell r="F507" t="str">
            <v>Callaj Chullpa (Colcapirhua)</v>
          </cell>
          <cell r="G507" t="str">
            <v>Sede Social Callaj Chullpa (Colcapirhua)</v>
          </cell>
          <cell r="H507" t="str">
            <v>Zona 4477</v>
          </cell>
          <cell r="I507" t="str">
            <v>Callaj Chullpa (Colcapirhua)</v>
          </cell>
          <cell r="J507" t="str">
            <v>22</v>
          </cell>
          <cell r="K507" t="str">
            <v>Uninominal</v>
          </cell>
          <cell r="L507" t="str">
            <v>-17.3534</v>
          </cell>
          <cell r="M507" t="str">
            <v>-66.2432</v>
          </cell>
          <cell r="N507" t="str">
            <v>Urbano</v>
          </cell>
          <cell r="O507" t="str">
            <v>2281</v>
          </cell>
          <cell r="P507" t="str">
            <v>POINT (-66.2432 -17.3534)</v>
          </cell>
          <cell r="Q507">
            <v>3</v>
          </cell>
          <cell r="R507">
            <v>0.59630842179535781</v>
          </cell>
        </row>
        <row r="508">
          <cell r="A508">
            <v>2282</v>
          </cell>
          <cell r="B508" t="str">
            <v>Colegio Max FernandezColcapirhua</v>
          </cell>
          <cell r="C508" t="str">
            <v>Cochabamba</v>
          </cell>
          <cell r="D508" t="str">
            <v>Quillacollo</v>
          </cell>
          <cell r="E508" t="str">
            <v>Colcapirhua</v>
          </cell>
          <cell r="F508" t="str">
            <v>Sumunpaya</v>
          </cell>
          <cell r="G508" t="str">
            <v>Colegio Max Fernandez</v>
          </cell>
          <cell r="H508" t="str">
            <v>Zona 4484</v>
          </cell>
          <cell r="I508" t="str">
            <v>Sumunpaya</v>
          </cell>
          <cell r="J508" t="str">
            <v>22</v>
          </cell>
          <cell r="K508" t="str">
            <v>Uninominal</v>
          </cell>
          <cell r="L508" t="str">
            <v>-17.3958</v>
          </cell>
          <cell r="M508" t="str">
            <v>-66.2313</v>
          </cell>
          <cell r="N508" t="str">
            <v>Urbano</v>
          </cell>
          <cell r="O508" t="str">
            <v>2282</v>
          </cell>
          <cell r="P508" t="str">
            <v>POINT (-66.2313 -17.3958)</v>
          </cell>
          <cell r="Q508">
            <v>26</v>
          </cell>
          <cell r="R508">
            <v>0.43727653049180176</v>
          </cell>
        </row>
        <row r="509">
          <cell r="A509">
            <v>2283</v>
          </cell>
          <cell r="B509" t="str">
            <v>Unidad Educativa Simon Bolivar (Sumunpaya)Colcapirhua</v>
          </cell>
          <cell r="C509" t="str">
            <v>Cochabamba</v>
          </cell>
          <cell r="D509" t="str">
            <v>Quillacollo</v>
          </cell>
          <cell r="E509" t="str">
            <v>Colcapirhua</v>
          </cell>
          <cell r="F509" t="str">
            <v>Sumunpaya</v>
          </cell>
          <cell r="G509" t="str">
            <v>Unidad Educativa Simon Bolivar (Sumunpaya)</v>
          </cell>
          <cell r="H509" t="str">
            <v>Zona 4483</v>
          </cell>
          <cell r="I509" t="str">
            <v>Zona Sumunpuya Sud, Av Simon Bolivar, Av Blanco Galindo Km 8.5</v>
          </cell>
          <cell r="J509" t="str">
            <v>22</v>
          </cell>
          <cell r="K509" t="str">
            <v>Uninominal</v>
          </cell>
          <cell r="L509" t="str">
            <v>-17.4028</v>
          </cell>
          <cell r="M509" t="str">
            <v>-66.2351</v>
          </cell>
          <cell r="N509" t="str">
            <v>Urbano</v>
          </cell>
          <cell r="O509" t="str">
            <v>2283</v>
          </cell>
          <cell r="P509" t="str">
            <v>POINT (-66.2351 -17.4028)</v>
          </cell>
          <cell r="Q509">
            <v>5</v>
          </cell>
          <cell r="R509">
            <v>0.66573366620476138</v>
          </cell>
        </row>
        <row r="510">
          <cell r="A510">
            <v>2284</v>
          </cell>
          <cell r="B510" t="str">
            <v>Sede Social de La O.T.B. Martin Cardenas (Ex Complejo El Carmen)Colcapirhua</v>
          </cell>
          <cell r="C510" t="str">
            <v>Cochabamba</v>
          </cell>
          <cell r="D510" t="str">
            <v>Quillacollo</v>
          </cell>
          <cell r="E510" t="str">
            <v>Colcapirhua</v>
          </cell>
          <cell r="F510" t="str">
            <v>Rumi Mayu (Colcapirhua)</v>
          </cell>
          <cell r="G510" t="str">
            <v>Sede Social de La O.T.B. Martin Cardenas (Ex Complejo El Carmen)</v>
          </cell>
          <cell r="H510" t="str">
            <v>Zona 4486</v>
          </cell>
          <cell r="I510" t="str">
            <v>Rumi Mayu (Colcapirhua)</v>
          </cell>
          <cell r="J510" t="str">
            <v>22</v>
          </cell>
          <cell r="K510" t="str">
            <v>Uninominal</v>
          </cell>
          <cell r="L510" t="str">
            <v>-17.3792</v>
          </cell>
          <cell r="M510" t="str">
            <v>-66.2127</v>
          </cell>
          <cell r="N510" t="str">
            <v>Urbano</v>
          </cell>
          <cell r="O510" t="str">
            <v>2284</v>
          </cell>
          <cell r="P510" t="str">
            <v>POINT (-66.2127 -17.3792)</v>
          </cell>
          <cell r="Q510">
            <v>2</v>
          </cell>
          <cell r="R510">
            <v>0.44961717254580258</v>
          </cell>
        </row>
        <row r="511">
          <cell r="A511">
            <v>2285</v>
          </cell>
          <cell r="B511" t="str">
            <v>Unidad Educativa El SausalitoColcapirhua</v>
          </cell>
          <cell r="C511" t="str">
            <v>Cochabamba</v>
          </cell>
          <cell r="D511" t="str">
            <v>Quillacollo</v>
          </cell>
          <cell r="E511" t="str">
            <v>Colcapirhua</v>
          </cell>
          <cell r="F511" t="str">
            <v>Santa Rosa (Colcapirhua)</v>
          </cell>
          <cell r="G511" t="str">
            <v>Unidad Educativa El Sausalito</v>
          </cell>
          <cell r="H511" t="str">
            <v>Zona 4486</v>
          </cell>
          <cell r="I511" t="str">
            <v>Santa Rosa (Colcapirhua)</v>
          </cell>
          <cell r="J511" t="str">
            <v>22</v>
          </cell>
          <cell r="K511" t="str">
            <v>Uninominal</v>
          </cell>
          <cell r="L511" t="str">
            <v>-17.3868</v>
          </cell>
          <cell r="M511" t="str">
            <v>-66.2135</v>
          </cell>
          <cell r="N511" t="str">
            <v>Urbano</v>
          </cell>
          <cell r="O511" t="str">
            <v>2285</v>
          </cell>
          <cell r="P511" t="str">
            <v>POINT (-66.2135 -17.3868)</v>
          </cell>
          <cell r="Q511">
            <v>17</v>
          </cell>
          <cell r="R511">
            <v>0.40594142441898257</v>
          </cell>
        </row>
        <row r="512">
          <cell r="A512">
            <v>2286</v>
          </cell>
          <cell r="B512" t="str">
            <v>Unidad Educativa La Sagrada FamiliaColcapirhua</v>
          </cell>
          <cell r="C512" t="str">
            <v>Cochabamba</v>
          </cell>
          <cell r="D512" t="str">
            <v>Quillacollo</v>
          </cell>
          <cell r="E512" t="str">
            <v>Colcapirhua</v>
          </cell>
          <cell r="F512" t="str">
            <v>Santa Rosa (Colcapirhua)</v>
          </cell>
          <cell r="G512" t="str">
            <v>Unidad Educativa La Sagrada Familia</v>
          </cell>
          <cell r="H512" t="str">
            <v>Zona 4486</v>
          </cell>
          <cell r="I512" t="str">
            <v>Av. 16 de Julio</v>
          </cell>
          <cell r="J512" t="str">
            <v>22</v>
          </cell>
          <cell r="K512" t="str">
            <v>Uninominal</v>
          </cell>
          <cell r="L512" t="str">
            <v>-17.3827</v>
          </cell>
          <cell r="M512" t="str">
            <v>-66.2224</v>
          </cell>
          <cell r="N512" t="str">
            <v>Urbano</v>
          </cell>
          <cell r="O512" t="str">
            <v>2286</v>
          </cell>
          <cell r="P512" t="str">
            <v>POINT (-66.2224 -17.3827)</v>
          </cell>
          <cell r="Q512">
            <v>12</v>
          </cell>
          <cell r="R512">
            <v>0.40391193772805123</v>
          </cell>
        </row>
        <row r="513">
          <cell r="A513">
            <v>2287</v>
          </cell>
          <cell r="B513" t="str">
            <v>U.E. San MiguelColcapirhua</v>
          </cell>
          <cell r="C513" t="str">
            <v>Cochabamba</v>
          </cell>
          <cell r="D513" t="str">
            <v>Quillacollo</v>
          </cell>
          <cell r="E513" t="str">
            <v>Colcapirhua</v>
          </cell>
          <cell r="F513" t="str">
            <v>Santa Rosa (Colcapirhua)</v>
          </cell>
          <cell r="G513" t="str">
            <v>U.E. San Miguel</v>
          </cell>
          <cell r="H513" t="str">
            <v>Zona 4486</v>
          </cell>
          <cell r="I513" t="str">
            <v>Av. Ustariz S/N,  entre calles Excombatientes y Caritas Km. 6 1/2 Carretera antigua a Quillacollo</v>
          </cell>
          <cell r="J513" t="str">
            <v>22</v>
          </cell>
          <cell r="K513" t="str">
            <v>Uninominal</v>
          </cell>
          <cell r="L513" t="str">
            <v>-17.396473</v>
          </cell>
          <cell r="M513" t="str">
            <v>-66.214436</v>
          </cell>
          <cell r="N513" t="str">
            <v>Urbano</v>
          </cell>
          <cell r="O513" t="str">
            <v>2287</v>
          </cell>
          <cell r="P513" t="str">
            <v>POINT (-66.214436 -17.396473)</v>
          </cell>
          <cell r="Q513">
            <v>13</v>
          </cell>
          <cell r="R513">
            <v>0.39225376263997919</v>
          </cell>
        </row>
        <row r="514">
          <cell r="A514">
            <v>2288</v>
          </cell>
          <cell r="B514" t="str">
            <v>Colegio Padre Andrés CuschieriColcapirhua</v>
          </cell>
          <cell r="C514" t="str">
            <v>Cochabamba</v>
          </cell>
          <cell r="D514" t="str">
            <v>Quillacollo</v>
          </cell>
          <cell r="E514" t="str">
            <v>Colcapirhua</v>
          </cell>
          <cell r="F514" t="str">
            <v>Santa Rosa (Colcapirhua)</v>
          </cell>
          <cell r="G514" t="str">
            <v>Colegio Padre Andrés Cuschieri</v>
          </cell>
          <cell r="H514" t="str">
            <v>Zona 4486</v>
          </cell>
          <cell r="I514" t="str">
            <v>Calle Kanaut S/N, entre Av. 27 de Julio</v>
          </cell>
          <cell r="J514" t="str">
            <v>22</v>
          </cell>
          <cell r="K514" t="str">
            <v>Uninominal</v>
          </cell>
          <cell r="L514" t="str">
            <v>-17.379705</v>
          </cell>
          <cell r="M514" t="str">
            <v>-66.216429</v>
          </cell>
          <cell r="N514" t="str">
            <v>Urbano</v>
          </cell>
          <cell r="O514" t="str">
            <v>2288</v>
          </cell>
          <cell r="P514" t="str">
            <v>POINT (-66.216429 -17.379705)</v>
          </cell>
          <cell r="Q514">
            <v>4</v>
          </cell>
          <cell r="R514">
            <v>0.40562500000000001</v>
          </cell>
        </row>
        <row r="515">
          <cell r="A515">
            <v>2289</v>
          </cell>
          <cell r="B515" t="str">
            <v>Escuela Jesus LaraColcapirhua</v>
          </cell>
          <cell r="C515" t="str">
            <v>Cochabamba</v>
          </cell>
          <cell r="D515" t="str">
            <v>Quillacollo</v>
          </cell>
          <cell r="E515" t="str">
            <v>Colcapirhua</v>
          </cell>
          <cell r="F515" t="str">
            <v>La Florida</v>
          </cell>
          <cell r="G515" t="str">
            <v>Escuela Jesus Lara</v>
          </cell>
          <cell r="H515" t="str">
            <v>Zona 4484</v>
          </cell>
          <cell r="I515" t="str">
            <v>La Florida</v>
          </cell>
          <cell r="J515" t="str">
            <v>22</v>
          </cell>
          <cell r="K515" t="str">
            <v>Uninominal</v>
          </cell>
          <cell r="L515" t="str">
            <v>-17.3932</v>
          </cell>
          <cell r="M515" t="str">
            <v>-66.2262</v>
          </cell>
          <cell r="N515" t="str">
            <v>Urbano</v>
          </cell>
          <cell r="O515" t="str">
            <v>2289</v>
          </cell>
          <cell r="P515" t="str">
            <v>POINT (-66.2262 -17.3932)</v>
          </cell>
          <cell r="Q515">
            <v>26</v>
          </cell>
          <cell r="R515">
            <v>0.36796997259527464</v>
          </cell>
        </row>
        <row r="516">
          <cell r="A516">
            <v>2290</v>
          </cell>
          <cell r="B516" t="str">
            <v>U. E. Prof. Benedicto Durán OrtízColcapirhua</v>
          </cell>
          <cell r="C516" t="str">
            <v>Cochabamba</v>
          </cell>
          <cell r="D516" t="str">
            <v>Quillacollo</v>
          </cell>
          <cell r="E516" t="str">
            <v>Colcapirhua</v>
          </cell>
          <cell r="F516" t="str">
            <v>La Florida</v>
          </cell>
          <cell r="G516" t="str">
            <v>U. E. Prof. Benedicto Durán Ortíz</v>
          </cell>
          <cell r="H516" t="str">
            <v>Zona 4486</v>
          </cell>
          <cell r="I516" t="str">
            <v>La Florida</v>
          </cell>
          <cell r="J516" t="str">
            <v>22</v>
          </cell>
          <cell r="K516" t="str">
            <v>Uninominal</v>
          </cell>
          <cell r="L516" t="str">
            <v>-17.3868</v>
          </cell>
          <cell r="M516" t="str">
            <v>-66.2259</v>
          </cell>
          <cell r="N516" t="str">
            <v>Urbano</v>
          </cell>
          <cell r="O516" t="str">
            <v>2290</v>
          </cell>
          <cell r="P516" t="str">
            <v>POINT (-66.2259 -17.3868)</v>
          </cell>
          <cell r="Q516">
            <v>7</v>
          </cell>
          <cell r="R516">
            <v>0.42535456148183126</v>
          </cell>
        </row>
        <row r="517">
          <cell r="A517">
            <v>2291</v>
          </cell>
          <cell r="B517" t="str">
            <v>U.E. San CrispinColcapirhua</v>
          </cell>
          <cell r="C517" t="str">
            <v>Cochabamba</v>
          </cell>
          <cell r="D517" t="str">
            <v>Quillacollo</v>
          </cell>
          <cell r="E517" t="str">
            <v>Colcapirhua</v>
          </cell>
          <cell r="F517" t="str">
            <v>Esquilan Grande</v>
          </cell>
          <cell r="G517" t="str">
            <v>U.E. San Crispin</v>
          </cell>
          <cell r="H517" t="str">
            <v>Zona 4483</v>
          </cell>
          <cell r="I517" t="str">
            <v>Calle final Sucre del Municipio de Colcapirhua</v>
          </cell>
          <cell r="J517" t="str">
            <v>22</v>
          </cell>
          <cell r="K517" t="str">
            <v>Uninominal</v>
          </cell>
          <cell r="L517" t="str">
            <v>-17.417135</v>
          </cell>
          <cell r="M517" t="str">
            <v>-66.247586</v>
          </cell>
          <cell r="N517" t="str">
            <v>Urbano</v>
          </cell>
          <cell r="O517" t="str">
            <v>2291</v>
          </cell>
          <cell r="P517" t="str">
            <v>POINT (-66.247586 -17.417135)</v>
          </cell>
          <cell r="Q517">
            <v>3</v>
          </cell>
          <cell r="R517" t="str">
            <v>Sin Info</v>
          </cell>
        </row>
        <row r="518">
          <cell r="A518">
            <v>2292</v>
          </cell>
          <cell r="B518" t="str">
            <v>Escuela Natalio AraucoSacaba</v>
          </cell>
          <cell r="C518" t="str">
            <v>Cochabamba</v>
          </cell>
          <cell r="D518" t="str">
            <v>Chapare</v>
          </cell>
          <cell r="E518" t="str">
            <v>Sacaba</v>
          </cell>
          <cell r="F518" t="str">
            <v>Sacaba</v>
          </cell>
          <cell r="G518" t="str">
            <v>Escuela Natalio Arauco</v>
          </cell>
          <cell r="H518" t="str">
            <v>Zona 4491</v>
          </cell>
          <cell r="I518" t="str">
            <v>Av. Mons Roberto Nicoli</v>
          </cell>
          <cell r="J518" t="str">
            <v>23</v>
          </cell>
          <cell r="K518" t="str">
            <v>Uninominal</v>
          </cell>
          <cell r="L518" t="str">
            <v>-17.4015</v>
          </cell>
          <cell r="M518" t="str">
            <v>-66.0459</v>
          </cell>
          <cell r="N518" t="str">
            <v>Urbano</v>
          </cell>
          <cell r="O518" t="str">
            <v>2292</v>
          </cell>
          <cell r="P518" t="str">
            <v>POINT (-66.0459 -17.4015)</v>
          </cell>
          <cell r="Q518">
            <v>16</v>
          </cell>
          <cell r="R518">
            <v>0.63725059054367028</v>
          </cell>
        </row>
        <row r="519">
          <cell r="A519">
            <v>2293</v>
          </cell>
          <cell r="B519" t="str">
            <v>Liceo De Señoritas SacabaSacaba</v>
          </cell>
          <cell r="C519" t="str">
            <v>Cochabamba</v>
          </cell>
          <cell r="D519" t="str">
            <v>Chapare</v>
          </cell>
          <cell r="E519" t="str">
            <v>Sacaba</v>
          </cell>
          <cell r="F519" t="str">
            <v>Sacaba</v>
          </cell>
          <cell r="G519" t="str">
            <v>Liceo De Señoritas Sacaba</v>
          </cell>
          <cell r="H519" t="str">
            <v>Zona 4491</v>
          </cell>
          <cell r="I519" t="str">
            <v>Av. Gualberto Villarroel Esq. I. Cespedes</v>
          </cell>
          <cell r="J519" t="str">
            <v>23</v>
          </cell>
          <cell r="K519" t="str">
            <v>Uninominal</v>
          </cell>
          <cell r="L519" t="str">
            <v>-17.404</v>
          </cell>
          <cell r="M519" t="str">
            <v>-66.0449</v>
          </cell>
          <cell r="N519" t="str">
            <v>Urbano</v>
          </cell>
          <cell r="O519" t="str">
            <v>2293</v>
          </cell>
          <cell r="P519" t="str">
            <v>POINT (-66.0449 -17.404)</v>
          </cell>
          <cell r="Q519">
            <v>30</v>
          </cell>
          <cell r="R519">
            <v>0.65158878110157104</v>
          </cell>
        </row>
        <row r="520">
          <cell r="A520">
            <v>2294</v>
          </cell>
          <cell r="B520" t="str">
            <v>Escuela Man CespedSacaba</v>
          </cell>
          <cell r="C520" t="str">
            <v>Cochabamba</v>
          </cell>
          <cell r="D520" t="str">
            <v>Chapare</v>
          </cell>
          <cell r="E520" t="str">
            <v>Sacaba</v>
          </cell>
          <cell r="F520" t="str">
            <v>Sacaba</v>
          </cell>
          <cell r="G520" t="str">
            <v>Escuela Man Cesped</v>
          </cell>
          <cell r="H520" t="str">
            <v>Zona 4491</v>
          </cell>
          <cell r="I520" t="str">
            <v>Calle Porvenir Esquina Independencia</v>
          </cell>
          <cell r="J520" t="str">
            <v>23</v>
          </cell>
          <cell r="K520" t="str">
            <v>Uninominal</v>
          </cell>
          <cell r="L520" t="str">
            <v>-17.4071</v>
          </cell>
          <cell r="M520" t="str">
            <v>-66.0382</v>
          </cell>
          <cell r="N520" t="str">
            <v>Urbano</v>
          </cell>
          <cell r="O520" t="str">
            <v>2294</v>
          </cell>
          <cell r="P520" t="str">
            <v>POINT (-66.0382 -17.4071)</v>
          </cell>
          <cell r="Q520">
            <v>23</v>
          </cell>
          <cell r="R520">
            <v>0.63722803264448913</v>
          </cell>
        </row>
        <row r="521">
          <cell r="A521">
            <v>2295</v>
          </cell>
          <cell r="B521" t="str">
            <v>Escuela German BuschSacaba</v>
          </cell>
          <cell r="C521" t="str">
            <v>Cochabamba</v>
          </cell>
          <cell r="D521" t="str">
            <v>Chapare</v>
          </cell>
          <cell r="E521" t="str">
            <v>Sacaba</v>
          </cell>
          <cell r="F521" t="str">
            <v>Sacaba</v>
          </cell>
          <cell r="G521" t="str">
            <v>Escuela German Busch</v>
          </cell>
          <cell r="H521" t="str">
            <v>Zona 4491</v>
          </cell>
          <cell r="I521" t="str">
            <v>Calle Colon 132 entre Independencia y Bolivar</v>
          </cell>
          <cell r="J521" t="str">
            <v>23</v>
          </cell>
          <cell r="K521" t="str">
            <v>Uninominal</v>
          </cell>
          <cell r="L521" t="str">
            <v>-17.4043</v>
          </cell>
          <cell r="M521" t="str">
            <v>-66.0383</v>
          </cell>
          <cell r="N521" t="str">
            <v>Urbano</v>
          </cell>
          <cell r="O521" t="str">
            <v>2295</v>
          </cell>
          <cell r="P521" t="str">
            <v>POINT (-66.0383 -17.4043)</v>
          </cell>
          <cell r="Q521">
            <v>20</v>
          </cell>
          <cell r="R521">
            <v>0.64926329208479727</v>
          </cell>
        </row>
        <row r="522">
          <cell r="A522">
            <v>2296</v>
          </cell>
          <cell r="B522" t="str">
            <v>(Cárcel) Penitenciaria San Pedro (Sacaba)Sacaba</v>
          </cell>
          <cell r="C522" t="str">
            <v>Cochabamba</v>
          </cell>
          <cell r="D522" t="str">
            <v>Chapare</v>
          </cell>
          <cell r="E522" t="str">
            <v>Sacaba</v>
          </cell>
          <cell r="F522" t="str">
            <v>Sacaba</v>
          </cell>
          <cell r="G522" t="str">
            <v>(Cárcel) Penitenciaria San Pedro (Sacaba)</v>
          </cell>
          <cell r="H522" t="str">
            <v>Zona 4491</v>
          </cell>
          <cell r="I522" t="str">
            <v>La Tapia y Porvenir</v>
          </cell>
          <cell r="J522" t="str">
            <v>23</v>
          </cell>
          <cell r="K522" t="str">
            <v>Uninominal</v>
          </cell>
          <cell r="L522" t="str">
            <v>-17.4059</v>
          </cell>
          <cell r="M522" t="str">
            <v>-66.0413</v>
          </cell>
          <cell r="N522" t="str">
            <v>Urbano</v>
          </cell>
          <cell r="O522" t="str">
            <v>2296</v>
          </cell>
          <cell r="P522" t="str">
            <v>POINT (-66.0413 -17.4059)</v>
          </cell>
          <cell r="Q522">
            <v>1</v>
          </cell>
          <cell r="R522">
            <v>0.86754966887417218</v>
          </cell>
        </row>
        <row r="523">
          <cell r="A523">
            <v>2297</v>
          </cell>
          <cell r="B523" t="str">
            <v>Unidad Educativa Boliviano BritánicoSacaba</v>
          </cell>
          <cell r="C523" t="str">
            <v>Cochabamba</v>
          </cell>
          <cell r="D523" t="str">
            <v>Chapare</v>
          </cell>
          <cell r="E523" t="str">
            <v>Sacaba</v>
          </cell>
          <cell r="F523" t="str">
            <v>Sacaba</v>
          </cell>
          <cell r="G523" t="str">
            <v>Unidad Educativa Boliviano Británico</v>
          </cell>
          <cell r="H523" t="str">
            <v>Zona 4490</v>
          </cell>
          <cell r="I523" t="str">
            <v>A 100 Mts de La Caretera Cbba Sta Cruz Antes de Llegar a Plaza de Villa Obrajes</v>
          </cell>
          <cell r="J523" t="str">
            <v>23</v>
          </cell>
          <cell r="K523" t="str">
            <v>Uninominal</v>
          </cell>
          <cell r="L523" t="str">
            <v>-17.4027</v>
          </cell>
          <cell r="M523" t="str">
            <v>-66.0232</v>
          </cell>
          <cell r="N523" t="str">
            <v>Urbano</v>
          </cell>
          <cell r="O523" t="str">
            <v>2297</v>
          </cell>
          <cell r="P523" t="str">
            <v>POINT (-66.0232 -17.4027)</v>
          </cell>
          <cell r="Q523">
            <v>25</v>
          </cell>
          <cell r="R523">
            <v>0.8044952736277996</v>
          </cell>
        </row>
        <row r="524">
          <cell r="A524">
            <v>2298</v>
          </cell>
          <cell r="B524" t="str">
            <v>Unidad Educativa UlincateSacaba</v>
          </cell>
          <cell r="C524" t="str">
            <v>Cochabamba</v>
          </cell>
          <cell r="D524" t="str">
            <v>Chapare</v>
          </cell>
          <cell r="E524" t="str">
            <v>Sacaba</v>
          </cell>
          <cell r="F524" t="str">
            <v>Sacaba</v>
          </cell>
          <cell r="G524" t="str">
            <v>Unidad Educativa Ulincate</v>
          </cell>
          <cell r="H524" t="str">
            <v>Zona 4490</v>
          </cell>
          <cell r="I524" t="str">
            <v>Ulincate Baja Km. 35 Carretera Cbba Santa Cruz</v>
          </cell>
          <cell r="J524" t="str">
            <v>23</v>
          </cell>
          <cell r="K524" t="str">
            <v>Uninominal</v>
          </cell>
          <cell r="L524" t="str">
            <v>-17.4085</v>
          </cell>
          <cell r="M524" t="str">
            <v>-66.0056</v>
          </cell>
          <cell r="N524" t="str">
            <v>Urbano</v>
          </cell>
          <cell r="O524" t="str">
            <v>2298</v>
          </cell>
          <cell r="P524" t="str">
            <v>POINT (-66.0056 -17.4085)</v>
          </cell>
          <cell r="Q524">
            <v>7</v>
          </cell>
          <cell r="R524">
            <v>0.81226138149601057</v>
          </cell>
        </row>
        <row r="525">
          <cell r="A525">
            <v>2299</v>
          </cell>
          <cell r="B525" t="str">
            <v>Instituto Tecnico Sacaba (ITSA)Sacaba</v>
          </cell>
          <cell r="C525" t="str">
            <v>Cochabamba</v>
          </cell>
          <cell r="D525" t="str">
            <v>Chapare</v>
          </cell>
          <cell r="E525" t="str">
            <v>Sacaba</v>
          </cell>
          <cell r="F525" t="str">
            <v>Sacaba</v>
          </cell>
          <cell r="G525" t="str">
            <v>Instituto Tecnico Sacaba (ITSA)</v>
          </cell>
          <cell r="H525" t="str">
            <v>Zona 4491</v>
          </cell>
          <cell r="I525" t="str">
            <v>Ismael Cespedes entre Porverir y Av. Circunvalacion</v>
          </cell>
          <cell r="J525" t="str">
            <v>23</v>
          </cell>
          <cell r="K525" t="str">
            <v>Uninominal</v>
          </cell>
          <cell r="L525" t="str">
            <v>-17.4071</v>
          </cell>
          <cell r="M525" t="str">
            <v>-66.0456</v>
          </cell>
          <cell r="N525" t="str">
            <v>Urbano</v>
          </cell>
          <cell r="O525" t="str">
            <v>2299</v>
          </cell>
          <cell r="P525" t="str">
            <v>POINT (-66.0456 -17.4071)</v>
          </cell>
          <cell r="Q525">
            <v>3</v>
          </cell>
          <cell r="R525">
            <v>0.62448016328613343</v>
          </cell>
        </row>
        <row r="526">
          <cell r="A526">
            <v>2300</v>
          </cell>
          <cell r="B526" t="str">
            <v>Unidad Educativa 27 de AgostoSacaba</v>
          </cell>
          <cell r="C526" t="str">
            <v>Cochabamba</v>
          </cell>
          <cell r="D526" t="str">
            <v>Chapare</v>
          </cell>
          <cell r="E526" t="str">
            <v>Sacaba</v>
          </cell>
          <cell r="F526" t="str">
            <v>Sacaba</v>
          </cell>
          <cell r="G526" t="str">
            <v>Unidad Educativa 27 de Agosto</v>
          </cell>
          <cell r="H526" t="str">
            <v>Zona 4488</v>
          </cell>
          <cell r="I526" t="str">
            <v>Tuscapujio Bajo</v>
          </cell>
          <cell r="J526" t="str">
            <v>23</v>
          </cell>
          <cell r="K526" t="str">
            <v>Uninominal</v>
          </cell>
          <cell r="L526" t="str">
            <v>-17.4145</v>
          </cell>
          <cell r="M526" t="str">
            <v>-66.0553</v>
          </cell>
          <cell r="N526" t="str">
            <v>Urbano</v>
          </cell>
          <cell r="O526" t="str">
            <v>2300</v>
          </cell>
          <cell r="P526" t="str">
            <v>POINT (-66.0553 -17.4145)</v>
          </cell>
          <cell r="Q526">
            <v>8</v>
          </cell>
          <cell r="R526">
            <v>0.84012464465784564</v>
          </cell>
        </row>
        <row r="527">
          <cell r="A527">
            <v>2301</v>
          </cell>
          <cell r="B527" t="str">
            <v>Unidad Educativa Entre RiosSacaba</v>
          </cell>
          <cell r="C527" t="str">
            <v>Cochabamba</v>
          </cell>
          <cell r="D527" t="str">
            <v>Chapare</v>
          </cell>
          <cell r="E527" t="str">
            <v>Sacaba</v>
          </cell>
          <cell r="F527" t="str">
            <v>Sacaba</v>
          </cell>
          <cell r="G527" t="str">
            <v>Unidad Educativa Entre Rios</v>
          </cell>
          <cell r="H527" t="str">
            <v>Zona 4492</v>
          </cell>
          <cell r="I527" t="str">
            <v>Av, Gualverto Villarroel Entrada a Sacaba Camino Antiguo</v>
          </cell>
          <cell r="J527" t="str">
            <v>23</v>
          </cell>
          <cell r="K527" t="str">
            <v>Uninominal</v>
          </cell>
          <cell r="L527" t="str">
            <v>-17.4021</v>
          </cell>
          <cell r="M527" t="str">
            <v>-66.06</v>
          </cell>
          <cell r="N527" t="str">
            <v>Urbano</v>
          </cell>
          <cell r="O527" t="str">
            <v>2301</v>
          </cell>
          <cell r="P527" t="str">
            <v>POINT (-66.06 -17.4021)</v>
          </cell>
          <cell r="Q527">
            <v>3</v>
          </cell>
          <cell r="R527">
            <v>0.75857612702287713</v>
          </cell>
        </row>
        <row r="528">
          <cell r="A528">
            <v>2302</v>
          </cell>
          <cell r="B528" t="str">
            <v>Unidad Educativa Republica de ItaliaSacaba</v>
          </cell>
          <cell r="C528" t="str">
            <v>Cochabamba</v>
          </cell>
          <cell r="D528" t="str">
            <v>Chapare</v>
          </cell>
          <cell r="E528" t="str">
            <v>Sacaba</v>
          </cell>
          <cell r="F528" t="str">
            <v>Sacaba</v>
          </cell>
          <cell r="G528" t="str">
            <v>Unidad Educativa Republica de Italia</v>
          </cell>
          <cell r="H528" t="str">
            <v>Zona 4491</v>
          </cell>
          <cell r="I528" t="str">
            <v>Monseñor Roberto Nicoli (Villazon) E Ismael Cespedes</v>
          </cell>
          <cell r="J528" t="str">
            <v>23</v>
          </cell>
          <cell r="K528" t="str">
            <v>Uninominal</v>
          </cell>
          <cell r="L528" t="str">
            <v>-17.4026</v>
          </cell>
          <cell r="M528" t="str">
            <v>-66.0449</v>
          </cell>
          <cell r="N528" t="str">
            <v>Urbano</v>
          </cell>
          <cell r="O528" t="str">
            <v>2302</v>
          </cell>
          <cell r="P528" t="str">
            <v>POINT (-66.0449 -17.4026)</v>
          </cell>
          <cell r="Q528">
            <v>12</v>
          </cell>
          <cell r="R528">
            <v>0.70472908650320953</v>
          </cell>
        </row>
        <row r="529">
          <cell r="A529">
            <v>2303</v>
          </cell>
          <cell r="B529" t="str">
            <v>U.E. AntofagastaSacaba</v>
          </cell>
          <cell r="C529" t="str">
            <v>Cochabamba</v>
          </cell>
          <cell r="D529" t="str">
            <v>Chapare</v>
          </cell>
          <cell r="E529" t="str">
            <v>Sacaba</v>
          </cell>
          <cell r="F529" t="str">
            <v>Sacaba</v>
          </cell>
          <cell r="G529" t="str">
            <v>U.E. Antofagasta</v>
          </cell>
          <cell r="H529" t="str">
            <v>Zona 4490</v>
          </cell>
          <cell r="I529" t="str">
            <v>Comunidad Sacaba, OTB Antofagasta Av. Santa Cruz, Esquina Av. Porvenir, Entre la Av. Sucre</v>
          </cell>
          <cell r="J529" t="str">
            <v>23</v>
          </cell>
          <cell r="K529" t="str">
            <v>Uninominal</v>
          </cell>
          <cell r="L529" t="str">
            <v>-17.408166</v>
          </cell>
          <cell r="M529" t="str">
            <v>-66.032285</v>
          </cell>
          <cell r="N529" t="str">
            <v>Urbano</v>
          </cell>
          <cell r="O529" t="str">
            <v>2303</v>
          </cell>
          <cell r="P529" t="str">
            <v>POINT (-66.032285 -17.408166)</v>
          </cell>
          <cell r="Q529">
            <v>8</v>
          </cell>
          <cell r="R529">
            <v>0.78269773820316357</v>
          </cell>
        </row>
        <row r="530">
          <cell r="A530">
            <v>2304</v>
          </cell>
          <cell r="B530" t="str">
            <v>U.E. Villa ClotildeSacaba</v>
          </cell>
          <cell r="C530" t="str">
            <v>Cochabamba</v>
          </cell>
          <cell r="D530" t="str">
            <v>Chapare</v>
          </cell>
          <cell r="E530" t="str">
            <v>Sacaba</v>
          </cell>
          <cell r="F530" t="str">
            <v>Sacaba</v>
          </cell>
          <cell r="G530" t="str">
            <v>U.E. Villa Clotilde</v>
          </cell>
          <cell r="H530" t="str">
            <v>Zona 4490</v>
          </cell>
          <cell r="I530" t="str">
            <v>Comunidad Villa Clotilde, camino a Sacaba-Colomi</v>
          </cell>
          <cell r="J530" t="str">
            <v>23</v>
          </cell>
          <cell r="K530" t="str">
            <v>Uninominal</v>
          </cell>
          <cell r="L530" t="str">
            <v>-17.412014</v>
          </cell>
          <cell r="M530" t="str">
            <v>-65.99239</v>
          </cell>
          <cell r="N530" t="str">
            <v>Urbano</v>
          </cell>
          <cell r="O530" t="str">
            <v>2304</v>
          </cell>
          <cell r="P530" t="str">
            <v>POINT (-65.99239 -17.412014)</v>
          </cell>
          <cell r="Q530">
            <v>4</v>
          </cell>
          <cell r="R530">
            <v>0.86937216772973147</v>
          </cell>
        </row>
        <row r="531">
          <cell r="A531">
            <v>2305</v>
          </cell>
          <cell r="B531" t="str">
            <v>U. E. Roberto Nicoli PariettiSacaba</v>
          </cell>
          <cell r="C531" t="str">
            <v>Cochabamba</v>
          </cell>
          <cell r="D531" t="str">
            <v>Chapare</v>
          </cell>
          <cell r="E531" t="str">
            <v>Sacaba</v>
          </cell>
          <cell r="F531" t="str">
            <v>Sacaba</v>
          </cell>
          <cell r="G531" t="str">
            <v>U. E. Roberto Nicoli Parietti</v>
          </cell>
          <cell r="H531" t="str">
            <v>Zona 4491</v>
          </cell>
          <cell r="I531" t="str">
            <v>Calle Beni  entre Calle  Tarija y Calle Innominada</v>
          </cell>
          <cell r="J531" t="str">
            <v>23</v>
          </cell>
          <cell r="K531" t="str">
            <v>Uninominal</v>
          </cell>
          <cell r="L531" t="str">
            <v>-17.400205</v>
          </cell>
          <cell r="M531" t="str">
            <v>-66.031528</v>
          </cell>
          <cell r="N531" t="str">
            <v>Urbano</v>
          </cell>
          <cell r="O531" t="str">
            <v>2305</v>
          </cell>
          <cell r="P531" t="str">
            <v>POINT (-66.031528 -17.400205)</v>
          </cell>
          <cell r="Q531">
            <v>2</v>
          </cell>
          <cell r="R531">
            <v>0.75384615384615383</v>
          </cell>
        </row>
        <row r="532">
          <cell r="A532">
            <v>2306</v>
          </cell>
          <cell r="B532" t="str">
            <v>U.E. El MoroSacaba</v>
          </cell>
          <cell r="C532" t="str">
            <v>Cochabamba</v>
          </cell>
          <cell r="D532" t="str">
            <v>Chapare</v>
          </cell>
          <cell r="E532" t="str">
            <v>Sacaba</v>
          </cell>
          <cell r="F532" t="str">
            <v>Sacaba</v>
          </cell>
          <cell r="G532" t="str">
            <v>U.E. El Moro</v>
          </cell>
          <cell r="H532" t="str">
            <v>Zona 4491</v>
          </cell>
          <cell r="I532" t="str">
            <v>Av. 9 de Abril entre Calle 2 de Agosto y Calle Beni</v>
          </cell>
          <cell r="J532" t="str">
            <v>23</v>
          </cell>
          <cell r="K532" t="str">
            <v>Uninominal</v>
          </cell>
          <cell r="L532" t="str">
            <v>-17.400197</v>
          </cell>
          <cell r="M532" t="str">
            <v>-66.031523</v>
          </cell>
          <cell r="N532" t="str">
            <v>Urbano</v>
          </cell>
          <cell r="O532" t="str">
            <v>2306</v>
          </cell>
          <cell r="P532" t="str">
            <v>POINT (-66.031523 -17.400197)</v>
          </cell>
          <cell r="Q532">
            <v>2</v>
          </cell>
          <cell r="R532">
            <v>0.76271186440677963</v>
          </cell>
        </row>
        <row r="533">
          <cell r="A533">
            <v>2307</v>
          </cell>
          <cell r="B533" t="str">
            <v>U.E. 1ro. de MayoSacaba</v>
          </cell>
          <cell r="C533" t="str">
            <v>Cochabamba</v>
          </cell>
          <cell r="D533" t="str">
            <v>Chapare</v>
          </cell>
          <cell r="E533" t="str">
            <v>Sacaba</v>
          </cell>
          <cell r="F533" t="str">
            <v>Sacaba</v>
          </cell>
          <cell r="G533" t="str">
            <v>U.E. 1ro. de Mayo</v>
          </cell>
          <cell r="H533" t="str">
            <v>Zona 4488</v>
          </cell>
          <cell r="I533" t="str">
            <v>Canal Pata Alta - Sacaba</v>
          </cell>
          <cell r="J533" t="str">
            <v>23</v>
          </cell>
          <cell r="K533" t="str">
            <v>Uninominal</v>
          </cell>
          <cell r="L533" t="str">
            <v>-17.418444</v>
          </cell>
          <cell r="M533" t="str">
            <v>-66.036878</v>
          </cell>
          <cell r="N533" t="str">
            <v>Urbano</v>
          </cell>
          <cell r="O533" t="str">
            <v>2307</v>
          </cell>
          <cell r="P533" t="str">
            <v>POINT (-66.036878 -17.418444)</v>
          </cell>
          <cell r="Q533">
            <v>2</v>
          </cell>
          <cell r="R533">
            <v>0.76071428571428568</v>
          </cell>
        </row>
        <row r="534">
          <cell r="A534">
            <v>2308</v>
          </cell>
          <cell r="B534" t="str">
            <v>U. E. 27 de MayoSacaba</v>
          </cell>
          <cell r="C534" t="str">
            <v>Cochabamba</v>
          </cell>
          <cell r="D534" t="str">
            <v>Chapare</v>
          </cell>
          <cell r="E534" t="str">
            <v>Sacaba</v>
          </cell>
          <cell r="F534" t="str">
            <v>Sacaba</v>
          </cell>
          <cell r="G534" t="str">
            <v>U. E. 27 de Mayo</v>
          </cell>
          <cell r="H534" t="str">
            <v>Zona 4488</v>
          </cell>
          <cell r="I534" t="str">
            <v>Comunidad Sacaba - Sindicato Agrario Tuscapujio Alto</v>
          </cell>
          <cell r="J534" t="str">
            <v>23</v>
          </cell>
          <cell r="K534" t="str">
            <v>Uninominal</v>
          </cell>
          <cell r="L534" t="str">
            <v>-17.424991</v>
          </cell>
          <cell r="M534" t="str">
            <v>-66.050686</v>
          </cell>
          <cell r="N534" t="str">
            <v>Urbano</v>
          </cell>
          <cell r="O534" t="str">
            <v>2308</v>
          </cell>
          <cell r="P534" t="str">
            <v>POINT (-66.050686 -17.424991)</v>
          </cell>
          <cell r="Q534">
            <v>3</v>
          </cell>
          <cell r="R534">
            <v>0.84702350317378627</v>
          </cell>
        </row>
        <row r="535">
          <cell r="A535">
            <v>2309</v>
          </cell>
          <cell r="B535" t="str">
            <v>U.E. República del EcuadorSacaba</v>
          </cell>
          <cell r="C535" t="str">
            <v>Cochabamba</v>
          </cell>
          <cell r="D535" t="str">
            <v>Chapare</v>
          </cell>
          <cell r="E535" t="str">
            <v>Sacaba</v>
          </cell>
          <cell r="F535" t="str">
            <v>Sacaba</v>
          </cell>
          <cell r="G535" t="str">
            <v>U.E. República del Ecuador</v>
          </cell>
          <cell r="H535" t="str">
            <v>Zona 4489</v>
          </cell>
          <cell r="I535" t="str">
            <v>Sur de la capital del municipio, camino antiguo a Sacaba Km. 6 1/2, Av. Octava</v>
          </cell>
          <cell r="J535" t="str">
            <v>23</v>
          </cell>
          <cell r="K535" t="str">
            <v>Uninominal</v>
          </cell>
          <cell r="L535" t="str">
            <v>-17.413412</v>
          </cell>
          <cell r="M535" t="str">
            <v>-66.09482</v>
          </cell>
          <cell r="N535" t="str">
            <v>Urbano</v>
          </cell>
          <cell r="O535" t="str">
            <v>2309</v>
          </cell>
          <cell r="P535" t="str">
            <v>POINT (-66.09482 -17.413412)</v>
          </cell>
          <cell r="Q535">
            <v>18</v>
          </cell>
          <cell r="R535">
            <v>0.73947087285452429</v>
          </cell>
        </row>
        <row r="536">
          <cell r="A536">
            <v>2310</v>
          </cell>
          <cell r="B536" t="str">
            <v>U.E. José Nicolás MaldonadoSacaba</v>
          </cell>
          <cell r="C536" t="str">
            <v>Cochabamba</v>
          </cell>
          <cell r="D536" t="str">
            <v>Chapare</v>
          </cell>
          <cell r="E536" t="str">
            <v>Sacaba</v>
          </cell>
          <cell r="F536" t="str">
            <v>Sacaba</v>
          </cell>
          <cell r="G536" t="str">
            <v>U.E. José Nicolás Maldonado</v>
          </cell>
          <cell r="H536" t="str">
            <v>Zona 4491</v>
          </cell>
          <cell r="I536" t="str">
            <v>Av. Monseñor Roberto Nicoli entre Ismael Céspedes y Demetrio Canelas</v>
          </cell>
          <cell r="J536" t="str">
            <v>23</v>
          </cell>
          <cell r="K536" t="str">
            <v>Uninominal</v>
          </cell>
          <cell r="L536" t="str">
            <v>-17.401963</v>
          </cell>
          <cell r="M536" t="str">
            <v>-66.04503</v>
          </cell>
          <cell r="N536" t="str">
            <v>Urbano</v>
          </cell>
          <cell r="O536" t="str">
            <v>2310</v>
          </cell>
          <cell r="P536" t="str">
            <v>POINT (-66.04503 -17.401963)</v>
          </cell>
          <cell r="Q536">
            <v>7</v>
          </cell>
          <cell r="R536" t="str">
            <v>Sin Info</v>
          </cell>
        </row>
        <row r="537">
          <cell r="A537">
            <v>2311</v>
          </cell>
          <cell r="B537" t="str">
            <v>U.E. ChimbocoSacaba</v>
          </cell>
          <cell r="C537" t="str">
            <v>Cochabamba</v>
          </cell>
          <cell r="D537" t="str">
            <v>Chapare</v>
          </cell>
          <cell r="E537" t="str">
            <v>Sacaba</v>
          </cell>
          <cell r="F537" t="str">
            <v>Sacaba</v>
          </cell>
          <cell r="G537" t="str">
            <v>U.E. Chimboco</v>
          </cell>
          <cell r="H537" t="str">
            <v>Zona 4491</v>
          </cell>
          <cell r="I537" t="str">
            <v>Ubicado en la OTB. Chimboco frente a la cancha de futbol a lado Este del Instituto Tecnológico Berto Nicoli, zona Norte de Sacaba.</v>
          </cell>
          <cell r="J537" t="str">
            <v>23</v>
          </cell>
          <cell r="K537" t="str">
            <v>Uninominal</v>
          </cell>
          <cell r="L537" t="str">
            <v>-17.386895</v>
          </cell>
          <cell r="M537" t="str">
            <v>-66.04033</v>
          </cell>
          <cell r="N537" t="str">
            <v>Urbano</v>
          </cell>
          <cell r="O537" t="str">
            <v>2311</v>
          </cell>
          <cell r="P537" t="str">
            <v>POINT (-66.04033 -17.386895)</v>
          </cell>
          <cell r="Q537">
            <v>0</v>
          </cell>
          <cell r="R537" t="str">
            <v>Sin Info</v>
          </cell>
        </row>
        <row r="538">
          <cell r="A538">
            <v>2312</v>
          </cell>
          <cell r="B538" t="str">
            <v>Escuela Jesus TercerosSacaba</v>
          </cell>
          <cell r="C538" t="str">
            <v>Cochabamba</v>
          </cell>
          <cell r="D538" t="str">
            <v>Chapare</v>
          </cell>
          <cell r="E538" t="str">
            <v>Sacaba</v>
          </cell>
          <cell r="F538" t="str">
            <v>El Castillo</v>
          </cell>
          <cell r="G538" t="str">
            <v>Escuela Jesus Terceros</v>
          </cell>
          <cell r="H538" t="str">
            <v>Zona 4493</v>
          </cell>
          <cell r="I538" t="str">
            <v>Calle Argentina Nro 270 Urbanizacion San Pedro</v>
          </cell>
          <cell r="J538" t="str">
            <v>23</v>
          </cell>
          <cell r="K538" t="str">
            <v>Uninominal</v>
          </cell>
          <cell r="L538" t="str">
            <v>-17.3859</v>
          </cell>
          <cell r="M538" t="str">
            <v>-66.1203</v>
          </cell>
          <cell r="N538" t="str">
            <v>Urbano</v>
          </cell>
          <cell r="O538" t="str">
            <v>2312</v>
          </cell>
          <cell r="P538" t="str">
            <v>POINT (-66.1203 -17.3859)</v>
          </cell>
          <cell r="Q538">
            <v>17</v>
          </cell>
          <cell r="R538">
            <v>0.26632316457430971</v>
          </cell>
        </row>
        <row r="539">
          <cell r="A539">
            <v>2313</v>
          </cell>
          <cell r="B539" t="str">
            <v>Colegio QuintanillaSacaba</v>
          </cell>
          <cell r="C539" t="str">
            <v>Cochabamba</v>
          </cell>
          <cell r="D539" t="str">
            <v>Chapare</v>
          </cell>
          <cell r="E539" t="str">
            <v>Sacaba</v>
          </cell>
          <cell r="F539" t="str">
            <v>Quintanilla</v>
          </cell>
          <cell r="G539" t="str">
            <v>Colegio Quintanilla</v>
          </cell>
          <cell r="H539" t="str">
            <v>Zona 4493</v>
          </cell>
          <cell r="I539" t="str">
            <v>Av. Villazon y Av. Maximiliano Kolbe</v>
          </cell>
          <cell r="J539" t="str">
            <v>23</v>
          </cell>
          <cell r="K539" t="str">
            <v>Uninominal</v>
          </cell>
          <cell r="L539" t="str">
            <v>-17.3848</v>
          </cell>
          <cell r="M539" t="str">
            <v>-66.1099</v>
          </cell>
          <cell r="N539" t="str">
            <v>Urbano</v>
          </cell>
          <cell r="O539" t="str">
            <v>2313</v>
          </cell>
          <cell r="P539" t="str">
            <v>POINT (-66.1099 -17.3848)</v>
          </cell>
          <cell r="Q539">
            <v>37</v>
          </cell>
          <cell r="R539">
            <v>0.4533883357573828</v>
          </cell>
        </row>
        <row r="540">
          <cell r="A540">
            <v>2314</v>
          </cell>
          <cell r="B540" t="str">
            <v>(Cárcel) Penitenciaria El AbraSacaba</v>
          </cell>
          <cell r="C540" t="str">
            <v>Cochabamba</v>
          </cell>
          <cell r="D540" t="str">
            <v>Chapare</v>
          </cell>
          <cell r="E540" t="str">
            <v>Sacaba</v>
          </cell>
          <cell r="F540" t="str">
            <v>Quintanilla</v>
          </cell>
          <cell r="G540" t="str">
            <v>(Cárcel) Penitenciaria El Abra</v>
          </cell>
          <cell r="H540" t="str">
            <v>Zona 4489</v>
          </cell>
          <cell r="I540" t="str">
            <v>El Abra</v>
          </cell>
          <cell r="J540" t="str">
            <v>23</v>
          </cell>
          <cell r="K540" t="str">
            <v>Uninominal</v>
          </cell>
          <cell r="L540" t="str">
            <v>-17.4049</v>
          </cell>
          <cell r="M540" t="str">
            <v>-66.1157</v>
          </cell>
          <cell r="N540" t="str">
            <v>Urbano</v>
          </cell>
          <cell r="O540" t="str">
            <v>2314</v>
          </cell>
          <cell r="P540" t="str">
            <v>POINT (-66.1157 -17.4049)</v>
          </cell>
          <cell r="Q540">
            <v>3</v>
          </cell>
          <cell r="R540">
            <v>0.76359987530200302</v>
          </cell>
        </row>
        <row r="541">
          <cell r="A541">
            <v>2315</v>
          </cell>
          <cell r="B541" t="str">
            <v>Unidad Educativa Israelí El AbraSacaba</v>
          </cell>
          <cell r="C541" t="str">
            <v>Cochabamba</v>
          </cell>
          <cell r="D541" t="str">
            <v>Chapare</v>
          </cell>
          <cell r="E541" t="str">
            <v>Sacaba</v>
          </cell>
          <cell r="F541" t="str">
            <v>Quintanilla</v>
          </cell>
          <cell r="G541" t="str">
            <v>Unidad Educativa Israelí El Abra</v>
          </cell>
          <cell r="H541" t="str">
            <v>Zona 4489</v>
          </cell>
          <cell r="I541" t="str">
            <v>Camino Antiguo a Sacaba Km. 6 1/2</v>
          </cell>
          <cell r="J541" t="str">
            <v>23</v>
          </cell>
          <cell r="K541" t="str">
            <v>Uninominal</v>
          </cell>
          <cell r="L541" t="str">
            <v>-17.4037</v>
          </cell>
          <cell r="M541" t="str">
            <v>-66.101</v>
          </cell>
          <cell r="N541" t="str">
            <v>Urbano</v>
          </cell>
          <cell r="O541" t="str">
            <v>2315</v>
          </cell>
          <cell r="P541" t="str">
            <v>POINT (-66.101 -17.4037)</v>
          </cell>
          <cell r="Q541">
            <v>25</v>
          </cell>
          <cell r="R541">
            <v>0.70528563449715631</v>
          </cell>
        </row>
        <row r="542">
          <cell r="A542">
            <v>2316</v>
          </cell>
          <cell r="B542" t="str">
            <v>Unidad Educativa del ValleSacaba</v>
          </cell>
          <cell r="C542" t="str">
            <v>Cochabamba</v>
          </cell>
          <cell r="D542" t="str">
            <v>Chapare</v>
          </cell>
          <cell r="E542" t="str">
            <v>Sacaba</v>
          </cell>
          <cell r="F542" t="str">
            <v>Quintanilla</v>
          </cell>
          <cell r="G542" t="str">
            <v>Unidad Educativa del Valle</v>
          </cell>
          <cell r="H542" t="str">
            <v>Zona 4493</v>
          </cell>
          <cell r="I542" t="str">
            <v>Av. Villazon  entre Av. Maximiliano Kolbe</v>
          </cell>
          <cell r="J542" t="str">
            <v>23</v>
          </cell>
          <cell r="K542" t="str">
            <v>Uninominal</v>
          </cell>
          <cell r="L542" t="str">
            <v>-17.3827</v>
          </cell>
          <cell r="M542" t="str">
            <v>-66.1094</v>
          </cell>
          <cell r="N542" t="str">
            <v>Urbano</v>
          </cell>
          <cell r="O542" t="str">
            <v>2316</v>
          </cell>
          <cell r="P542" t="str">
            <v>POINT (-66.1094 -17.3827)</v>
          </cell>
          <cell r="Q542">
            <v>21</v>
          </cell>
          <cell r="R542">
            <v>0.44820352082764614</v>
          </cell>
        </row>
        <row r="543">
          <cell r="A543">
            <v>2317</v>
          </cell>
          <cell r="B543" t="str">
            <v>Unidad Educativa KanataSacaba</v>
          </cell>
          <cell r="C543" t="str">
            <v>Cochabamba</v>
          </cell>
          <cell r="D543" t="str">
            <v>Chapare</v>
          </cell>
          <cell r="E543" t="str">
            <v>Sacaba</v>
          </cell>
          <cell r="F543" t="str">
            <v>Quintanilla</v>
          </cell>
          <cell r="G543" t="str">
            <v>Unidad Educativa Kanata</v>
          </cell>
          <cell r="H543" t="str">
            <v>Zona 4493</v>
          </cell>
          <cell r="I543" t="str">
            <v>Avenida Villazon Km. 6 1/2</v>
          </cell>
          <cell r="J543" t="str">
            <v>23</v>
          </cell>
          <cell r="K543" t="str">
            <v>Uninominal</v>
          </cell>
          <cell r="L543" t="str">
            <v>-17.3859</v>
          </cell>
          <cell r="M543" t="str">
            <v>-66.1015</v>
          </cell>
          <cell r="N543" t="str">
            <v>Urbano</v>
          </cell>
          <cell r="O543" t="str">
            <v>2317</v>
          </cell>
          <cell r="P543" t="str">
            <v>POINT (-66.1015 -17.3859)</v>
          </cell>
          <cell r="Q543">
            <v>9</v>
          </cell>
          <cell r="R543">
            <v>0.24035920399255484</v>
          </cell>
        </row>
        <row r="544">
          <cell r="A544">
            <v>2318</v>
          </cell>
          <cell r="B544" t="str">
            <v>U.E. Puntiti ChicoSacaba</v>
          </cell>
          <cell r="C544" t="str">
            <v>Cochabamba</v>
          </cell>
          <cell r="D544" t="str">
            <v>Chapare</v>
          </cell>
          <cell r="E544" t="str">
            <v>Sacaba</v>
          </cell>
          <cell r="F544" t="str">
            <v>Quintanilla</v>
          </cell>
          <cell r="G544" t="str">
            <v>U.E. Puntiti Chico</v>
          </cell>
          <cell r="H544" t="str">
            <v>Zona 4493</v>
          </cell>
          <cell r="I544" t="str">
            <v>Av. Circunvalación , Km 5 frente a la Pizzería</v>
          </cell>
          <cell r="J544" t="str">
            <v>23</v>
          </cell>
          <cell r="K544" t="str">
            <v>Uninominal</v>
          </cell>
          <cell r="L544" t="str">
            <v>-17.374983</v>
          </cell>
          <cell r="M544" t="str">
            <v>-66.100451</v>
          </cell>
          <cell r="N544" t="str">
            <v>Urbano</v>
          </cell>
          <cell r="O544" t="str">
            <v>2318</v>
          </cell>
          <cell r="P544" t="str">
            <v>POINT (-66.100451 -17.374983)</v>
          </cell>
          <cell r="Q544">
            <v>6</v>
          </cell>
          <cell r="R544">
            <v>0.36773066578510238</v>
          </cell>
        </row>
        <row r="545">
          <cell r="A545">
            <v>2319</v>
          </cell>
          <cell r="B545" t="str">
            <v>U.E. José Vía GarcíaSacaba</v>
          </cell>
          <cell r="C545" t="str">
            <v>Cochabamba</v>
          </cell>
          <cell r="D545" t="str">
            <v>Chapare</v>
          </cell>
          <cell r="E545" t="str">
            <v>Sacaba</v>
          </cell>
          <cell r="F545" t="str">
            <v>Quintanilla</v>
          </cell>
          <cell r="G545" t="str">
            <v>U.E. José Vía García</v>
          </cell>
          <cell r="H545" t="str">
            <v>Zona 4492</v>
          </cell>
          <cell r="I545" t="str">
            <v>Comunidad Pucara</v>
          </cell>
          <cell r="J545" t="str">
            <v>23</v>
          </cell>
          <cell r="K545" t="str">
            <v>Uninominal</v>
          </cell>
          <cell r="L545" t="str">
            <v>-17.368127</v>
          </cell>
          <cell r="M545" t="str">
            <v>-66.081393</v>
          </cell>
          <cell r="N545" t="str">
            <v>Rural</v>
          </cell>
          <cell r="O545" t="str">
            <v>2319</v>
          </cell>
          <cell r="P545" t="str">
            <v>POINT (-66.081393 -17.368127)</v>
          </cell>
          <cell r="Q545">
            <v>1</v>
          </cell>
          <cell r="R545">
            <v>0.7831325301204819</v>
          </cell>
        </row>
        <row r="546">
          <cell r="A546">
            <v>2320</v>
          </cell>
          <cell r="B546" t="str">
            <v>U.E. Villa AnimasSacaba</v>
          </cell>
          <cell r="C546" t="str">
            <v>Cochabamba</v>
          </cell>
          <cell r="D546" t="str">
            <v>Chapare</v>
          </cell>
          <cell r="E546" t="str">
            <v>Sacaba</v>
          </cell>
          <cell r="F546" t="str">
            <v>Quintanilla</v>
          </cell>
          <cell r="G546" t="str">
            <v>U.E. Villa Animas</v>
          </cell>
          <cell r="H546" t="str">
            <v>Zona 4493</v>
          </cell>
          <cell r="I546" t="str">
            <v>Av. Circunvalación Km 4, al Norte OTB Arco Punku</v>
          </cell>
          <cell r="J546" t="str">
            <v>23</v>
          </cell>
          <cell r="K546" t="str">
            <v>Uninominal</v>
          </cell>
          <cell r="L546" t="str">
            <v>-17.365852</v>
          </cell>
          <cell r="M546" t="str">
            <v>-66.100472</v>
          </cell>
          <cell r="N546" t="str">
            <v>Urbano</v>
          </cell>
          <cell r="O546" t="str">
            <v>2320</v>
          </cell>
          <cell r="P546" t="str">
            <v>POINT (-66.100472 -17.365852)</v>
          </cell>
          <cell r="Q546">
            <v>1</v>
          </cell>
          <cell r="R546">
            <v>0.88148148148148153</v>
          </cell>
        </row>
        <row r="547">
          <cell r="A547">
            <v>2321</v>
          </cell>
          <cell r="B547" t="str">
            <v>Colegio Puerto MejillonesSacaba</v>
          </cell>
          <cell r="C547" t="str">
            <v>Cochabamba</v>
          </cell>
          <cell r="D547" t="str">
            <v>Chapare</v>
          </cell>
          <cell r="E547" t="str">
            <v>Sacaba</v>
          </cell>
          <cell r="F547" t="str">
            <v>Pacata</v>
          </cell>
          <cell r="G547" t="str">
            <v>Colegio Puerto Mejillones</v>
          </cell>
          <cell r="H547" t="str">
            <v>Zona 4494</v>
          </cell>
          <cell r="I547" t="str">
            <v>Jose Merida y Senobio Gallardo</v>
          </cell>
          <cell r="J547" t="str">
            <v>23</v>
          </cell>
          <cell r="K547" t="str">
            <v>Uninominal</v>
          </cell>
          <cell r="L547" t="str">
            <v>-17.3722</v>
          </cell>
          <cell r="M547" t="str">
            <v>-66.1301</v>
          </cell>
          <cell r="N547" t="str">
            <v>Urbano</v>
          </cell>
          <cell r="O547" t="str">
            <v>2321</v>
          </cell>
          <cell r="P547" t="str">
            <v>POINT (-66.1301 -17.3722)</v>
          </cell>
          <cell r="Q547">
            <v>17</v>
          </cell>
          <cell r="R547">
            <v>0.33791752392107738</v>
          </cell>
        </row>
        <row r="548">
          <cell r="A548">
            <v>2322</v>
          </cell>
          <cell r="B548" t="str">
            <v>Unidad Educativa Villa GracielaSacaba</v>
          </cell>
          <cell r="C548" t="str">
            <v>Cochabamba</v>
          </cell>
          <cell r="D548" t="str">
            <v>Chapare</v>
          </cell>
          <cell r="E548" t="str">
            <v>Sacaba</v>
          </cell>
          <cell r="F548" t="str">
            <v>Pacata</v>
          </cell>
          <cell r="G548" t="str">
            <v>Unidad Educativa Villa Graciela</v>
          </cell>
          <cell r="H548" t="str">
            <v>Zona 4494</v>
          </cell>
          <cell r="I548" t="str">
            <v>Jose Merida y Senobio Gallardo</v>
          </cell>
          <cell r="J548" t="str">
            <v>23</v>
          </cell>
          <cell r="K548" t="str">
            <v>Uninominal</v>
          </cell>
          <cell r="L548" t="str">
            <v>-17.3724</v>
          </cell>
          <cell r="M548" t="str">
            <v>-66.1309</v>
          </cell>
          <cell r="N548" t="str">
            <v>Urbano</v>
          </cell>
          <cell r="O548" t="str">
            <v>2322</v>
          </cell>
          <cell r="P548" t="str">
            <v>POINT (-66.1309 -17.3724)</v>
          </cell>
          <cell r="Q548">
            <v>13</v>
          </cell>
          <cell r="R548">
            <v>0.36915002319250095</v>
          </cell>
        </row>
        <row r="549">
          <cell r="A549">
            <v>2323</v>
          </cell>
          <cell r="B549" t="str">
            <v>Colegio Señor De MayoSacaba</v>
          </cell>
          <cell r="C549" t="str">
            <v>Cochabamba</v>
          </cell>
          <cell r="D549" t="str">
            <v>Chapare</v>
          </cell>
          <cell r="E549" t="str">
            <v>Sacaba</v>
          </cell>
          <cell r="F549" t="str">
            <v>Pacata</v>
          </cell>
          <cell r="G549" t="str">
            <v>Colegio Señor De Mayo</v>
          </cell>
          <cell r="H549" t="str">
            <v>Zona 4494</v>
          </cell>
          <cell r="I549" t="str">
            <v>Av. Circunvalacion Beijing y M. Castelu</v>
          </cell>
          <cell r="J549" t="str">
            <v>23</v>
          </cell>
          <cell r="K549" t="str">
            <v>Uninominal</v>
          </cell>
          <cell r="L549" t="str">
            <v>-17.3735</v>
          </cell>
          <cell r="M549" t="str">
            <v>-66.118</v>
          </cell>
          <cell r="N549" t="str">
            <v>Rural</v>
          </cell>
          <cell r="O549" t="str">
            <v>2323</v>
          </cell>
          <cell r="P549" t="str">
            <v>POINT (-66.118 -17.3735)</v>
          </cell>
          <cell r="Q549">
            <v>15</v>
          </cell>
          <cell r="R549">
            <v>0.34446461439674597</v>
          </cell>
        </row>
        <row r="550">
          <cell r="A550">
            <v>2324</v>
          </cell>
          <cell r="B550" t="str">
            <v>Unidad Educativa René Barrientos OrtuñoSacaba</v>
          </cell>
          <cell r="C550" t="str">
            <v>Cochabamba</v>
          </cell>
          <cell r="D550" t="str">
            <v>Chapare</v>
          </cell>
          <cell r="E550" t="str">
            <v>Sacaba</v>
          </cell>
          <cell r="F550" t="str">
            <v>Pacata</v>
          </cell>
          <cell r="G550" t="str">
            <v>Unidad Educativa René Barrientos Ortuño</v>
          </cell>
          <cell r="H550" t="str">
            <v>Zona 4494</v>
          </cell>
          <cell r="I550" t="str">
            <v>Giego Mosquera y Juan Sandoval</v>
          </cell>
          <cell r="J550" t="str">
            <v>23</v>
          </cell>
          <cell r="K550" t="str">
            <v>Uninominal</v>
          </cell>
          <cell r="L550" t="str">
            <v>-17.3767</v>
          </cell>
          <cell r="M550" t="str">
            <v>-66.119</v>
          </cell>
          <cell r="N550" t="str">
            <v>Rural</v>
          </cell>
          <cell r="O550" t="str">
            <v>2324</v>
          </cell>
          <cell r="P550" t="str">
            <v>POINT (-66.119 -17.3767)</v>
          </cell>
          <cell r="Q550">
            <v>8</v>
          </cell>
          <cell r="R550">
            <v>0.36273274364959679</v>
          </cell>
        </row>
        <row r="551">
          <cell r="A551">
            <v>2325</v>
          </cell>
          <cell r="B551" t="str">
            <v>U.E. Marcelo Quiroga Santa Cruz (Pacata)Sacaba</v>
          </cell>
          <cell r="C551" t="str">
            <v>Cochabamba</v>
          </cell>
          <cell r="D551" t="str">
            <v>Chapare</v>
          </cell>
          <cell r="E551" t="str">
            <v>Sacaba</v>
          </cell>
          <cell r="F551" t="str">
            <v>Pacata</v>
          </cell>
          <cell r="G551" t="str">
            <v>U.E. Marcelo Quiroga Santa Cruz (Pacata)</v>
          </cell>
          <cell r="H551" t="str">
            <v>Zona 4494</v>
          </cell>
          <cell r="I551" t="str">
            <v>Diego Mosquera y Julian Quiroga</v>
          </cell>
          <cell r="J551" t="str">
            <v>23</v>
          </cell>
          <cell r="K551" t="str">
            <v>Uninominal</v>
          </cell>
          <cell r="L551" t="str">
            <v>-17.3762</v>
          </cell>
          <cell r="M551" t="str">
            <v>-66.1184</v>
          </cell>
          <cell r="N551" t="str">
            <v>Rural</v>
          </cell>
          <cell r="O551" t="str">
            <v>2325</v>
          </cell>
          <cell r="P551" t="str">
            <v>POINT (-66.1184 -17.3762)</v>
          </cell>
          <cell r="Q551">
            <v>14</v>
          </cell>
          <cell r="R551">
            <v>0.31697612618935095</v>
          </cell>
        </row>
        <row r="552">
          <cell r="A552">
            <v>2326</v>
          </cell>
          <cell r="B552" t="str">
            <v>Unidad Educativa Edmundo BojanowskiSacaba</v>
          </cell>
          <cell r="C552" t="str">
            <v>Cochabamba</v>
          </cell>
          <cell r="D552" t="str">
            <v>Chapare</v>
          </cell>
          <cell r="E552" t="str">
            <v>Sacaba</v>
          </cell>
          <cell r="F552" t="str">
            <v>Pacata</v>
          </cell>
          <cell r="G552" t="str">
            <v>Unidad Educativa Edmundo Bojanowski</v>
          </cell>
          <cell r="H552" t="str">
            <v>Zona 4494</v>
          </cell>
          <cell r="I552" t="str">
            <v>Final Calle 4 y Pasage Hermana Joela</v>
          </cell>
          <cell r="J552" t="str">
            <v>23</v>
          </cell>
          <cell r="K552" t="str">
            <v>Uninominal</v>
          </cell>
          <cell r="L552" t="str">
            <v>-17.3707</v>
          </cell>
          <cell r="M552" t="str">
            <v>-66.1239</v>
          </cell>
          <cell r="N552" t="str">
            <v>Rural</v>
          </cell>
          <cell r="O552" t="str">
            <v>2326</v>
          </cell>
          <cell r="P552" t="str">
            <v>POINT (-66.1239 -17.3707)</v>
          </cell>
          <cell r="Q552">
            <v>11</v>
          </cell>
          <cell r="R552">
            <v>0.33619209489124052</v>
          </cell>
        </row>
        <row r="553">
          <cell r="A553">
            <v>2327</v>
          </cell>
          <cell r="B553" t="str">
            <v>Colegio Boliviano JaponesSacaba</v>
          </cell>
          <cell r="C553" t="str">
            <v>Cochabamba</v>
          </cell>
          <cell r="D553" t="str">
            <v>Chapare</v>
          </cell>
          <cell r="E553" t="str">
            <v>Sacaba</v>
          </cell>
          <cell r="F553" t="str">
            <v>Puntiti</v>
          </cell>
          <cell r="G553" t="str">
            <v>Colegio Boliviano Japones</v>
          </cell>
          <cell r="H553" t="str">
            <v>Zona 4493</v>
          </cell>
          <cell r="I553" t="str">
            <v>Puntiti</v>
          </cell>
          <cell r="J553" t="str">
            <v>23</v>
          </cell>
          <cell r="K553" t="str">
            <v>Uninominal</v>
          </cell>
          <cell r="L553" t="str">
            <v>-17.3792</v>
          </cell>
          <cell r="M553" t="str">
            <v>-66.0935</v>
          </cell>
          <cell r="N553" t="str">
            <v>Rural</v>
          </cell>
          <cell r="O553" t="str">
            <v>2327</v>
          </cell>
          <cell r="P553" t="str">
            <v>POINT (-66.0935 -17.3792)</v>
          </cell>
          <cell r="Q553">
            <v>40</v>
          </cell>
          <cell r="R553">
            <v>0.37808878456975298</v>
          </cell>
        </row>
        <row r="554">
          <cell r="A554">
            <v>2328</v>
          </cell>
          <cell r="B554" t="str">
            <v>Escuela GuadalupeSacaba</v>
          </cell>
          <cell r="C554" t="str">
            <v>Cochabamba</v>
          </cell>
          <cell r="D554" t="str">
            <v>Chapare</v>
          </cell>
          <cell r="E554" t="str">
            <v>Sacaba</v>
          </cell>
          <cell r="F554" t="str">
            <v>Esmeralda</v>
          </cell>
          <cell r="G554" t="str">
            <v>Escuela Guadalupe</v>
          </cell>
          <cell r="H554" t="str">
            <v>Zona 4492</v>
          </cell>
          <cell r="I554" t="str">
            <v>Guadalupe</v>
          </cell>
          <cell r="J554" t="str">
            <v>23</v>
          </cell>
          <cell r="K554" t="str">
            <v>Uninominal</v>
          </cell>
          <cell r="L554" t="str">
            <v>-17.3837</v>
          </cell>
          <cell r="M554" t="str">
            <v>-66.077</v>
          </cell>
          <cell r="N554" t="str">
            <v>Rural</v>
          </cell>
          <cell r="O554" t="str">
            <v>2328</v>
          </cell>
          <cell r="P554" t="str">
            <v>POINT (-66.077 -17.3837)</v>
          </cell>
          <cell r="Q554">
            <v>29</v>
          </cell>
          <cell r="R554">
            <v>0.47981077985257736</v>
          </cell>
        </row>
        <row r="555">
          <cell r="A555">
            <v>2329</v>
          </cell>
          <cell r="B555" t="str">
            <v>Unidad Educativa Hernán Rivero FioriloSacaba</v>
          </cell>
          <cell r="C555" t="str">
            <v>Cochabamba</v>
          </cell>
          <cell r="D555" t="str">
            <v>Chapare</v>
          </cell>
          <cell r="E555" t="str">
            <v>Sacaba</v>
          </cell>
          <cell r="F555" t="str">
            <v>Esmeralda</v>
          </cell>
          <cell r="G555" t="str">
            <v>Unidad Educativa Hernán Rivero Fiorilo</v>
          </cell>
          <cell r="H555" t="str">
            <v>Zona 4492</v>
          </cell>
          <cell r="I555" t="str">
            <v>Av. Chapare y Av. Octava</v>
          </cell>
          <cell r="J555" t="str">
            <v>23</v>
          </cell>
          <cell r="K555" t="str">
            <v>Uninominal</v>
          </cell>
          <cell r="L555" t="str">
            <v>-17.404</v>
          </cell>
          <cell r="M555" t="str">
            <v>-66.0792</v>
          </cell>
          <cell r="N555" t="str">
            <v>Urbano</v>
          </cell>
          <cell r="O555" t="str">
            <v>2329</v>
          </cell>
          <cell r="P555" t="str">
            <v>POINT (-66.0792 -17.404)</v>
          </cell>
          <cell r="Q555">
            <v>15</v>
          </cell>
          <cell r="R555">
            <v>0.67364867125243821</v>
          </cell>
        </row>
        <row r="556">
          <cell r="A556">
            <v>2330</v>
          </cell>
          <cell r="B556" t="str">
            <v>Unidad Educativa CeilabSacaba</v>
          </cell>
          <cell r="C556" t="str">
            <v>Cochabamba</v>
          </cell>
          <cell r="D556" t="str">
            <v>Chapare</v>
          </cell>
          <cell r="E556" t="str">
            <v>Sacaba</v>
          </cell>
          <cell r="F556" t="str">
            <v>Esmeralda</v>
          </cell>
          <cell r="G556" t="str">
            <v>Unidad Educativa Ceilab</v>
          </cell>
          <cell r="H556" t="str">
            <v>Zona 4492</v>
          </cell>
          <cell r="I556" t="str">
            <v>Urb. Lab, Zona Inkarancho</v>
          </cell>
          <cell r="J556" t="str">
            <v>23</v>
          </cell>
          <cell r="K556" t="str">
            <v>Uninominal</v>
          </cell>
          <cell r="L556" t="str">
            <v>-17.3894</v>
          </cell>
          <cell r="M556" t="str">
            <v>-66.073</v>
          </cell>
          <cell r="N556" t="str">
            <v>Urbano</v>
          </cell>
          <cell r="O556" t="str">
            <v>2330</v>
          </cell>
          <cell r="P556" t="str">
            <v>POINT (-66.073 -17.3894)</v>
          </cell>
          <cell r="Q556">
            <v>8</v>
          </cell>
          <cell r="R556">
            <v>0.41175371188639825</v>
          </cell>
        </row>
        <row r="557">
          <cell r="A557">
            <v>2331</v>
          </cell>
          <cell r="B557" t="str">
            <v>U.E. Mariscal Antonio Jose de SucreSacaba</v>
          </cell>
          <cell r="C557" t="str">
            <v>Cochabamba</v>
          </cell>
          <cell r="D557" t="str">
            <v>Chapare</v>
          </cell>
          <cell r="E557" t="str">
            <v>Sacaba</v>
          </cell>
          <cell r="F557" t="str">
            <v>Esmeralda</v>
          </cell>
          <cell r="G557" t="str">
            <v>U.E. Mariscal Antonio Jose de Sucre</v>
          </cell>
          <cell r="H557" t="str">
            <v>Zona 4492</v>
          </cell>
          <cell r="I557" t="str">
            <v>Av.Chapare Km 9,5 OTB Inca Rancho</v>
          </cell>
          <cell r="J557" t="str">
            <v>23</v>
          </cell>
          <cell r="K557" t="str">
            <v>Uninominal</v>
          </cell>
          <cell r="L557" t="str">
            <v>-17.393433</v>
          </cell>
          <cell r="M557" t="str">
            <v>-66.073949</v>
          </cell>
          <cell r="N557" t="str">
            <v>Rural</v>
          </cell>
          <cell r="O557" t="str">
            <v>2331</v>
          </cell>
          <cell r="P557" t="str">
            <v>POINT (-66.073949 -17.393433)</v>
          </cell>
          <cell r="Q557">
            <v>1</v>
          </cell>
          <cell r="R557" t="str">
            <v>Sin Info</v>
          </cell>
        </row>
        <row r="558">
          <cell r="A558">
            <v>2332</v>
          </cell>
          <cell r="B558" t="str">
            <v>Escuela Carlos Peredo SandovalSacaba</v>
          </cell>
          <cell r="C558" t="str">
            <v>Cochabamba</v>
          </cell>
          <cell r="D558" t="str">
            <v>Chapare</v>
          </cell>
          <cell r="E558" t="str">
            <v>Sacaba</v>
          </cell>
          <cell r="F558" t="str">
            <v>Huayllani</v>
          </cell>
          <cell r="G558" t="str">
            <v>Escuela Carlos Peredo Sandoval</v>
          </cell>
          <cell r="H558" t="str">
            <v>Zona 4492</v>
          </cell>
          <cell r="I558" t="str">
            <v>Antes de Llegar a La Tranca Huayllani</v>
          </cell>
          <cell r="J558" t="str">
            <v>23</v>
          </cell>
          <cell r="K558" t="str">
            <v>Uninominal</v>
          </cell>
          <cell r="L558" t="str">
            <v>-17.3939</v>
          </cell>
          <cell r="M558" t="str">
            <v>-66.0591</v>
          </cell>
          <cell r="N558" t="str">
            <v>Urbano</v>
          </cell>
          <cell r="O558" t="str">
            <v>2332</v>
          </cell>
          <cell r="P558" t="str">
            <v>POINT (-66.0591 -17.3939)</v>
          </cell>
          <cell r="Q558">
            <v>40</v>
          </cell>
          <cell r="R558">
            <v>0.69099649877053293</v>
          </cell>
        </row>
        <row r="559">
          <cell r="A559">
            <v>2333</v>
          </cell>
          <cell r="B559" t="str">
            <v>Unidad Educativa LaratiSacaba</v>
          </cell>
          <cell r="C559" t="str">
            <v>Cochabamba</v>
          </cell>
          <cell r="D559" t="str">
            <v>Chapare</v>
          </cell>
          <cell r="E559" t="str">
            <v>Sacaba</v>
          </cell>
          <cell r="F559" t="str">
            <v>Larati</v>
          </cell>
          <cell r="G559" t="str">
            <v>Unidad Educativa Larati</v>
          </cell>
          <cell r="H559" t="str">
            <v>Zona 4498</v>
          </cell>
          <cell r="I559" t="str">
            <v>Larati</v>
          </cell>
          <cell r="J559" t="str">
            <v>23</v>
          </cell>
          <cell r="K559" t="str">
            <v>Uninominal</v>
          </cell>
          <cell r="L559" t="str">
            <v>-17.3438</v>
          </cell>
          <cell r="M559" t="str">
            <v>-66.0126</v>
          </cell>
          <cell r="N559" t="str">
            <v>Rural</v>
          </cell>
          <cell r="O559" t="str">
            <v>2333</v>
          </cell>
          <cell r="P559" t="str">
            <v>POINT (-66.0126 -17.3438)</v>
          </cell>
          <cell r="Q559">
            <v>4</v>
          </cell>
          <cell r="R559">
            <v>0.98475512903206841</v>
          </cell>
        </row>
        <row r="560">
          <cell r="A560">
            <v>2334</v>
          </cell>
          <cell r="B560" t="str">
            <v>Escuela 6 de Junio   TacopocaSacaba</v>
          </cell>
          <cell r="C560" t="str">
            <v>Cochabamba</v>
          </cell>
          <cell r="D560" t="str">
            <v>Chapare</v>
          </cell>
          <cell r="E560" t="str">
            <v>Sacaba</v>
          </cell>
          <cell r="F560" t="str">
            <v>Lava Lava</v>
          </cell>
          <cell r="G560" t="str">
            <v>Escuela 6 de Junio   Tacopoca</v>
          </cell>
          <cell r="H560" t="str">
            <v>Zona 4488</v>
          </cell>
          <cell r="I560" t="str">
            <v>Lava Lava</v>
          </cell>
          <cell r="J560" t="str">
            <v>23</v>
          </cell>
          <cell r="K560" t="str">
            <v>Uninominal</v>
          </cell>
          <cell r="L560" t="str">
            <v>-17.4119</v>
          </cell>
          <cell r="M560" t="str">
            <v>-66.0266</v>
          </cell>
          <cell r="N560" t="str">
            <v>Rural</v>
          </cell>
          <cell r="O560" t="str">
            <v>2334</v>
          </cell>
          <cell r="P560" t="str">
            <v>POINT (-66.0266 -17.4119)</v>
          </cell>
          <cell r="Q560">
            <v>14</v>
          </cell>
          <cell r="R560" t="str">
            <v>Sin Info</v>
          </cell>
        </row>
        <row r="561">
          <cell r="A561">
            <v>2335</v>
          </cell>
          <cell r="B561" t="str">
            <v>U.E. Hugo Chavez FriasSacaba</v>
          </cell>
          <cell r="C561" t="str">
            <v>Cochabamba</v>
          </cell>
          <cell r="D561" t="str">
            <v>Chapare</v>
          </cell>
          <cell r="E561" t="str">
            <v>Sacaba</v>
          </cell>
          <cell r="F561" t="str">
            <v>Lava Lava</v>
          </cell>
          <cell r="G561" t="str">
            <v>U.E. Hugo Chavez Frias</v>
          </cell>
          <cell r="H561" t="str">
            <v>Zona 4488</v>
          </cell>
          <cell r="I561" t="str">
            <v>Zona OTB Bonanza, en la paralela de la Av. Sucre</v>
          </cell>
          <cell r="J561" t="str">
            <v>23</v>
          </cell>
          <cell r="K561" t="str">
            <v>Uninominal</v>
          </cell>
          <cell r="L561" t="str">
            <v>-17.422291</v>
          </cell>
          <cell r="M561" t="str">
            <v>-65.997035</v>
          </cell>
          <cell r="N561" t="str">
            <v>Urbano</v>
          </cell>
          <cell r="O561" t="str">
            <v>2335</v>
          </cell>
          <cell r="P561" t="str">
            <v>POINT (-65.997035 -17.422291)</v>
          </cell>
          <cell r="Q561">
            <v>9</v>
          </cell>
          <cell r="R561">
            <v>0.89852208735514882</v>
          </cell>
        </row>
        <row r="562">
          <cell r="A562">
            <v>2336</v>
          </cell>
          <cell r="B562" t="str">
            <v>U. E. PlurinacionalSacaba</v>
          </cell>
          <cell r="C562" t="str">
            <v>Cochabamba</v>
          </cell>
          <cell r="D562" t="str">
            <v>Chapare</v>
          </cell>
          <cell r="E562" t="str">
            <v>Sacaba</v>
          </cell>
          <cell r="F562" t="str">
            <v>Lava Lava</v>
          </cell>
          <cell r="G562" t="str">
            <v>U. E. Plurinacional</v>
          </cell>
          <cell r="H562" t="str">
            <v>Zona 4488</v>
          </cell>
          <cell r="I562" t="str">
            <v>Calle Litoral Nº 7, Zona Buena Vista Baja, Camino Laphia</v>
          </cell>
          <cell r="J562" t="str">
            <v>23</v>
          </cell>
          <cell r="K562" t="str">
            <v>Uninominal</v>
          </cell>
          <cell r="L562" t="str">
            <v>-17.441158</v>
          </cell>
          <cell r="M562" t="str">
            <v>-66.018051</v>
          </cell>
          <cell r="N562" t="str">
            <v>Urbano</v>
          </cell>
          <cell r="O562" t="str">
            <v>2336</v>
          </cell>
          <cell r="P562" t="str">
            <v>POINT (-66.018051 -17.441158)</v>
          </cell>
          <cell r="Q562">
            <v>3</v>
          </cell>
          <cell r="R562">
            <v>0.90587875611460511</v>
          </cell>
        </row>
        <row r="563">
          <cell r="A563">
            <v>2337</v>
          </cell>
          <cell r="B563" t="str">
            <v>Unidad Educativa PampillaSacaba</v>
          </cell>
          <cell r="C563" t="str">
            <v>Cochabamba</v>
          </cell>
          <cell r="D563" t="str">
            <v>Chapare</v>
          </cell>
          <cell r="E563" t="str">
            <v>Sacaba</v>
          </cell>
          <cell r="F563" t="str">
            <v>Palca</v>
          </cell>
          <cell r="G563" t="str">
            <v>Unidad Educativa Pampilla</v>
          </cell>
          <cell r="H563" t="str">
            <v>Zona 4499</v>
          </cell>
          <cell r="I563" t="str">
            <v>Comunidad Palca, camino Sacaba-Palca</v>
          </cell>
          <cell r="J563" t="str">
            <v>23</v>
          </cell>
          <cell r="K563" t="str">
            <v>Uninominal</v>
          </cell>
          <cell r="L563" t="str">
            <v>-17.1892</v>
          </cell>
          <cell r="M563" t="str">
            <v>-66.0752</v>
          </cell>
          <cell r="N563" t="str">
            <v>Urbano</v>
          </cell>
          <cell r="O563" t="str">
            <v>2337</v>
          </cell>
          <cell r="P563" t="str">
            <v>POINT (-66.0752 -17.1892)</v>
          </cell>
          <cell r="Q563">
            <v>10</v>
          </cell>
          <cell r="R563">
            <v>0.95643607455787927</v>
          </cell>
        </row>
        <row r="564">
          <cell r="A564">
            <v>2338</v>
          </cell>
          <cell r="B564" t="str">
            <v>Colegio Franz Tamayo (Chiñata)Sacaba</v>
          </cell>
          <cell r="C564" t="str">
            <v>Cochabamba</v>
          </cell>
          <cell r="D564" t="str">
            <v>Chapare</v>
          </cell>
          <cell r="E564" t="str">
            <v>Sacaba</v>
          </cell>
          <cell r="F564" t="str">
            <v>Chiñata</v>
          </cell>
          <cell r="G564" t="str">
            <v>Colegio Franz Tamayo (Chiñata)</v>
          </cell>
          <cell r="H564" t="str">
            <v>Zona 4488</v>
          </cell>
          <cell r="I564" t="str">
            <v>Chiñata</v>
          </cell>
          <cell r="J564" t="str">
            <v>23</v>
          </cell>
          <cell r="K564" t="str">
            <v>Uninominal</v>
          </cell>
          <cell r="L564" t="str">
            <v>-17.4305</v>
          </cell>
          <cell r="M564" t="str">
            <v>-65.9809</v>
          </cell>
          <cell r="N564" t="str">
            <v>Urbano</v>
          </cell>
          <cell r="O564" t="str">
            <v>2338</v>
          </cell>
          <cell r="P564" t="str">
            <v>POINT (-65.9809 -17.4305)</v>
          </cell>
          <cell r="Q564">
            <v>20</v>
          </cell>
          <cell r="R564">
            <v>0.83418075273733738</v>
          </cell>
        </row>
        <row r="565">
          <cell r="A565">
            <v>2339</v>
          </cell>
          <cell r="B565" t="str">
            <v>U.E. Franz FamayoSacaba</v>
          </cell>
          <cell r="C565" t="str">
            <v>Cochabamba</v>
          </cell>
          <cell r="D565" t="str">
            <v>Chapare</v>
          </cell>
          <cell r="E565" t="str">
            <v>Sacaba</v>
          </cell>
          <cell r="F565" t="str">
            <v>Chiñata</v>
          </cell>
          <cell r="G565" t="str">
            <v>U.E. Franz Famayo</v>
          </cell>
          <cell r="H565" t="str">
            <v>Zona 4496</v>
          </cell>
          <cell r="I565" t="str">
            <v>Chiñata</v>
          </cell>
          <cell r="J565" t="str">
            <v>23</v>
          </cell>
          <cell r="K565" t="str">
            <v>Uninominal</v>
          </cell>
          <cell r="L565" t="str">
            <v>-17.401799</v>
          </cell>
          <cell r="M565" t="str">
            <v>-65.98115</v>
          </cell>
          <cell r="N565" t="str">
            <v>Urbano</v>
          </cell>
          <cell r="O565" t="str">
            <v>2339</v>
          </cell>
          <cell r="P565" t="str">
            <v>POINT (-65.98115 -17.401799)</v>
          </cell>
          <cell r="Q565">
            <v>1</v>
          </cell>
          <cell r="R565" t="str">
            <v>Sin Info</v>
          </cell>
        </row>
        <row r="566">
          <cell r="A566">
            <v>2340</v>
          </cell>
          <cell r="B566" t="str">
            <v>Escuela Rene Barrientos Ortuño (Ucuchi)Sacaba</v>
          </cell>
          <cell r="C566" t="str">
            <v>Cochabamba</v>
          </cell>
          <cell r="D566" t="str">
            <v>Chapare</v>
          </cell>
          <cell r="E566" t="str">
            <v>Sacaba</v>
          </cell>
          <cell r="F566" t="str">
            <v>Ucuchi</v>
          </cell>
          <cell r="G566" t="str">
            <v>Escuela Rene Barrientos Ortuño (Ucuchi)</v>
          </cell>
          <cell r="H566" t="str">
            <v>Zona 4495</v>
          </cell>
          <cell r="I566" t="str">
            <v>Ucuchi</v>
          </cell>
          <cell r="J566" t="str">
            <v>23</v>
          </cell>
          <cell r="K566" t="str">
            <v>Uninominal</v>
          </cell>
          <cell r="L566" t="str">
            <v>-17.415</v>
          </cell>
          <cell r="M566" t="str">
            <v>-65.9234</v>
          </cell>
          <cell r="N566" t="str">
            <v>Rural</v>
          </cell>
          <cell r="O566" t="str">
            <v>2340</v>
          </cell>
          <cell r="P566" t="str">
            <v>POINT (-65.9234 -17.415)</v>
          </cell>
          <cell r="Q566">
            <v>3</v>
          </cell>
          <cell r="R566">
            <v>0.89526431091384995</v>
          </cell>
        </row>
        <row r="567">
          <cell r="A567">
            <v>2341</v>
          </cell>
          <cell r="B567" t="str">
            <v>Colegio Rene Fernandez BecerraSacaba</v>
          </cell>
          <cell r="C567" t="str">
            <v>Cochabamba</v>
          </cell>
          <cell r="D567" t="str">
            <v>Chapare</v>
          </cell>
          <cell r="E567" t="str">
            <v>Sacaba</v>
          </cell>
          <cell r="F567" t="str">
            <v>Melga</v>
          </cell>
          <cell r="G567" t="str">
            <v>Colegio Rene Fernandez Becerra</v>
          </cell>
          <cell r="H567" t="str">
            <v>Zona 4495</v>
          </cell>
          <cell r="I567" t="str">
            <v>Camino a Santa Cruz y Melga</v>
          </cell>
          <cell r="J567" t="str">
            <v>23</v>
          </cell>
          <cell r="K567" t="str">
            <v>Uninominal</v>
          </cell>
          <cell r="L567" t="str">
            <v>-17.4262</v>
          </cell>
          <cell r="M567" t="str">
            <v>-65.9148</v>
          </cell>
          <cell r="N567" t="str">
            <v>Rural</v>
          </cell>
          <cell r="O567" t="str">
            <v>2341</v>
          </cell>
          <cell r="P567" t="str">
            <v>POINT (-65.9148 -17.4262)</v>
          </cell>
          <cell r="Q567">
            <v>5</v>
          </cell>
          <cell r="R567">
            <v>0.94540842901984201</v>
          </cell>
        </row>
        <row r="568">
          <cell r="A568">
            <v>2342</v>
          </cell>
          <cell r="B568" t="str">
            <v>Colegio Nataniel AguirreSacaba</v>
          </cell>
          <cell r="C568" t="str">
            <v>Cochabamba</v>
          </cell>
          <cell r="D568" t="str">
            <v>Chapare</v>
          </cell>
          <cell r="E568" t="str">
            <v>Sacaba</v>
          </cell>
          <cell r="F568" t="str">
            <v>Aguirre</v>
          </cell>
          <cell r="G568" t="str">
            <v>Colegio Nataniel Aguirre</v>
          </cell>
          <cell r="H568" t="str">
            <v>Zona 4497</v>
          </cell>
          <cell r="I568" t="str">
            <v>Aguirre</v>
          </cell>
          <cell r="J568" t="str">
            <v>23</v>
          </cell>
          <cell r="K568" t="str">
            <v>Uninominal</v>
          </cell>
          <cell r="L568" t="str">
            <v>-17.3727</v>
          </cell>
          <cell r="M568" t="str">
            <v>-65.83</v>
          </cell>
          <cell r="N568" t="str">
            <v>Rural</v>
          </cell>
          <cell r="O568" t="str">
            <v>2342</v>
          </cell>
          <cell r="P568" t="str">
            <v>POINT (-65.83 -17.3727)</v>
          </cell>
          <cell r="Q568">
            <v>7</v>
          </cell>
          <cell r="R568">
            <v>0.96891108743978316</v>
          </cell>
        </row>
        <row r="569">
          <cell r="A569">
            <v>2343</v>
          </cell>
          <cell r="B569" t="str">
            <v>Escuela CopacabanaSacaba</v>
          </cell>
          <cell r="C569" t="str">
            <v>Cochabamba</v>
          </cell>
          <cell r="D569" t="str">
            <v>Chapare</v>
          </cell>
          <cell r="E569" t="str">
            <v>Sacaba</v>
          </cell>
          <cell r="F569" t="str">
            <v>Chacacollo</v>
          </cell>
          <cell r="G569" t="str">
            <v>Escuela Copacabana</v>
          </cell>
          <cell r="H569" t="str">
            <v>Zona 4493</v>
          </cell>
          <cell r="I569" t="str">
            <v>Chacacollo</v>
          </cell>
          <cell r="J569" t="str">
            <v>23</v>
          </cell>
          <cell r="K569" t="str">
            <v>Uninominal</v>
          </cell>
          <cell r="L569" t="str">
            <v>-17.3915</v>
          </cell>
          <cell r="M569" t="str">
            <v>-66.0975</v>
          </cell>
          <cell r="N569" t="str">
            <v>Rural</v>
          </cell>
          <cell r="O569" t="str">
            <v>2343</v>
          </cell>
          <cell r="P569" t="str">
            <v>POINT (-66.0975 -17.3915)</v>
          </cell>
          <cell r="Q569">
            <v>19</v>
          </cell>
          <cell r="R569">
            <v>0.47726303708869822</v>
          </cell>
        </row>
        <row r="570">
          <cell r="A570">
            <v>2344</v>
          </cell>
          <cell r="B570" t="str">
            <v>U.E. Nuevo AmanecerSacaba</v>
          </cell>
          <cell r="C570" t="str">
            <v>Cochabamba</v>
          </cell>
          <cell r="D570" t="str">
            <v>Chapare</v>
          </cell>
          <cell r="E570" t="str">
            <v>Sacaba</v>
          </cell>
          <cell r="F570" t="str">
            <v>Korihuma</v>
          </cell>
          <cell r="G570" t="str">
            <v>U.E. Nuevo Amanecer</v>
          </cell>
          <cell r="H570" t="str">
            <v>Zona 4488</v>
          </cell>
          <cell r="I570" t="str">
            <v>Comunidad Korihuma</v>
          </cell>
          <cell r="J570" t="str">
            <v>23</v>
          </cell>
          <cell r="K570" t="str">
            <v>Uninominal</v>
          </cell>
          <cell r="L570" t="str">
            <v>-17.4529</v>
          </cell>
          <cell r="M570" t="str">
            <v>-66.0347</v>
          </cell>
          <cell r="N570" t="str">
            <v>Urbano</v>
          </cell>
          <cell r="O570" t="str">
            <v>2344</v>
          </cell>
          <cell r="P570" t="str">
            <v>POINT (-66.0347 -17.4529)</v>
          </cell>
          <cell r="Q570">
            <v>7</v>
          </cell>
          <cell r="R570">
            <v>0.91263582675413224</v>
          </cell>
        </row>
        <row r="571">
          <cell r="A571">
            <v>2345</v>
          </cell>
          <cell r="B571" t="str">
            <v>U.E. TutimayuSacaba</v>
          </cell>
          <cell r="C571" t="str">
            <v>Cochabamba</v>
          </cell>
          <cell r="D571" t="str">
            <v>Chapare</v>
          </cell>
          <cell r="E571" t="str">
            <v>Sacaba</v>
          </cell>
          <cell r="F571" t="str">
            <v>Tutimayu</v>
          </cell>
          <cell r="G571" t="str">
            <v>U.E. Tutimayu</v>
          </cell>
          <cell r="H571" t="str">
            <v>Zona 4495</v>
          </cell>
          <cell r="I571" t="str">
            <v>Comunidad Tutimayu</v>
          </cell>
          <cell r="J571" t="str">
            <v>23</v>
          </cell>
          <cell r="K571" t="str">
            <v>Uninominal</v>
          </cell>
          <cell r="L571" t="str">
            <v>-17.4168</v>
          </cell>
          <cell r="M571" t="str">
            <v>-65.9518</v>
          </cell>
          <cell r="N571" t="str">
            <v>Rural</v>
          </cell>
          <cell r="O571" t="str">
            <v>2345</v>
          </cell>
          <cell r="P571" t="str">
            <v>POINT (-65.9518 -17.4168)</v>
          </cell>
          <cell r="Q571">
            <v>5</v>
          </cell>
          <cell r="R571">
            <v>0.83869119732017083</v>
          </cell>
        </row>
        <row r="572">
          <cell r="A572">
            <v>2346</v>
          </cell>
          <cell r="B572" t="str">
            <v>U.E. Emiliano VillazónSacaba</v>
          </cell>
          <cell r="C572" t="str">
            <v>Cochabamba</v>
          </cell>
          <cell r="D572" t="str">
            <v>Chapare</v>
          </cell>
          <cell r="E572" t="str">
            <v>Sacaba</v>
          </cell>
          <cell r="F572" t="str">
            <v>Tacolama Alta</v>
          </cell>
          <cell r="G572" t="str">
            <v>U.E. Emiliano Villazón</v>
          </cell>
          <cell r="H572" t="str">
            <v>Zona 4491</v>
          </cell>
          <cell r="I572" t="str">
            <v>Comunidad Tacolama Alta, Av. Monseñor Alcocer Norte</v>
          </cell>
          <cell r="J572" t="str">
            <v>23</v>
          </cell>
          <cell r="K572" t="str">
            <v>Uninominal</v>
          </cell>
          <cell r="L572" t="str">
            <v>-17.388623</v>
          </cell>
          <cell r="M572" t="str">
            <v>-66.03288</v>
          </cell>
          <cell r="N572" t="str">
            <v>Urbano</v>
          </cell>
          <cell r="O572" t="str">
            <v>2346</v>
          </cell>
          <cell r="P572" t="str">
            <v>POINT (-66.03288 -17.388623)</v>
          </cell>
          <cell r="Q572">
            <v>4</v>
          </cell>
          <cell r="R572">
            <v>0.88541261047588715</v>
          </cell>
        </row>
        <row r="573">
          <cell r="A573">
            <v>2347</v>
          </cell>
          <cell r="B573" t="str">
            <v>U.E. 2 de AgostoSacaba</v>
          </cell>
          <cell r="C573" t="str">
            <v>Cochabamba</v>
          </cell>
          <cell r="D573" t="str">
            <v>Chapare</v>
          </cell>
          <cell r="E573" t="str">
            <v>Sacaba</v>
          </cell>
          <cell r="F573" t="str">
            <v>Sapanani</v>
          </cell>
          <cell r="G573" t="str">
            <v>U.E. 2 de Agosto</v>
          </cell>
          <cell r="H573" t="str">
            <v>Zona 4498</v>
          </cell>
          <cell r="I573" t="str">
            <v>Sindicato Sapanani, Al norte del Municipio Sacaba</v>
          </cell>
          <cell r="J573" t="str">
            <v>23</v>
          </cell>
          <cell r="K573" t="str">
            <v>Uninominal</v>
          </cell>
          <cell r="L573" t="str">
            <v>-17.341328</v>
          </cell>
          <cell r="M573" t="str">
            <v>-66.055795</v>
          </cell>
          <cell r="N573" t="str">
            <v>Urbano</v>
          </cell>
          <cell r="O573" t="str">
            <v>2347</v>
          </cell>
          <cell r="P573" t="str">
            <v>POINT (-66.055795 -17.341328)</v>
          </cell>
          <cell r="Q573">
            <v>2</v>
          </cell>
          <cell r="R573">
            <v>0.93254514746004935</v>
          </cell>
        </row>
        <row r="574">
          <cell r="A574">
            <v>2348</v>
          </cell>
          <cell r="B574" t="str">
            <v>U. E. ChallviriSacaba</v>
          </cell>
          <cell r="C574" t="str">
            <v>Cochabamba</v>
          </cell>
          <cell r="D574" t="str">
            <v>Chapare</v>
          </cell>
          <cell r="E574" t="str">
            <v>Sacaba</v>
          </cell>
          <cell r="F574" t="str">
            <v>Challviri</v>
          </cell>
          <cell r="G574" t="str">
            <v>U. E. Challviri</v>
          </cell>
          <cell r="H574" t="str">
            <v>Zona 4514</v>
          </cell>
          <cell r="I574" t="str">
            <v>Comunidad Challviri - Al norte del municipio de Sacaba</v>
          </cell>
          <cell r="J574" t="str">
            <v>23</v>
          </cell>
          <cell r="K574" t="str">
            <v>Uninominal</v>
          </cell>
          <cell r="L574" t="str">
            <v>-17.132403</v>
          </cell>
          <cell r="M574" t="str">
            <v>-66.10763</v>
          </cell>
          <cell r="N574" t="str">
            <v>Rural</v>
          </cell>
          <cell r="O574" t="str">
            <v>2348</v>
          </cell>
          <cell r="P574" t="str">
            <v>POINT (-66.10763 -17.132403)</v>
          </cell>
          <cell r="Q574">
            <v>3</v>
          </cell>
          <cell r="R574">
            <v>0.96167723749119105</v>
          </cell>
        </row>
        <row r="575">
          <cell r="A575">
            <v>2349</v>
          </cell>
          <cell r="B575" t="str">
            <v>U.E. Samuel Fina SavioColomi</v>
          </cell>
          <cell r="C575" t="str">
            <v>Cochabamba</v>
          </cell>
          <cell r="D575" t="str">
            <v>Chapare</v>
          </cell>
          <cell r="E575" t="str">
            <v>Colomi</v>
          </cell>
          <cell r="F575" t="str">
            <v>Colomi</v>
          </cell>
          <cell r="G575" t="str">
            <v>U.E. Samuel Fina Savio</v>
          </cell>
          <cell r="H575" t="str">
            <v>Zona 4501</v>
          </cell>
          <cell r="I575" t="str">
            <v>Colomi</v>
          </cell>
          <cell r="J575" t="str">
            <v>25</v>
          </cell>
          <cell r="K575" t="str">
            <v>Uninominal</v>
          </cell>
          <cell r="L575" t="str">
            <v>-17.3404</v>
          </cell>
          <cell r="M575" t="str">
            <v>-65.8643</v>
          </cell>
          <cell r="N575" t="str">
            <v>Rural</v>
          </cell>
          <cell r="O575" t="str">
            <v>2349</v>
          </cell>
          <cell r="P575" t="str">
            <v>POINT (-65.8643 -17.3404)</v>
          </cell>
          <cell r="Q575">
            <v>23</v>
          </cell>
          <cell r="R575">
            <v>0.88157741380630239</v>
          </cell>
        </row>
        <row r="576">
          <cell r="A576">
            <v>2350</v>
          </cell>
          <cell r="B576" t="str">
            <v>U.E. Sócrates VillazónColomi</v>
          </cell>
          <cell r="C576" t="str">
            <v>Cochabamba</v>
          </cell>
          <cell r="D576" t="str">
            <v>Chapare</v>
          </cell>
          <cell r="E576" t="str">
            <v>Colomi</v>
          </cell>
          <cell r="F576" t="str">
            <v>Colomi</v>
          </cell>
          <cell r="G576" t="str">
            <v>U.E. Sócrates Villazón</v>
          </cell>
          <cell r="H576" t="str">
            <v>Zona 4501</v>
          </cell>
          <cell r="I576" t="str">
            <v>Esta ubicado a lado Oeste de la plaza Central de la localidad Colomi</v>
          </cell>
          <cell r="J576" t="str">
            <v>25</v>
          </cell>
          <cell r="K576" t="str">
            <v>Uninominal</v>
          </cell>
          <cell r="L576" t="str">
            <v>-17.339893</v>
          </cell>
          <cell r="M576" t="str">
            <v>-65.870138</v>
          </cell>
          <cell r="N576" t="str">
            <v>Rural</v>
          </cell>
          <cell r="O576" t="str">
            <v>2350</v>
          </cell>
          <cell r="P576" t="str">
            <v>POINT (-65.870138 -17.339893)</v>
          </cell>
          <cell r="Q576">
            <v>8</v>
          </cell>
          <cell r="R576">
            <v>0.87223209727062456</v>
          </cell>
        </row>
        <row r="577">
          <cell r="A577">
            <v>2351</v>
          </cell>
          <cell r="B577" t="str">
            <v>U.E. Carmela AlbornozColomi</v>
          </cell>
          <cell r="C577" t="str">
            <v>Cochabamba</v>
          </cell>
          <cell r="D577" t="str">
            <v>Chapare</v>
          </cell>
          <cell r="E577" t="str">
            <v>Colomi</v>
          </cell>
          <cell r="F577" t="str">
            <v>Colomi</v>
          </cell>
          <cell r="G577" t="str">
            <v>U.E. Carmela Albornoz</v>
          </cell>
          <cell r="H577" t="str">
            <v>Zona 4501</v>
          </cell>
          <cell r="I577" t="str">
            <v>Calle Avaroa</v>
          </cell>
          <cell r="J577" t="str">
            <v>25</v>
          </cell>
          <cell r="K577" t="str">
            <v>Uninominal</v>
          </cell>
          <cell r="L577" t="str">
            <v>-17.340012</v>
          </cell>
          <cell r="M577" t="str">
            <v>-65.86434</v>
          </cell>
          <cell r="N577" t="str">
            <v>Urbano</v>
          </cell>
          <cell r="O577" t="str">
            <v>2351</v>
          </cell>
          <cell r="P577" t="str">
            <v>POINT (-65.86434 -17.340012)</v>
          </cell>
          <cell r="Q577">
            <v>9</v>
          </cell>
          <cell r="R577" t="str">
            <v>Sin Info</v>
          </cell>
        </row>
        <row r="578">
          <cell r="A578">
            <v>2352</v>
          </cell>
          <cell r="B578" t="str">
            <v>U.E. CandelariaColomi</v>
          </cell>
          <cell r="C578" t="str">
            <v>Cochabamba</v>
          </cell>
          <cell r="D578" t="str">
            <v>Chapare</v>
          </cell>
          <cell r="E578" t="str">
            <v>Colomi</v>
          </cell>
          <cell r="F578" t="str">
            <v>Candelaria</v>
          </cell>
          <cell r="G578" t="str">
            <v>U.E. Candelaria</v>
          </cell>
          <cell r="H578" t="str">
            <v>Zona 4503</v>
          </cell>
          <cell r="I578" t="str">
            <v>Candelaria</v>
          </cell>
          <cell r="J578" t="str">
            <v>25</v>
          </cell>
          <cell r="K578" t="str">
            <v>Uninominal</v>
          </cell>
          <cell r="L578" t="str">
            <v>-17.274653</v>
          </cell>
          <cell r="M578" t="str">
            <v>-65.925156</v>
          </cell>
          <cell r="N578" t="str">
            <v>Urbano</v>
          </cell>
          <cell r="O578" t="str">
            <v>2352</v>
          </cell>
          <cell r="P578" t="str">
            <v>POINT (-65.925156 -17.274653)</v>
          </cell>
          <cell r="Q578">
            <v>10</v>
          </cell>
          <cell r="R578" t="str">
            <v>Sin Info</v>
          </cell>
        </row>
        <row r="579">
          <cell r="A579">
            <v>2353</v>
          </cell>
          <cell r="B579" t="str">
            <v>U.E. Tablas MonteColomi</v>
          </cell>
          <cell r="C579" t="str">
            <v>Cochabamba</v>
          </cell>
          <cell r="D579" t="str">
            <v>Chapare</v>
          </cell>
          <cell r="E579" t="str">
            <v>Colomi</v>
          </cell>
          <cell r="F579" t="str">
            <v>Tablas Monte</v>
          </cell>
          <cell r="G579" t="str">
            <v>U.E. Tablas Monte</v>
          </cell>
          <cell r="H579" t="str">
            <v>Zona 4506</v>
          </cell>
          <cell r="I579" t="str">
            <v>Tablas Monte</v>
          </cell>
          <cell r="J579" t="str">
            <v>25</v>
          </cell>
          <cell r="K579" t="str">
            <v>Uninominal</v>
          </cell>
          <cell r="L579" t="str">
            <v>-17.084687</v>
          </cell>
          <cell r="M579" t="str">
            <v>-65.996944</v>
          </cell>
          <cell r="N579" t="str">
            <v>Rural</v>
          </cell>
          <cell r="O579" t="str">
            <v>2353</v>
          </cell>
          <cell r="P579" t="str">
            <v>POINT (-65.996944 -17.084687)</v>
          </cell>
          <cell r="Q579">
            <v>4</v>
          </cell>
          <cell r="R579" t="str">
            <v>Sin Info</v>
          </cell>
        </row>
        <row r="580">
          <cell r="A580">
            <v>2354</v>
          </cell>
          <cell r="B580" t="str">
            <v>U.E. San MiguelColomi</v>
          </cell>
          <cell r="C580" t="str">
            <v>Cochabamba</v>
          </cell>
          <cell r="D580" t="str">
            <v>Chapare</v>
          </cell>
          <cell r="E580" t="str">
            <v>Colomi</v>
          </cell>
          <cell r="F580" t="str">
            <v>Miguelito</v>
          </cell>
          <cell r="G580" t="str">
            <v>U.E. San Miguel</v>
          </cell>
          <cell r="H580" t="str">
            <v>Zona 4514</v>
          </cell>
          <cell r="I580" t="str">
            <v>Miguelito</v>
          </cell>
          <cell r="J580" t="str">
            <v>25</v>
          </cell>
          <cell r="K580" t="str">
            <v>Uninominal</v>
          </cell>
          <cell r="L580" t="str">
            <v>-17.178579</v>
          </cell>
          <cell r="M580" t="str">
            <v>-65.769518</v>
          </cell>
          <cell r="N580" t="str">
            <v>Rural</v>
          </cell>
          <cell r="O580" t="str">
            <v>2354</v>
          </cell>
          <cell r="P580" t="str">
            <v>POINT (-65.769518 -17.178579)</v>
          </cell>
          <cell r="Q580">
            <v>13</v>
          </cell>
          <cell r="R580" t="str">
            <v>Sin Info</v>
          </cell>
        </row>
        <row r="581">
          <cell r="A581">
            <v>2355</v>
          </cell>
          <cell r="B581" t="str">
            <v>U.E. Corani PampaColomi</v>
          </cell>
          <cell r="C581" t="str">
            <v>Cochabamba</v>
          </cell>
          <cell r="D581" t="str">
            <v>Chapare</v>
          </cell>
          <cell r="E581" t="str">
            <v>Colomi</v>
          </cell>
          <cell r="F581" t="str">
            <v>Corani Pampa</v>
          </cell>
          <cell r="G581" t="str">
            <v>U.E. Corani Pampa</v>
          </cell>
          <cell r="H581" t="str">
            <v>Zona 4505</v>
          </cell>
          <cell r="I581" t="str">
            <v>Corani Pampa</v>
          </cell>
          <cell r="J581" t="str">
            <v>25</v>
          </cell>
          <cell r="K581" t="str">
            <v>Uninominal</v>
          </cell>
          <cell r="L581" t="str">
            <v>-17.1237</v>
          </cell>
          <cell r="M581" t="str">
            <v>-65.9321</v>
          </cell>
          <cell r="N581" t="str">
            <v>Urbano</v>
          </cell>
          <cell r="O581" t="str">
            <v>2355</v>
          </cell>
          <cell r="P581" t="str">
            <v>POINT (-65.9321 -17.1237)</v>
          </cell>
          <cell r="Q581">
            <v>7</v>
          </cell>
          <cell r="R581" t="str">
            <v>Sin Info</v>
          </cell>
        </row>
        <row r="582">
          <cell r="A582">
            <v>2356</v>
          </cell>
          <cell r="B582" t="str">
            <v>Unidad Educativa Paracti (Colomi)Colomi</v>
          </cell>
          <cell r="C582" t="str">
            <v>Cochabamba</v>
          </cell>
          <cell r="D582" t="str">
            <v>Chapare</v>
          </cell>
          <cell r="E582" t="str">
            <v>Colomi</v>
          </cell>
          <cell r="F582" t="str">
            <v>Paracti (Colomi)</v>
          </cell>
          <cell r="G582" t="str">
            <v>Unidad Educativa Paracti (Colomi)</v>
          </cell>
          <cell r="H582" t="str">
            <v>Zona 4514</v>
          </cell>
          <cell r="I582" t="str">
            <v>Paracti</v>
          </cell>
          <cell r="J582" t="str">
            <v>25</v>
          </cell>
          <cell r="K582" t="str">
            <v>Uninominal</v>
          </cell>
          <cell r="L582" t="str">
            <v>-17.207903</v>
          </cell>
          <cell r="M582" t="str">
            <v>-65.825552</v>
          </cell>
          <cell r="N582" t="str">
            <v>Rural</v>
          </cell>
          <cell r="O582" t="str">
            <v>2356</v>
          </cell>
          <cell r="P582" t="str">
            <v>POINT (-65.825552 -17.207903)</v>
          </cell>
          <cell r="Q582">
            <v>5</v>
          </cell>
          <cell r="R582">
            <v>0.82546087822469738</v>
          </cell>
        </row>
        <row r="583">
          <cell r="A583">
            <v>2357</v>
          </cell>
          <cell r="B583" t="str">
            <v>U.E. Simón Rodriguez (Colomi)Colomi</v>
          </cell>
          <cell r="C583" t="str">
            <v>Cochabamba</v>
          </cell>
          <cell r="D583" t="str">
            <v>Chapare</v>
          </cell>
          <cell r="E583" t="str">
            <v>Colomi</v>
          </cell>
          <cell r="F583" t="str">
            <v>Puca Mayu (Colomi)</v>
          </cell>
          <cell r="G583" t="str">
            <v>U.E. Simón Rodriguez (Colomi)</v>
          </cell>
          <cell r="H583" t="str">
            <v>Zona 4514</v>
          </cell>
          <cell r="I583" t="str">
            <v>Puca Mayu</v>
          </cell>
          <cell r="J583" t="str">
            <v>25</v>
          </cell>
          <cell r="K583" t="str">
            <v>Uninominal</v>
          </cell>
          <cell r="L583" t="str">
            <v>-17.019898</v>
          </cell>
          <cell r="M583" t="str">
            <v>-65.901648</v>
          </cell>
          <cell r="N583" t="str">
            <v>Rural</v>
          </cell>
          <cell r="O583" t="str">
            <v>2357</v>
          </cell>
          <cell r="P583" t="str">
            <v>POINT (-65.901648 -17.019898)</v>
          </cell>
          <cell r="Q583">
            <v>1</v>
          </cell>
          <cell r="R583" t="str">
            <v>Sin Info</v>
          </cell>
        </row>
        <row r="584">
          <cell r="A584">
            <v>2358</v>
          </cell>
          <cell r="B584" t="str">
            <v>U.E. RosarioColomi</v>
          </cell>
          <cell r="C584" t="str">
            <v>Cochabamba</v>
          </cell>
          <cell r="D584" t="str">
            <v>Chapare</v>
          </cell>
          <cell r="E584" t="str">
            <v>Colomi</v>
          </cell>
          <cell r="F584" t="str">
            <v>Rosario</v>
          </cell>
          <cell r="G584" t="str">
            <v>U.E. Rosario</v>
          </cell>
          <cell r="H584" t="str">
            <v>Zona 4501</v>
          </cell>
          <cell r="I584" t="str">
            <v>Rosario</v>
          </cell>
          <cell r="J584" t="str">
            <v>25</v>
          </cell>
          <cell r="K584" t="str">
            <v>Uninominal</v>
          </cell>
          <cell r="L584" t="str">
            <v>-17.3185</v>
          </cell>
          <cell r="M584" t="str">
            <v>-65.8809</v>
          </cell>
          <cell r="N584" t="str">
            <v>Urbano</v>
          </cell>
          <cell r="O584" t="str">
            <v>2358</v>
          </cell>
          <cell r="P584" t="str">
            <v>POINT (-65.8809 -17.3185)</v>
          </cell>
          <cell r="Q584">
            <v>1</v>
          </cell>
          <cell r="R584">
            <v>0.8771929824561403</v>
          </cell>
        </row>
        <row r="585">
          <cell r="A585">
            <v>2359</v>
          </cell>
          <cell r="B585" t="str">
            <v>U.E. Pico CentralColomi</v>
          </cell>
          <cell r="C585" t="str">
            <v>Cochabamba</v>
          </cell>
          <cell r="D585" t="str">
            <v>Chapare</v>
          </cell>
          <cell r="E585" t="str">
            <v>Colomi</v>
          </cell>
          <cell r="F585" t="str">
            <v>Pico Central</v>
          </cell>
          <cell r="G585" t="str">
            <v>U.E. Pico Central</v>
          </cell>
          <cell r="H585" t="str">
            <v>Zona 4504</v>
          </cell>
          <cell r="I585" t="str">
            <v>Sindicato Agrarario Pico Central - Oeste del Municipio del Colomi</v>
          </cell>
          <cell r="J585" t="str">
            <v>25</v>
          </cell>
          <cell r="K585" t="str">
            <v>Uninominal</v>
          </cell>
          <cell r="L585" t="str">
            <v>-17.325928</v>
          </cell>
          <cell r="M585" t="str">
            <v>-65.960099</v>
          </cell>
          <cell r="N585" t="str">
            <v>Urbano</v>
          </cell>
          <cell r="O585" t="str">
            <v>2359</v>
          </cell>
          <cell r="P585" t="str">
            <v>POINT (-65.960099 -17.325928)</v>
          </cell>
          <cell r="Q585">
            <v>1</v>
          </cell>
          <cell r="R585" t="str">
            <v>Sin Info</v>
          </cell>
        </row>
        <row r="586">
          <cell r="A586">
            <v>2360</v>
          </cell>
          <cell r="B586" t="str">
            <v>Escuela San Antonio de Villa TunariVilla Tunari</v>
          </cell>
          <cell r="C586" t="str">
            <v>Cochabamba</v>
          </cell>
          <cell r="D586" t="str">
            <v>Chapare</v>
          </cell>
          <cell r="E586" t="str">
            <v>Villa Tunari</v>
          </cell>
          <cell r="F586" t="str">
            <v>Villa Tunari</v>
          </cell>
          <cell r="G586" t="str">
            <v>Escuela San Antonio de Villa Tunari</v>
          </cell>
          <cell r="H586" t="str">
            <v>Zona 4514</v>
          </cell>
          <cell r="I586" t="str">
            <v>Otb Bugambillas</v>
          </cell>
          <cell r="J586" t="str">
            <v>24</v>
          </cell>
          <cell r="K586" t="str">
            <v>Uninominal</v>
          </cell>
          <cell r="L586" t="str">
            <v>-16.9728</v>
          </cell>
          <cell r="M586" t="str">
            <v>-65.4174</v>
          </cell>
          <cell r="N586" t="str">
            <v>Urbano</v>
          </cell>
          <cell r="O586" t="str">
            <v>2360</v>
          </cell>
          <cell r="P586" t="str">
            <v>POINT (-65.4174 -16.9728)</v>
          </cell>
          <cell r="Q586">
            <v>11</v>
          </cell>
          <cell r="R586">
            <v>0.81686837348902774</v>
          </cell>
        </row>
        <row r="587">
          <cell r="A587">
            <v>2361</v>
          </cell>
          <cell r="B587" t="str">
            <v>Colegio Francisco VignaudVilla Tunari</v>
          </cell>
          <cell r="C587" t="str">
            <v>Cochabamba</v>
          </cell>
          <cell r="D587" t="str">
            <v>Chapare</v>
          </cell>
          <cell r="E587" t="str">
            <v>Villa Tunari</v>
          </cell>
          <cell r="F587" t="str">
            <v>Villa Tunari</v>
          </cell>
          <cell r="G587" t="str">
            <v>Colegio Francisco Vignaud</v>
          </cell>
          <cell r="H587" t="str">
            <v>Zona 4514</v>
          </cell>
          <cell r="I587" t="str">
            <v>Zona Central</v>
          </cell>
          <cell r="J587" t="str">
            <v>24</v>
          </cell>
          <cell r="K587" t="str">
            <v>Uninominal</v>
          </cell>
          <cell r="L587" t="str">
            <v>-16.9751</v>
          </cell>
          <cell r="M587" t="str">
            <v>-65.4247</v>
          </cell>
          <cell r="N587" t="str">
            <v>Rural</v>
          </cell>
          <cell r="O587" t="str">
            <v>2361</v>
          </cell>
          <cell r="P587" t="str">
            <v>POINT (-65.4247 -16.9751)</v>
          </cell>
          <cell r="Q587">
            <v>5</v>
          </cell>
          <cell r="R587">
            <v>0.83944967909159707</v>
          </cell>
        </row>
        <row r="588">
          <cell r="A588">
            <v>2362</v>
          </cell>
          <cell r="B588" t="str">
            <v>Escuela Cristal MayuVilla Tunari</v>
          </cell>
          <cell r="C588" t="str">
            <v>Cochabamba</v>
          </cell>
          <cell r="D588" t="str">
            <v>Chapare</v>
          </cell>
          <cell r="E588" t="str">
            <v>Villa Tunari</v>
          </cell>
          <cell r="F588" t="str">
            <v>Cristal Mayu</v>
          </cell>
          <cell r="G588" t="str">
            <v>Escuela Cristal Mayu</v>
          </cell>
          <cell r="H588" t="str">
            <v>Zona 4508</v>
          </cell>
          <cell r="I588" t="str">
            <v>Cristal Mayu</v>
          </cell>
          <cell r="J588" t="str">
            <v>24</v>
          </cell>
          <cell r="K588" t="str">
            <v>Uninominal</v>
          </cell>
          <cell r="L588" t="str">
            <v>-17.0062</v>
          </cell>
          <cell r="M588" t="str">
            <v>-65.644</v>
          </cell>
          <cell r="N588" t="str">
            <v>Rural</v>
          </cell>
          <cell r="O588" t="str">
            <v>2362</v>
          </cell>
          <cell r="P588" t="str">
            <v>POINT (-65.644 -17.0062)</v>
          </cell>
          <cell r="Q588">
            <v>11</v>
          </cell>
          <cell r="R588">
            <v>0.98553371954843405</v>
          </cell>
        </row>
        <row r="589">
          <cell r="A589">
            <v>2363</v>
          </cell>
          <cell r="B589" t="str">
            <v>Unidad Educativa Jatun PampaVilla Tunari</v>
          </cell>
          <cell r="C589" t="str">
            <v>Cochabamba</v>
          </cell>
          <cell r="D589" t="str">
            <v>Chapare</v>
          </cell>
          <cell r="E589" t="str">
            <v>Villa Tunari</v>
          </cell>
          <cell r="F589" t="str">
            <v>Jatun Pampa</v>
          </cell>
          <cell r="G589" t="str">
            <v>Unidad Educativa Jatun Pampa</v>
          </cell>
          <cell r="H589" t="str">
            <v>Zona 4514</v>
          </cell>
          <cell r="I589" t="str">
            <v>Jatun Pampa</v>
          </cell>
          <cell r="J589" t="str">
            <v>24</v>
          </cell>
          <cell r="K589" t="str">
            <v>Uninominal</v>
          </cell>
          <cell r="L589" t="str">
            <v>-17.0037</v>
          </cell>
          <cell r="M589" t="str">
            <v>-65.568</v>
          </cell>
          <cell r="N589" t="str">
            <v>Rural</v>
          </cell>
          <cell r="O589" t="str">
            <v>2363</v>
          </cell>
          <cell r="P589" t="str">
            <v>POINT (-65.568 -17.0037)</v>
          </cell>
          <cell r="Q589">
            <v>6</v>
          </cell>
          <cell r="R589">
            <v>0.96649027621814831</v>
          </cell>
        </row>
        <row r="590">
          <cell r="A590">
            <v>2364</v>
          </cell>
          <cell r="B590" t="str">
            <v>Unidad Educativa ParactitoVilla Tunari</v>
          </cell>
          <cell r="C590" t="str">
            <v>Cochabamba</v>
          </cell>
          <cell r="D590" t="str">
            <v>Chapare</v>
          </cell>
          <cell r="E590" t="str">
            <v>Villa Tunari</v>
          </cell>
          <cell r="F590" t="str">
            <v>Paractito</v>
          </cell>
          <cell r="G590" t="str">
            <v>Unidad Educativa Paractito</v>
          </cell>
          <cell r="H590" t="str">
            <v>Zona 4514</v>
          </cell>
          <cell r="I590" t="str">
            <v>Paractito</v>
          </cell>
          <cell r="J590" t="str">
            <v>24</v>
          </cell>
          <cell r="K590" t="str">
            <v>Uninominal</v>
          </cell>
          <cell r="L590" t="str">
            <v>-17.0317</v>
          </cell>
          <cell r="M590" t="str">
            <v>-65.4659</v>
          </cell>
          <cell r="N590" t="str">
            <v>Rural</v>
          </cell>
          <cell r="O590" t="str">
            <v>2364</v>
          </cell>
          <cell r="P590" t="str">
            <v>POINT (-65.4659 -17.0317)</v>
          </cell>
          <cell r="Q590">
            <v>11</v>
          </cell>
          <cell r="R590">
            <v>0.96290826302882226</v>
          </cell>
        </row>
        <row r="591">
          <cell r="A591">
            <v>2365</v>
          </cell>
          <cell r="B591" t="str">
            <v>Unidad Educativa Mixta EterazamaVilla Tunari</v>
          </cell>
          <cell r="C591" t="str">
            <v>Cochabamba</v>
          </cell>
          <cell r="D591" t="str">
            <v>Chapare</v>
          </cell>
          <cell r="E591" t="str">
            <v>Villa Tunari</v>
          </cell>
          <cell r="F591" t="str">
            <v>Eterazama</v>
          </cell>
          <cell r="G591" t="str">
            <v>Unidad Educativa Mixta Eterazama</v>
          </cell>
          <cell r="H591" t="str">
            <v>Zona 4512</v>
          </cell>
          <cell r="I591" t="str">
            <v>Eterazama</v>
          </cell>
          <cell r="J591" t="str">
            <v>24</v>
          </cell>
          <cell r="K591" t="str">
            <v>Uninominal</v>
          </cell>
          <cell r="L591" t="str">
            <v>-16.8331</v>
          </cell>
          <cell r="M591" t="str">
            <v>-65.5211</v>
          </cell>
          <cell r="N591" t="str">
            <v>Rural</v>
          </cell>
          <cell r="O591" t="str">
            <v>2365</v>
          </cell>
          <cell r="P591" t="str">
            <v>POINT (-65.5211 -16.8331)</v>
          </cell>
          <cell r="Q591">
            <v>22</v>
          </cell>
          <cell r="R591">
            <v>0.96691748440339009</v>
          </cell>
        </row>
        <row r="592">
          <cell r="A592">
            <v>2366</v>
          </cell>
          <cell r="B592" t="str">
            <v>U.E.T.H. Mariscal SucreVilla Tunari</v>
          </cell>
          <cell r="C592" t="str">
            <v>Cochabamba</v>
          </cell>
          <cell r="D592" t="str">
            <v>Chapare</v>
          </cell>
          <cell r="E592" t="str">
            <v>Villa Tunari</v>
          </cell>
          <cell r="F592" t="str">
            <v>Eterazama</v>
          </cell>
          <cell r="G592" t="str">
            <v>U.E.T.H. Mariscal Sucre</v>
          </cell>
          <cell r="H592" t="str">
            <v>Zona 4512</v>
          </cell>
          <cell r="I592" t="str">
            <v>Entre Calle el Deber y Los Andes (entrada por la Av. La Resistencia)</v>
          </cell>
          <cell r="J592" t="str">
            <v>24</v>
          </cell>
          <cell r="K592" t="str">
            <v>Uninominal</v>
          </cell>
          <cell r="L592" t="str">
            <v>-16.836053</v>
          </cell>
          <cell r="M592" t="str">
            <v>-65.515717</v>
          </cell>
          <cell r="N592" t="str">
            <v>Rural</v>
          </cell>
          <cell r="O592" t="str">
            <v>2366</v>
          </cell>
          <cell r="P592" t="str">
            <v>POINT (-65.515717 -16.836053)</v>
          </cell>
          <cell r="Q592">
            <v>9</v>
          </cell>
          <cell r="R592" t="str">
            <v>Sin Info</v>
          </cell>
        </row>
        <row r="593">
          <cell r="A593">
            <v>2367</v>
          </cell>
          <cell r="B593" t="str">
            <v>Escuela San Jose (V. Tunari)Villa Tunari</v>
          </cell>
          <cell r="C593" t="str">
            <v>Cochabamba</v>
          </cell>
          <cell r="D593" t="str">
            <v>Chapare</v>
          </cell>
          <cell r="E593" t="str">
            <v>Villa Tunari</v>
          </cell>
          <cell r="F593" t="str">
            <v>San Jose (Villa Tunari)</v>
          </cell>
          <cell r="G593" t="str">
            <v>Escuela San Jose (V. Tunari)</v>
          </cell>
          <cell r="H593" t="str">
            <v>Zona 4514</v>
          </cell>
          <cell r="I593" t="str">
            <v>San Jose</v>
          </cell>
          <cell r="J593" t="str">
            <v>24</v>
          </cell>
          <cell r="K593" t="str">
            <v>Uninominal</v>
          </cell>
          <cell r="L593" t="str">
            <v>-16.8102</v>
          </cell>
          <cell r="M593" t="str">
            <v>-65.4656</v>
          </cell>
          <cell r="N593" t="str">
            <v>Rural</v>
          </cell>
          <cell r="O593" t="str">
            <v>2367</v>
          </cell>
          <cell r="P593" t="str">
            <v>POINT (-65.4656 -16.8102)</v>
          </cell>
          <cell r="Q593">
            <v>8</v>
          </cell>
          <cell r="R593">
            <v>0.99184106444080455</v>
          </cell>
        </row>
        <row r="594">
          <cell r="A594">
            <v>2368</v>
          </cell>
          <cell r="B594" t="str">
            <v>Escuela SamuzabetiVilla Tunari</v>
          </cell>
          <cell r="C594" t="str">
            <v>Cochabamba</v>
          </cell>
          <cell r="D594" t="str">
            <v>Chapare</v>
          </cell>
          <cell r="E594" t="str">
            <v>Villa Tunari</v>
          </cell>
          <cell r="F594" t="str">
            <v>Samuzabeti</v>
          </cell>
          <cell r="G594" t="str">
            <v>Escuela Samuzabeti</v>
          </cell>
          <cell r="H594" t="str">
            <v>Zona 4514</v>
          </cell>
          <cell r="I594" t="str">
            <v>Samzabeti</v>
          </cell>
          <cell r="J594" t="str">
            <v>24</v>
          </cell>
          <cell r="K594" t="str">
            <v>Uninominal</v>
          </cell>
          <cell r="L594" t="str">
            <v>-16.8163</v>
          </cell>
          <cell r="M594" t="str">
            <v>-65.5726</v>
          </cell>
          <cell r="N594" t="str">
            <v>Rural</v>
          </cell>
          <cell r="O594" t="str">
            <v>2368</v>
          </cell>
          <cell r="P594" t="str">
            <v>POINT (-65.5726 -16.8163)</v>
          </cell>
          <cell r="Q594">
            <v>15</v>
          </cell>
          <cell r="R594">
            <v>0.98716998155013991</v>
          </cell>
        </row>
        <row r="595">
          <cell r="A595">
            <v>2369</v>
          </cell>
          <cell r="B595" t="str">
            <v>Colegio Fe y AlegriaVilla Tunari</v>
          </cell>
          <cell r="C595" t="str">
            <v>Cochabamba</v>
          </cell>
          <cell r="D595" t="str">
            <v>Chapare</v>
          </cell>
          <cell r="E595" t="str">
            <v>Villa Tunari</v>
          </cell>
          <cell r="F595" t="str">
            <v>Chipiriri</v>
          </cell>
          <cell r="G595" t="str">
            <v>Colegio Fe y Alegria</v>
          </cell>
          <cell r="H595" t="str">
            <v>Zona 4510</v>
          </cell>
          <cell r="I595" t="str">
            <v>Chipiriri</v>
          </cell>
          <cell r="J595" t="str">
            <v>24</v>
          </cell>
          <cell r="K595" t="str">
            <v>Uninominal</v>
          </cell>
          <cell r="L595" t="str">
            <v>-16.9142</v>
          </cell>
          <cell r="M595" t="str">
            <v>-65.4011</v>
          </cell>
          <cell r="N595" t="str">
            <v>Rural</v>
          </cell>
          <cell r="O595" t="str">
            <v>2369</v>
          </cell>
          <cell r="P595" t="str">
            <v>POINT (-65.4011 -16.9142)</v>
          </cell>
          <cell r="Q595">
            <v>12</v>
          </cell>
          <cell r="R595">
            <v>0.97142702781562817</v>
          </cell>
        </row>
        <row r="596">
          <cell r="A596">
            <v>2370</v>
          </cell>
          <cell r="B596" t="str">
            <v>Escuela 27 de MayoVilla Tunari</v>
          </cell>
          <cell r="C596" t="str">
            <v>Cochabamba</v>
          </cell>
          <cell r="D596" t="str">
            <v>Chapare</v>
          </cell>
          <cell r="E596" t="str">
            <v>Villa Tunari</v>
          </cell>
          <cell r="F596" t="str">
            <v>San Francisco</v>
          </cell>
          <cell r="G596" t="str">
            <v>Escuela 27 de Mayo</v>
          </cell>
          <cell r="H596" t="str">
            <v>Zona 4514</v>
          </cell>
          <cell r="I596" t="str">
            <v>San Francisco</v>
          </cell>
          <cell r="J596" t="str">
            <v>24</v>
          </cell>
          <cell r="K596" t="str">
            <v>Especial</v>
          </cell>
          <cell r="L596" t="str">
            <v>-16.7482</v>
          </cell>
          <cell r="M596" t="str">
            <v>-65.3082</v>
          </cell>
          <cell r="N596" t="str">
            <v>Rural</v>
          </cell>
          <cell r="O596" t="str">
            <v>2370</v>
          </cell>
          <cell r="P596" t="str">
            <v>POINT (-65.3082 -16.7482)</v>
          </cell>
          <cell r="Q596">
            <v>3</v>
          </cell>
          <cell r="R596">
            <v>0.86798595713229865</v>
          </cell>
        </row>
        <row r="597">
          <cell r="A597">
            <v>2371</v>
          </cell>
          <cell r="B597" t="str">
            <v>Unidad Educativa San Francisco Km 21Villa Tunari</v>
          </cell>
          <cell r="C597" t="str">
            <v>Cochabamba</v>
          </cell>
          <cell r="D597" t="str">
            <v>Chapare</v>
          </cell>
          <cell r="E597" t="str">
            <v>Villa Tunari</v>
          </cell>
          <cell r="F597" t="str">
            <v>San Francisco</v>
          </cell>
          <cell r="G597" t="str">
            <v>Unidad Educativa San Francisco Km 21</v>
          </cell>
          <cell r="H597" t="str">
            <v>Zona 4514</v>
          </cell>
          <cell r="I597" t="str">
            <v>San Francisco Km 21</v>
          </cell>
          <cell r="J597" t="str">
            <v>24</v>
          </cell>
          <cell r="K597" t="str">
            <v>Especial</v>
          </cell>
          <cell r="L597" t="str">
            <v>-16.7669</v>
          </cell>
          <cell r="M597" t="str">
            <v>-65.3349</v>
          </cell>
          <cell r="N597" t="str">
            <v>Rural</v>
          </cell>
          <cell r="O597" t="str">
            <v>2371</v>
          </cell>
          <cell r="P597" t="str">
            <v>POINT (-65.3349 -16.7669)</v>
          </cell>
          <cell r="Q597">
            <v>5</v>
          </cell>
          <cell r="R597">
            <v>0.97892214397496091</v>
          </cell>
        </row>
        <row r="598">
          <cell r="A598">
            <v>2372</v>
          </cell>
          <cell r="B598" t="str">
            <v>Escuela Elizardo PerezVilla Tunari</v>
          </cell>
          <cell r="C598" t="str">
            <v>Cochabamba</v>
          </cell>
          <cell r="D598" t="str">
            <v>Chapare</v>
          </cell>
          <cell r="E598" t="str">
            <v>Villa Tunari</v>
          </cell>
          <cell r="F598" t="str">
            <v>Isinuta</v>
          </cell>
          <cell r="G598" t="str">
            <v>Escuela Elizardo Perez</v>
          </cell>
          <cell r="H598" t="str">
            <v>Zona 4513</v>
          </cell>
          <cell r="I598" t="str">
            <v>Isinuta</v>
          </cell>
          <cell r="J598" t="str">
            <v>24</v>
          </cell>
          <cell r="K598" t="str">
            <v>Uninominal</v>
          </cell>
          <cell r="L598" t="str">
            <v>-16.7314</v>
          </cell>
          <cell r="M598" t="str">
            <v>-65.6441</v>
          </cell>
          <cell r="N598" t="str">
            <v>Rural</v>
          </cell>
          <cell r="O598" t="str">
            <v>2372</v>
          </cell>
          <cell r="P598" t="str">
            <v>POINT (-65.6441 -16.7314)</v>
          </cell>
          <cell r="Q598">
            <v>10</v>
          </cell>
          <cell r="R598">
            <v>0.97884840055102029</v>
          </cell>
        </row>
        <row r="599">
          <cell r="A599">
            <v>2373</v>
          </cell>
          <cell r="B599" t="str">
            <v>Escuela Villa 14 de SeptiembreVilla Tunari</v>
          </cell>
          <cell r="C599" t="str">
            <v>Cochabamba</v>
          </cell>
          <cell r="D599" t="str">
            <v>Chapare</v>
          </cell>
          <cell r="E599" t="str">
            <v>Villa Tunari</v>
          </cell>
          <cell r="F599" t="str">
            <v>Villa 14 de Septiembre</v>
          </cell>
          <cell r="G599" t="str">
            <v>Escuela Villa 14 de Septiembre</v>
          </cell>
          <cell r="H599" t="str">
            <v>Zona 4511</v>
          </cell>
          <cell r="I599" t="str">
            <v>Villa 14 de Septiembre</v>
          </cell>
          <cell r="J599" t="str">
            <v>24</v>
          </cell>
          <cell r="K599" t="str">
            <v>Uninominal</v>
          </cell>
          <cell r="L599" t="str">
            <v>-16.847783</v>
          </cell>
          <cell r="M599" t="str">
            <v>-65.350327</v>
          </cell>
          <cell r="N599" t="str">
            <v>Rural</v>
          </cell>
          <cell r="O599" t="str">
            <v>2373</v>
          </cell>
          <cell r="P599" t="str">
            <v>POINT (-65.350327 -16.847783)</v>
          </cell>
          <cell r="Q599">
            <v>20</v>
          </cell>
          <cell r="R599">
            <v>0.96067983140375168</v>
          </cell>
        </row>
        <row r="600">
          <cell r="A600">
            <v>2374</v>
          </cell>
          <cell r="B600" t="str">
            <v>U. E. 14 de SeptiembreVilla Tunari</v>
          </cell>
          <cell r="C600" t="str">
            <v>Cochabamba</v>
          </cell>
          <cell r="D600" t="str">
            <v>Chapare</v>
          </cell>
          <cell r="E600" t="str">
            <v>Villa Tunari</v>
          </cell>
          <cell r="F600" t="str">
            <v>Villa 14 de Septiembre</v>
          </cell>
          <cell r="G600" t="str">
            <v>U. E. 14 de Septiembre</v>
          </cell>
          <cell r="H600" t="str">
            <v>Zona 4511</v>
          </cell>
          <cell r="I600" t="str">
            <v>Villa 14 de Septiembre</v>
          </cell>
          <cell r="J600" t="str">
            <v>24</v>
          </cell>
          <cell r="K600" t="str">
            <v>Uninominal</v>
          </cell>
          <cell r="L600" t="str">
            <v>-16.843635</v>
          </cell>
          <cell r="M600" t="str">
            <v>-65.35089</v>
          </cell>
          <cell r="N600" t="str">
            <v>Rural</v>
          </cell>
          <cell r="O600" t="str">
            <v>2374</v>
          </cell>
          <cell r="P600" t="str">
            <v>POINT (-65.35089 -16.843635)</v>
          </cell>
          <cell r="Q600">
            <v>9</v>
          </cell>
          <cell r="R600" t="str">
            <v>Sin Info</v>
          </cell>
        </row>
        <row r="601">
          <cell r="A601">
            <v>2375</v>
          </cell>
          <cell r="B601" t="str">
            <v>Escuela La Estrella (San Gabriel)Villa Tunari</v>
          </cell>
          <cell r="C601" t="str">
            <v>Cochabamba</v>
          </cell>
          <cell r="D601" t="str">
            <v>Chapare</v>
          </cell>
          <cell r="E601" t="str">
            <v>Villa Tunari</v>
          </cell>
          <cell r="F601" t="str">
            <v>San Gabriel</v>
          </cell>
          <cell r="G601" t="str">
            <v>Escuela La Estrella (San Gabriel)</v>
          </cell>
          <cell r="H601" t="str">
            <v>Zona 4514</v>
          </cell>
          <cell r="I601" t="str">
            <v>San Gabriel</v>
          </cell>
          <cell r="J601" t="str">
            <v>24</v>
          </cell>
          <cell r="K601" t="str">
            <v>Uninominal</v>
          </cell>
          <cell r="L601" t="str">
            <v>-16.6753</v>
          </cell>
          <cell r="M601" t="str">
            <v>-65.6271</v>
          </cell>
          <cell r="N601" t="str">
            <v>Rural</v>
          </cell>
          <cell r="O601" t="str">
            <v>2375</v>
          </cell>
          <cell r="P601" t="str">
            <v>POINT (-65.6271 -16.6753)</v>
          </cell>
          <cell r="Q601">
            <v>13</v>
          </cell>
          <cell r="R601">
            <v>0.99201165441987693</v>
          </cell>
        </row>
        <row r="602">
          <cell r="A602">
            <v>2376</v>
          </cell>
          <cell r="B602" t="str">
            <v>Escuela La EstrellaVilla Tunari</v>
          </cell>
          <cell r="C602" t="str">
            <v>Cochabamba</v>
          </cell>
          <cell r="D602" t="str">
            <v>Chapare</v>
          </cell>
          <cell r="E602" t="str">
            <v>Villa Tunari</v>
          </cell>
          <cell r="F602" t="str">
            <v>La Estrella</v>
          </cell>
          <cell r="G602" t="str">
            <v>Escuela La Estrella</v>
          </cell>
          <cell r="H602" t="str">
            <v>Zona 4514</v>
          </cell>
          <cell r="I602" t="str">
            <v>La Estrella</v>
          </cell>
          <cell r="J602" t="str">
            <v>24</v>
          </cell>
          <cell r="K602" t="str">
            <v>Uninominal</v>
          </cell>
          <cell r="L602" t="str">
            <v>-16.724</v>
          </cell>
          <cell r="M602" t="str">
            <v>-65.495</v>
          </cell>
          <cell r="N602" t="str">
            <v>Rural</v>
          </cell>
          <cell r="O602" t="str">
            <v>2376</v>
          </cell>
          <cell r="P602" t="str">
            <v>POINT (-65.495 -16.724)</v>
          </cell>
          <cell r="Q602">
            <v>3</v>
          </cell>
          <cell r="R602">
            <v>0.98901571620348738</v>
          </cell>
        </row>
        <row r="603">
          <cell r="A603">
            <v>2377</v>
          </cell>
          <cell r="B603" t="str">
            <v>Unidad Educativa Moleto Icoya (V.Tunari)Villa Tunari</v>
          </cell>
          <cell r="C603" t="str">
            <v>Cochabamba</v>
          </cell>
          <cell r="D603" t="str">
            <v>Chapare</v>
          </cell>
          <cell r="E603" t="str">
            <v>Villa Tunari</v>
          </cell>
          <cell r="F603" t="str">
            <v>Moleto Icoya</v>
          </cell>
          <cell r="G603" t="str">
            <v>Unidad Educativa Moleto Icoya (V.Tunari)</v>
          </cell>
          <cell r="H603" t="str">
            <v>Zona 4514</v>
          </cell>
          <cell r="I603" t="str">
            <v>Moleto</v>
          </cell>
          <cell r="J603" t="str">
            <v>24</v>
          </cell>
          <cell r="K603" t="str">
            <v>Especial</v>
          </cell>
          <cell r="L603" t="str">
            <v>-16.4746</v>
          </cell>
          <cell r="M603" t="str">
            <v>-65.8701</v>
          </cell>
          <cell r="N603" t="str">
            <v>Rural</v>
          </cell>
          <cell r="O603" t="str">
            <v>2377</v>
          </cell>
          <cell r="P603" t="str">
            <v>POINT (-65.8701 -16.4746)</v>
          </cell>
          <cell r="Q603">
            <v>5</v>
          </cell>
          <cell r="R603">
            <v>0.99835526315789469</v>
          </cell>
        </row>
        <row r="604">
          <cell r="A604">
            <v>2378</v>
          </cell>
          <cell r="B604" t="str">
            <v>Nucleo Escolar Nueva AromaVilla Tunari</v>
          </cell>
          <cell r="C604" t="str">
            <v>Cochabamba</v>
          </cell>
          <cell r="D604" t="str">
            <v>Chapare</v>
          </cell>
          <cell r="E604" t="str">
            <v>Villa Tunari</v>
          </cell>
          <cell r="F604" t="str">
            <v>Nueva Aroma</v>
          </cell>
          <cell r="G604" t="str">
            <v>Nucleo Escolar Nueva Aroma</v>
          </cell>
          <cell r="H604" t="str">
            <v>Zona 4514</v>
          </cell>
          <cell r="I604" t="str">
            <v>Nueva Aroma</v>
          </cell>
          <cell r="J604" t="str">
            <v>24</v>
          </cell>
          <cell r="K604" t="str">
            <v>Especial</v>
          </cell>
          <cell r="L604" t="str">
            <v>-16.5624</v>
          </cell>
          <cell r="M604" t="str">
            <v>-65.8259</v>
          </cell>
          <cell r="N604" t="str">
            <v>Rural</v>
          </cell>
          <cell r="O604" t="str">
            <v>2378</v>
          </cell>
          <cell r="P604" t="str">
            <v>POINT (-65.8259 -16.5624)</v>
          </cell>
          <cell r="Q604">
            <v>6</v>
          </cell>
          <cell r="R604">
            <v>0.99149163264324836</v>
          </cell>
        </row>
        <row r="605">
          <cell r="A605">
            <v>2379</v>
          </cell>
          <cell r="B605" t="str">
            <v>Colegio Mixto Tecnico Hum. Villa BolivarVilla Tunari</v>
          </cell>
          <cell r="C605" t="str">
            <v>Cochabamba</v>
          </cell>
          <cell r="D605" t="str">
            <v>Chapare</v>
          </cell>
          <cell r="E605" t="str">
            <v>Villa Tunari</v>
          </cell>
          <cell r="F605" t="str">
            <v>Villa Bolivar</v>
          </cell>
          <cell r="G605" t="str">
            <v>Colegio Mixto Tecnico Hum. Villa Bolivar</v>
          </cell>
          <cell r="H605" t="str">
            <v>Zona 4514</v>
          </cell>
          <cell r="I605" t="str">
            <v>Villa Bolivar</v>
          </cell>
          <cell r="J605" t="str">
            <v>24</v>
          </cell>
          <cell r="K605" t="str">
            <v>Uninominal</v>
          </cell>
          <cell r="L605" t="str">
            <v>-16.6312</v>
          </cell>
          <cell r="M605" t="str">
            <v>-65.7408</v>
          </cell>
          <cell r="N605" t="str">
            <v>Rural</v>
          </cell>
          <cell r="O605" t="str">
            <v>2379</v>
          </cell>
          <cell r="P605" t="str">
            <v>POINT (-65.7408 -16.6312)</v>
          </cell>
          <cell r="Q605">
            <v>4</v>
          </cell>
          <cell r="R605">
            <v>0.9883181463690951</v>
          </cell>
        </row>
        <row r="606">
          <cell r="A606">
            <v>2380</v>
          </cell>
          <cell r="B606" t="str">
            <v>Unidad Educativa Paraiso Todo SantosVilla Tunari</v>
          </cell>
          <cell r="C606" t="str">
            <v>Cochabamba</v>
          </cell>
          <cell r="D606" t="str">
            <v>Chapare</v>
          </cell>
          <cell r="E606" t="str">
            <v>Villa Tunari</v>
          </cell>
          <cell r="F606" t="str">
            <v>Paraiso Todo Santos</v>
          </cell>
          <cell r="G606" t="str">
            <v>Unidad Educativa Paraiso Todo Santos</v>
          </cell>
          <cell r="H606" t="str">
            <v>Zona 4514</v>
          </cell>
          <cell r="I606" t="str">
            <v>Paraiso</v>
          </cell>
          <cell r="J606" t="str">
            <v>24</v>
          </cell>
          <cell r="K606" t="str">
            <v>Uninominal</v>
          </cell>
          <cell r="L606" t="str">
            <v>-16.9063</v>
          </cell>
          <cell r="M606" t="str">
            <v>-65.2959</v>
          </cell>
          <cell r="N606" t="str">
            <v>Rural</v>
          </cell>
          <cell r="O606" t="str">
            <v>2380</v>
          </cell>
          <cell r="P606" t="str">
            <v>POINT (-65.2959 -16.9063)</v>
          </cell>
          <cell r="Q606">
            <v>10</v>
          </cell>
          <cell r="R606" t="str">
            <v>Sin Info</v>
          </cell>
        </row>
        <row r="607">
          <cell r="A607">
            <v>2381</v>
          </cell>
          <cell r="B607" t="str">
            <v>U.E. Simón Rodriguez (Villa Tunari)Villa Tunari</v>
          </cell>
          <cell r="C607" t="str">
            <v>Cochabamba</v>
          </cell>
          <cell r="D607" t="str">
            <v>Chapare</v>
          </cell>
          <cell r="E607" t="str">
            <v>Villa Tunari</v>
          </cell>
          <cell r="F607" t="str">
            <v>Puca Mayu (Villa Tunari)</v>
          </cell>
          <cell r="G607" t="str">
            <v>U.E. Simón Rodriguez (Villa Tunari)</v>
          </cell>
          <cell r="H607" t="str">
            <v>Zona 4514</v>
          </cell>
          <cell r="I607" t="str">
            <v>Puca Mayu(Villa Tunari)</v>
          </cell>
          <cell r="J607" t="str">
            <v>24</v>
          </cell>
          <cell r="K607" t="str">
            <v>Uninominal</v>
          </cell>
          <cell r="L607" t="str">
            <v>-17.019722</v>
          </cell>
          <cell r="M607" t="str">
            <v>-65.901707</v>
          </cell>
          <cell r="N607" t="str">
            <v>Rural</v>
          </cell>
          <cell r="O607" t="str">
            <v>2381</v>
          </cell>
          <cell r="P607" t="str">
            <v>POINT (-65.901707 -17.019722)</v>
          </cell>
          <cell r="Q607">
            <v>3</v>
          </cell>
          <cell r="R607" t="str">
            <v>Sin Info</v>
          </cell>
        </row>
        <row r="608">
          <cell r="A608">
            <v>2382</v>
          </cell>
          <cell r="B608" t="str">
            <v>Unidad Educativa Paracti (Villa Tunari)Villa Tunari</v>
          </cell>
          <cell r="C608" t="str">
            <v>Cochabamba</v>
          </cell>
          <cell r="D608" t="str">
            <v>Chapare</v>
          </cell>
          <cell r="E608" t="str">
            <v>Villa Tunari</v>
          </cell>
          <cell r="F608" t="str">
            <v>Paracti (Villa Tunari)</v>
          </cell>
          <cell r="G608" t="str">
            <v>Unidad Educativa Paracti (Villa Tunari)</v>
          </cell>
          <cell r="H608" t="str">
            <v>Zona 4514</v>
          </cell>
          <cell r="I608" t="str">
            <v>Paracti(Villa Tunari)</v>
          </cell>
          <cell r="J608" t="str">
            <v>24</v>
          </cell>
          <cell r="K608" t="str">
            <v>Uninominal</v>
          </cell>
          <cell r="L608" t="str">
            <v>-17.207903</v>
          </cell>
          <cell r="M608" t="str">
            <v>-65.825552</v>
          </cell>
          <cell r="N608" t="str">
            <v>Rural</v>
          </cell>
          <cell r="O608" t="str">
            <v>2382</v>
          </cell>
          <cell r="P608" t="str">
            <v>POINT (-65.825552 -17.207903)</v>
          </cell>
          <cell r="Q608">
            <v>3</v>
          </cell>
          <cell r="R608">
            <v>0.92004931422407144</v>
          </cell>
        </row>
        <row r="609">
          <cell r="A609">
            <v>2383</v>
          </cell>
          <cell r="B609" t="str">
            <v>Colegio Nueva TacopayaVilla Tunari</v>
          </cell>
          <cell r="C609" t="str">
            <v>Cochabamba</v>
          </cell>
          <cell r="D609" t="str">
            <v>Chapare</v>
          </cell>
          <cell r="E609" t="str">
            <v>Villa Tunari</v>
          </cell>
          <cell r="F609" t="str">
            <v>Nueva Tacopaya</v>
          </cell>
          <cell r="G609" t="str">
            <v>Colegio Nueva Tacopaya</v>
          </cell>
          <cell r="H609" t="str">
            <v>Zona 4514</v>
          </cell>
          <cell r="I609" t="str">
            <v>Nueva Tacopaya</v>
          </cell>
          <cell r="J609" t="str">
            <v>24</v>
          </cell>
          <cell r="K609" t="str">
            <v>Especial</v>
          </cell>
          <cell r="L609" t="str">
            <v>-16.5682</v>
          </cell>
          <cell r="M609" t="str">
            <v>-65.6765</v>
          </cell>
          <cell r="N609" t="str">
            <v>Rural</v>
          </cell>
          <cell r="O609" t="str">
            <v>2383</v>
          </cell>
          <cell r="P609" t="str">
            <v>POINT (-65.6765 -16.5682)</v>
          </cell>
          <cell r="Q609">
            <v>8</v>
          </cell>
          <cell r="R609">
            <v>0.99463609560709898</v>
          </cell>
        </row>
        <row r="610">
          <cell r="A610">
            <v>2384</v>
          </cell>
          <cell r="B610" t="str">
            <v>Unidad Educativa San Jose de AngostaVilla Tunari</v>
          </cell>
          <cell r="C610" t="str">
            <v>Cochabamba</v>
          </cell>
          <cell r="D610" t="str">
            <v>Chapare</v>
          </cell>
          <cell r="E610" t="str">
            <v>Villa Tunari</v>
          </cell>
          <cell r="F610" t="str">
            <v>San José de Angosta</v>
          </cell>
          <cell r="G610" t="str">
            <v>Unidad Educativa San Jose de Angosta</v>
          </cell>
          <cell r="H610" t="str">
            <v>Zona 4514</v>
          </cell>
          <cell r="I610" t="str">
            <v>San José de Angosta</v>
          </cell>
          <cell r="J610" t="str">
            <v>2</v>
          </cell>
          <cell r="K610" t="str">
            <v>Uninominal</v>
          </cell>
          <cell r="L610" t="str">
            <v>-16.4265</v>
          </cell>
          <cell r="M610" t="str">
            <v>-65.9069</v>
          </cell>
          <cell r="N610" t="str">
            <v>Rural</v>
          </cell>
          <cell r="O610" t="str">
            <v>2384</v>
          </cell>
          <cell r="P610" t="str">
            <v>POINT (-65.9069 -16.4265)</v>
          </cell>
          <cell r="Q610">
            <v>2</v>
          </cell>
          <cell r="R610">
            <v>0.77757331799884999</v>
          </cell>
        </row>
        <row r="611">
          <cell r="A611">
            <v>2385</v>
          </cell>
          <cell r="B611" t="str">
            <v>U. E. Santa Rosa de La BocaVilla Tunari</v>
          </cell>
          <cell r="C611" t="str">
            <v>Cochabamba</v>
          </cell>
          <cell r="D611" t="str">
            <v>Chapare</v>
          </cell>
          <cell r="E611" t="str">
            <v>Villa Tunari</v>
          </cell>
          <cell r="F611" t="str">
            <v>Santa Rosa de la Boca</v>
          </cell>
          <cell r="G611" t="str">
            <v>U. E. Santa Rosa de La Boca</v>
          </cell>
          <cell r="H611" t="str">
            <v>Zona 4514</v>
          </cell>
          <cell r="I611" t="str">
            <v>Santa Rosa de La Boca</v>
          </cell>
          <cell r="J611" t="str">
            <v>2</v>
          </cell>
          <cell r="K611" t="str">
            <v>Uninominal</v>
          </cell>
          <cell r="L611" t="str">
            <v>-15.9393</v>
          </cell>
          <cell r="M611" t="str">
            <v>-64.7572</v>
          </cell>
          <cell r="N611" t="str">
            <v>Urbano</v>
          </cell>
          <cell r="O611" t="str">
            <v>2385</v>
          </cell>
          <cell r="P611" t="str">
            <v>POINT (-64.7572 -15.9393)</v>
          </cell>
          <cell r="Q611">
            <v>1</v>
          </cell>
          <cell r="R611">
            <v>0.2978723404255319</v>
          </cell>
        </row>
        <row r="612">
          <cell r="A612">
            <v>2386</v>
          </cell>
          <cell r="B612" t="str">
            <v>U. E. Independencia (Villa Tunari)Villa Tunari</v>
          </cell>
          <cell r="C612" t="str">
            <v>Cochabamba</v>
          </cell>
          <cell r="D612" t="str">
            <v>Chapare</v>
          </cell>
          <cell r="E612" t="str">
            <v>Villa Tunari</v>
          </cell>
          <cell r="F612" t="str">
            <v>Independencia (Villa Tunari)</v>
          </cell>
          <cell r="G612" t="str">
            <v>U. E. Independencia (Villa Tunari)</v>
          </cell>
          <cell r="H612" t="str">
            <v>Zona 4514</v>
          </cell>
          <cell r="I612" t="str">
            <v>Independencia(Villa Tunari)</v>
          </cell>
          <cell r="J612" t="str">
            <v>24</v>
          </cell>
          <cell r="K612" t="str">
            <v>Uninominal</v>
          </cell>
          <cell r="L612" t="str">
            <v>-16.4636</v>
          </cell>
          <cell r="M612" t="str">
            <v>-65.8023</v>
          </cell>
          <cell r="N612" t="str">
            <v>Rural</v>
          </cell>
          <cell r="O612" t="str">
            <v>2386</v>
          </cell>
          <cell r="P612" t="str">
            <v>POINT (-65.8023 -16.4636)</v>
          </cell>
          <cell r="Q612">
            <v>6</v>
          </cell>
          <cell r="R612">
            <v>0.99288695199469323</v>
          </cell>
        </row>
        <row r="613">
          <cell r="A613">
            <v>2387</v>
          </cell>
          <cell r="B613" t="str">
            <v>Unidad Educativa Villa NuevaVilla Tunari</v>
          </cell>
          <cell r="C613" t="str">
            <v>Cochabamba</v>
          </cell>
          <cell r="D613" t="str">
            <v>Chapare</v>
          </cell>
          <cell r="E613" t="str">
            <v>Villa Tunari</v>
          </cell>
          <cell r="F613" t="str">
            <v>Norte Galilea</v>
          </cell>
          <cell r="G613" t="str">
            <v>Unidad Educativa Villa Nueva</v>
          </cell>
          <cell r="H613" t="str">
            <v>Zona 4514</v>
          </cell>
          <cell r="I613" t="str">
            <v>Norte Galilea</v>
          </cell>
          <cell r="J613" t="str">
            <v>24</v>
          </cell>
          <cell r="K613" t="str">
            <v>Uninominal</v>
          </cell>
          <cell r="L613" t="str">
            <v>-16.6569</v>
          </cell>
          <cell r="M613" t="str">
            <v>-65.3399</v>
          </cell>
          <cell r="N613" t="str">
            <v>Urbano</v>
          </cell>
          <cell r="O613" t="str">
            <v>2387</v>
          </cell>
          <cell r="P613" t="str">
            <v>POINT (-65.3399 -16.6569)</v>
          </cell>
          <cell r="Q613">
            <v>2</v>
          </cell>
          <cell r="R613">
            <v>0.99404036299607212</v>
          </cell>
        </row>
        <row r="614">
          <cell r="A614">
            <v>2388</v>
          </cell>
          <cell r="B614" t="str">
            <v>Unidad Educativa TocopillaVilla Tunari</v>
          </cell>
          <cell r="C614" t="str">
            <v>Cochabamba</v>
          </cell>
          <cell r="D614" t="str">
            <v>Chapare</v>
          </cell>
          <cell r="E614" t="str">
            <v>Villa Tunari</v>
          </cell>
          <cell r="F614" t="str">
            <v>Tocopilla</v>
          </cell>
          <cell r="G614" t="str">
            <v>Unidad Educativa Tocopilla</v>
          </cell>
          <cell r="H614" t="str">
            <v>Zona 4514</v>
          </cell>
          <cell r="I614" t="str">
            <v>Tocopilla</v>
          </cell>
          <cell r="J614" t="str">
            <v>24</v>
          </cell>
          <cell r="K614" t="str">
            <v>Uninominal</v>
          </cell>
          <cell r="L614" t="str">
            <v>-16.8106</v>
          </cell>
          <cell r="M614" t="str">
            <v>-65.2642</v>
          </cell>
          <cell r="N614" t="str">
            <v>Rural</v>
          </cell>
          <cell r="O614" t="str">
            <v>2388</v>
          </cell>
          <cell r="P614" t="str">
            <v>POINT (-65.2642 -16.8106)</v>
          </cell>
          <cell r="Q614">
            <v>4</v>
          </cell>
          <cell r="R614">
            <v>0.98630297128190525</v>
          </cell>
        </row>
        <row r="615">
          <cell r="A615">
            <v>2389</v>
          </cell>
          <cell r="B615" t="str">
            <v>Unidad Educativa 1ro de MayoVilla Tunari</v>
          </cell>
          <cell r="C615" t="str">
            <v>Cochabamba</v>
          </cell>
          <cell r="D615" t="str">
            <v>Chapare</v>
          </cell>
          <cell r="E615" t="str">
            <v>Villa Tunari</v>
          </cell>
          <cell r="F615" t="str">
            <v>Primero de Mayo</v>
          </cell>
          <cell r="G615" t="str">
            <v>Unidad Educativa 1ro de Mayo</v>
          </cell>
          <cell r="H615" t="str">
            <v>Zona 4514</v>
          </cell>
          <cell r="I615" t="str">
            <v>Primero de Mayo</v>
          </cell>
          <cell r="J615" t="str">
            <v>24</v>
          </cell>
          <cell r="K615" t="str">
            <v>Uninominal</v>
          </cell>
          <cell r="L615" t="str">
            <v>-16.6472</v>
          </cell>
          <cell r="M615" t="str">
            <v>-65.4292</v>
          </cell>
          <cell r="N615" t="str">
            <v>Urbano</v>
          </cell>
          <cell r="O615" t="str">
            <v>2389</v>
          </cell>
          <cell r="P615" t="str">
            <v>POINT (-65.4292 -16.6472)</v>
          </cell>
          <cell r="Q615">
            <v>4</v>
          </cell>
          <cell r="R615">
            <v>0.99395218916460959</v>
          </cell>
        </row>
        <row r="616">
          <cell r="A616">
            <v>2390</v>
          </cell>
          <cell r="B616" t="str">
            <v>Unidad Educativa UnciaVilla Tunari</v>
          </cell>
          <cell r="C616" t="str">
            <v>Cochabamba</v>
          </cell>
          <cell r="D616" t="str">
            <v>Chapare</v>
          </cell>
          <cell r="E616" t="str">
            <v>Villa Tunari</v>
          </cell>
          <cell r="F616" t="str">
            <v>Uncia</v>
          </cell>
          <cell r="G616" t="str">
            <v>Unidad Educativa Uncia</v>
          </cell>
          <cell r="H616" t="str">
            <v>Zona 4514</v>
          </cell>
          <cell r="I616" t="str">
            <v>Uncia</v>
          </cell>
          <cell r="J616" t="str">
            <v>24</v>
          </cell>
          <cell r="K616" t="str">
            <v>Uninominal</v>
          </cell>
          <cell r="L616" t="str">
            <v>-16.5245</v>
          </cell>
          <cell r="M616" t="str">
            <v>-65.7351</v>
          </cell>
          <cell r="N616" t="str">
            <v>Rural</v>
          </cell>
          <cell r="O616" t="str">
            <v>2390</v>
          </cell>
          <cell r="P616" t="str">
            <v>POINT (-65.7351 -16.5245)</v>
          </cell>
          <cell r="Q616">
            <v>4</v>
          </cell>
          <cell r="R616">
            <v>0.99763033175355453</v>
          </cell>
        </row>
        <row r="617">
          <cell r="A617">
            <v>2391</v>
          </cell>
          <cell r="B617" t="str">
            <v>U.E. San BenitoVilla Tunari</v>
          </cell>
          <cell r="C617" t="str">
            <v>Cochabamba</v>
          </cell>
          <cell r="D617" t="str">
            <v>Chapare</v>
          </cell>
          <cell r="E617" t="str">
            <v>Villa Tunari</v>
          </cell>
          <cell r="F617" t="str">
            <v>San Benito</v>
          </cell>
          <cell r="G617" t="str">
            <v>U.E. San Benito</v>
          </cell>
          <cell r="H617" t="str">
            <v>Zona 4514</v>
          </cell>
          <cell r="I617" t="str">
            <v>San Benito</v>
          </cell>
          <cell r="J617" t="str">
            <v>2</v>
          </cell>
          <cell r="K617" t="str">
            <v>Uninominal</v>
          </cell>
          <cell r="L617" t="str">
            <v>-16.5327</v>
          </cell>
          <cell r="M617" t="str">
            <v>-65.5033</v>
          </cell>
          <cell r="N617" t="str">
            <v>Rural</v>
          </cell>
          <cell r="O617" t="str">
            <v>2391</v>
          </cell>
          <cell r="P617" t="str">
            <v>POINT (-65.5033 -16.5327)</v>
          </cell>
          <cell r="Q617">
            <v>1</v>
          </cell>
          <cell r="R617">
            <v>0.80800000000000005</v>
          </cell>
        </row>
        <row r="618">
          <cell r="A618">
            <v>2392</v>
          </cell>
          <cell r="B618" t="str">
            <v>U.E. LimoVilla Tunari</v>
          </cell>
          <cell r="C618" t="str">
            <v>Cochabamba</v>
          </cell>
          <cell r="D618" t="str">
            <v>Chapare</v>
          </cell>
          <cell r="E618" t="str">
            <v>Villa Tunari</v>
          </cell>
          <cell r="F618" t="str">
            <v>Yuracare Limo del Isiboro</v>
          </cell>
          <cell r="G618" t="str">
            <v>U.E. Limo</v>
          </cell>
          <cell r="H618" t="str">
            <v>Zona 4514</v>
          </cell>
          <cell r="I618" t="str">
            <v>Comunidad Indígena Limo del Isiboro, Isinuta</v>
          </cell>
          <cell r="J618" t="str">
            <v>2</v>
          </cell>
          <cell r="K618" t="str">
            <v>Uninominal</v>
          </cell>
          <cell r="L618" t="str">
            <v>-16.6962</v>
          </cell>
          <cell r="M618" t="str">
            <v>-65.6856</v>
          </cell>
          <cell r="N618" t="str">
            <v>Rural</v>
          </cell>
          <cell r="O618" t="str">
            <v>2392</v>
          </cell>
          <cell r="P618" t="str">
            <v>POINT (-65.6856 -16.6962)</v>
          </cell>
          <cell r="Q618">
            <v>1</v>
          </cell>
          <cell r="R618">
            <v>0.95714285714285718</v>
          </cell>
        </row>
        <row r="619">
          <cell r="A619">
            <v>2393</v>
          </cell>
          <cell r="B619" t="str">
            <v>U.E. Puerto PatiñoVilla Tunari</v>
          </cell>
          <cell r="C619" t="str">
            <v>Cochabamba</v>
          </cell>
          <cell r="D619" t="str">
            <v>Chapare</v>
          </cell>
          <cell r="E619" t="str">
            <v>Villa Tunari</v>
          </cell>
          <cell r="F619" t="str">
            <v>Puerto Patiño</v>
          </cell>
          <cell r="G619" t="str">
            <v>U.E. Puerto Patiño</v>
          </cell>
          <cell r="H619" t="str">
            <v>Zona 4514</v>
          </cell>
          <cell r="I619" t="str">
            <v>Sindicato Agrario Puerto Patiño</v>
          </cell>
          <cell r="J619" t="str">
            <v>24</v>
          </cell>
          <cell r="K619" t="str">
            <v>Uninominal</v>
          </cell>
          <cell r="L619" t="str">
            <v>-16.6823</v>
          </cell>
          <cell r="M619" t="str">
            <v>-65.6933</v>
          </cell>
          <cell r="N619" t="str">
            <v>Rural</v>
          </cell>
          <cell r="O619" t="str">
            <v>2393</v>
          </cell>
          <cell r="P619" t="str">
            <v>POINT (-65.6933 -16.6823)</v>
          </cell>
          <cell r="Q619">
            <v>3</v>
          </cell>
          <cell r="R619">
            <v>0.99180166912125678</v>
          </cell>
        </row>
        <row r="620">
          <cell r="A620">
            <v>2394</v>
          </cell>
          <cell r="B620" t="str">
            <v>U.E. Rodolfo IllanesVilla Tunari</v>
          </cell>
          <cell r="C620" t="str">
            <v>Cochabamba</v>
          </cell>
          <cell r="D620" t="str">
            <v>Chapare</v>
          </cell>
          <cell r="E620" t="str">
            <v>Villa Tunari</v>
          </cell>
          <cell r="F620" t="str">
            <v>16 de Julio Capihuara</v>
          </cell>
          <cell r="G620" t="str">
            <v>U.E. Rodolfo Illanes</v>
          </cell>
          <cell r="H620" t="str">
            <v>Zona 4514</v>
          </cell>
          <cell r="I620" t="str">
            <v>Comunidad 16 de Julio Capihuara</v>
          </cell>
          <cell r="J620" t="str">
            <v>24</v>
          </cell>
          <cell r="K620" t="str">
            <v>Uninominal</v>
          </cell>
          <cell r="L620" t="str">
            <v>-16.984781</v>
          </cell>
          <cell r="M620" t="str">
            <v>-65.606277</v>
          </cell>
          <cell r="N620" t="str">
            <v>Rural</v>
          </cell>
          <cell r="O620" t="str">
            <v>2394</v>
          </cell>
          <cell r="P620" t="str">
            <v>POINT (-65.606277 -16.984781)</v>
          </cell>
          <cell r="Q620">
            <v>3</v>
          </cell>
          <cell r="R620">
            <v>0.98913279721799607</v>
          </cell>
        </row>
        <row r="621">
          <cell r="A621">
            <v>2395</v>
          </cell>
          <cell r="B621" t="str">
            <v>U.E. 27 de MayoVilla Tunari</v>
          </cell>
          <cell r="C621" t="str">
            <v>Cochabamba</v>
          </cell>
          <cell r="D621" t="str">
            <v>Chapare</v>
          </cell>
          <cell r="E621" t="str">
            <v>Villa Tunari</v>
          </cell>
          <cell r="F621" t="str">
            <v>René Barrientos Ortuño</v>
          </cell>
          <cell r="G621" t="str">
            <v>U.E. 27 de Mayo</v>
          </cell>
          <cell r="H621" t="str">
            <v>Zona 4514</v>
          </cell>
          <cell r="I621" t="str">
            <v>René Barrientos Ortuño</v>
          </cell>
          <cell r="J621" t="str">
            <v>24</v>
          </cell>
          <cell r="K621" t="str">
            <v>Uninominal</v>
          </cell>
          <cell r="L621" t="str">
            <v>-16.955805</v>
          </cell>
          <cell r="M621" t="str">
            <v>-65.512726</v>
          </cell>
          <cell r="N621" t="str">
            <v>Rural</v>
          </cell>
          <cell r="O621" t="str">
            <v>2395</v>
          </cell>
          <cell r="P621" t="str">
            <v>POINT (-65.512726 -16.955805)</v>
          </cell>
          <cell r="Q621">
            <v>4</v>
          </cell>
          <cell r="R621" t="str">
            <v>Sin Info</v>
          </cell>
        </row>
        <row r="622">
          <cell r="A622">
            <v>2396</v>
          </cell>
          <cell r="B622" t="str">
            <v>U.E. AvispasVilla Tunari</v>
          </cell>
          <cell r="C622" t="str">
            <v>Cochabamba</v>
          </cell>
          <cell r="D622" t="str">
            <v>Chapare</v>
          </cell>
          <cell r="E622" t="str">
            <v>Villa Tunari</v>
          </cell>
          <cell r="F622" t="str">
            <v>Avispas</v>
          </cell>
          <cell r="G622" t="str">
            <v>U.E. Avispas</v>
          </cell>
          <cell r="H622" t="str">
            <v>Zona 4514</v>
          </cell>
          <cell r="I622" t="str">
            <v>Carretera  Cochabamba a Santa Cruz KM/144 Sindicato Avispas</v>
          </cell>
          <cell r="J622" t="str">
            <v>24</v>
          </cell>
          <cell r="K622" t="str">
            <v>Uninominal</v>
          </cell>
          <cell r="L622" t="str">
            <v>-17.016914</v>
          </cell>
          <cell r="M622" t="str">
            <v>-65.542803</v>
          </cell>
          <cell r="N622" t="str">
            <v>Urbano</v>
          </cell>
          <cell r="O622" t="str">
            <v>2396</v>
          </cell>
          <cell r="P622" t="str">
            <v>POINT (-65.542803 -17.016914)</v>
          </cell>
          <cell r="Q622">
            <v>2</v>
          </cell>
          <cell r="R622" t="str">
            <v>Sin Info</v>
          </cell>
        </row>
        <row r="623">
          <cell r="A623">
            <v>2397</v>
          </cell>
          <cell r="B623" t="str">
            <v>U.E. IbarecitoVilla Tunari</v>
          </cell>
          <cell r="C623" t="str">
            <v>Cochabamba</v>
          </cell>
          <cell r="D623" t="str">
            <v>Chapare</v>
          </cell>
          <cell r="E623" t="str">
            <v>Villa Tunari</v>
          </cell>
          <cell r="F623" t="str">
            <v>Ibarecito</v>
          </cell>
          <cell r="G623" t="str">
            <v>U.E. Ibarecito</v>
          </cell>
          <cell r="H623" t="str">
            <v>Zona 4514</v>
          </cell>
          <cell r="I623" t="str">
            <v>Al nor este del municipio Villa Tunari Comunidad Indigena Yuracare Ibarecito</v>
          </cell>
          <cell r="J623" t="str">
            <v>2</v>
          </cell>
          <cell r="K623" t="str">
            <v>Uninominal</v>
          </cell>
          <cell r="L623" t="str">
            <v>-16.779084</v>
          </cell>
          <cell r="M623" t="str">
            <v>-65.184844</v>
          </cell>
          <cell r="N623" t="str">
            <v>Rural</v>
          </cell>
          <cell r="O623" t="str">
            <v>2397</v>
          </cell>
          <cell r="P623" t="str">
            <v>POINT (-65.184844 -16.779084)</v>
          </cell>
          <cell r="Q623">
            <v>2</v>
          </cell>
          <cell r="R623" t="str">
            <v>Sin Info</v>
          </cell>
        </row>
        <row r="624">
          <cell r="A624">
            <v>2398</v>
          </cell>
          <cell r="B624" t="str">
            <v>U. E. PadresamaVilla Tunari</v>
          </cell>
          <cell r="C624" t="str">
            <v>Cochabamba</v>
          </cell>
          <cell r="D624" t="str">
            <v>Chapare</v>
          </cell>
          <cell r="E624" t="str">
            <v>Villa Tunari</v>
          </cell>
          <cell r="F624" t="str">
            <v>Padresama</v>
          </cell>
          <cell r="G624" t="str">
            <v>U. E. Padresama</v>
          </cell>
          <cell r="H624" t="str">
            <v>Zona 4514</v>
          </cell>
          <cell r="I624" t="str">
            <v>Se encuentra sobre la carretera cochamaba a Santa Cruz km 150, sindicato agrario Padresama</v>
          </cell>
          <cell r="J624" t="str">
            <v>24</v>
          </cell>
          <cell r="K624" t="str">
            <v>Uninominal</v>
          </cell>
          <cell r="L624" t="str">
            <v>-17.026174</v>
          </cell>
          <cell r="M624" t="str">
            <v>-65.49526</v>
          </cell>
          <cell r="N624" t="str">
            <v>Rural</v>
          </cell>
          <cell r="O624" t="str">
            <v>2398</v>
          </cell>
          <cell r="P624" t="str">
            <v>POINT (-65.49526 -17.026174)</v>
          </cell>
          <cell r="Q624">
            <v>3</v>
          </cell>
          <cell r="R624" t="str">
            <v>Sin Info</v>
          </cell>
        </row>
        <row r="625">
          <cell r="A625">
            <v>2399</v>
          </cell>
          <cell r="B625" t="str">
            <v>Unidad Educativa SucreTapacarí</v>
          </cell>
          <cell r="C625" t="str">
            <v>Cochabamba</v>
          </cell>
          <cell r="D625" t="str">
            <v>Tapacarí</v>
          </cell>
          <cell r="E625" t="str">
            <v>Tapacarí</v>
          </cell>
          <cell r="F625" t="str">
            <v>Tapacari</v>
          </cell>
          <cell r="G625" t="str">
            <v>Unidad Educativa Sucre</v>
          </cell>
          <cell r="H625" t="str">
            <v>Zona 4519</v>
          </cell>
          <cell r="I625" t="str">
            <v>Tapacari</v>
          </cell>
          <cell r="J625" t="str">
            <v>27</v>
          </cell>
          <cell r="K625" t="str">
            <v>Uninominal</v>
          </cell>
          <cell r="L625" t="str">
            <v>-17.5135</v>
          </cell>
          <cell r="M625" t="str">
            <v>-66.6253</v>
          </cell>
          <cell r="N625" t="str">
            <v>Rural</v>
          </cell>
          <cell r="O625" t="str">
            <v>2399</v>
          </cell>
          <cell r="P625" t="str">
            <v>POINT (-66.6253 -17.5135)</v>
          </cell>
          <cell r="Q625">
            <v>8</v>
          </cell>
          <cell r="R625">
            <v>0.93322711472561581</v>
          </cell>
        </row>
        <row r="626">
          <cell r="A626">
            <v>2400</v>
          </cell>
          <cell r="B626" t="str">
            <v>U.E. Tunas VintoTapacarí</v>
          </cell>
          <cell r="C626" t="str">
            <v>Cochabamba</v>
          </cell>
          <cell r="D626" t="str">
            <v>Tapacarí</v>
          </cell>
          <cell r="E626" t="str">
            <v>Tapacarí</v>
          </cell>
          <cell r="F626" t="str">
            <v>Tunas Vinto</v>
          </cell>
          <cell r="G626" t="str">
            <v>U.E. Tunas Vinto</v>
          </cell>
          <cell r="H626" t="str">
            <v>Zona 4522</v>
          </cell>
          <cell r="I626" t="str">
            <v>Tunas Vinto-Apharumiri</v>
          </cell>
          <cell r="J626" t="str">
            <v>27</v>
          </cell>
          <cell r="K626" t="str">
            <v>Uninominal</v>
          </cell>
          <cell r="L626" t="str">
            <v>-17.5313</v>
          </cell>
          <cell r="M626" t="str">
            <v>-66.5467</v>
          </cell>
          <cell r="N626" t="str">
            <v>Rural</v>
          </cell>
          <cell r="O626" t="str">
            <v>2400</v>
          </cell>
          <cell r="P626" t="str">
            <v>POINT (-66.5467 -17.5313)</v>
          </cell>
          <cell r="Q626">
            <v>3</v>
          </cell>
          <cell r="R626">
            <v>0.95611657870173239</v>
          </cell>
        </row>
        <row r="627">
          <cell r="A627">
            <v>2401</v>
          </cell>
          <cell r="B627" t="str">
            <v>Unidad Educativa RamadasTapacarí</v>
          </cell>
          <cell r="C627" t="str">
            <v>Cochabamba</v>
          </cell>
          <cell r="D627" t="str">
            <v>Tapacarí</v>
          </cell>
          <cell r="E627" t="str">
            <v>Tapacarí</v>
          </cell>
          <cell r="F627" t="str">
            <v>La Ramada</v>
          </cell>
          <cell r="G627" t="str">
            <v>Unidad Educativa Ramadas</v>
          </cell>
          <cell r="H627" t="str">
            <v>Zona 4517</v>
          </cell>
          <cell r="I627" t="str">
            <v>La Ramada</v>
          </cell>
          <cell r="J627" t="str">
            <v>27</v>
          </cell>
          <cell r="K627" t="str">
            <v>Uninominal</v>
          </cell>
          <cell r="L627" t="str">
            <v>-17.5517</v>
          </cell>
          <cell r="M627" t="str">
            <v>-66.475</v>
          </cell>
          <cell r="N627" t="str">
            <v>Rural</v>
          </cell>
          <cell r="O627" t="str">
            <v>2401</v>
          </cell>
          <cell r="P627" t="str">
            <v>POINT (-66.475 -17.5517)</v>
          </cell>
          <cell r="Q627">
            <v>4</v>
          </cell>
          <cell r="R627">
            <v>0.92728208207749974</v>
          </cell>
        </row>
        <row r="628">
          <cell r="A628">
            <v>2402</v>
          </cell>
          <cell r="B628" t="str">
            <v>Unidad Educativa Chullpa K'AsaTapacarí</v>
          </cell>
          <cell r="C628" t="str">
            <v>Cochabamba</v>
          </cell>
          <cell r="D628" t="str">
            <v>Tapacarí</v>
          </cell>
          <cell r="E628" t="str">
            <v>Tapacarí</v>
          </cell>
          <cell r="F628" t="str">
            <v>Chullpa Kasa</v>
          </cell>
          <cell r="G628" t="str">
            <v>Unidad Educativa Chullpa K'Asa</v>
          </cell>
          <cell r="H628" t="str">
            <v>Zona 4521</v>
          </cell>
          <cell r="I628" t="str">
            <v>Chullpa Kasa</v>
          </cell>
          <cell r="J628" t="str">
            <v>27</v>
          </cell>
          <cell r="K628" t="str">
            <v>Uninominal</v>
          </cell>
          <cell r="L628" t="str">
            <v>-17.6297</v>
          </cell>
          <cell r="M628" t="str">
            <v>-66.4384</v>
          </cell>
          <cell r="N628" t="str">
            <v>Rural</v>
          </cell>
          <cell r="O628" t="str">
            <v>2402</v>
          </cell>
          <cell r="P628" t="str">
            <v>POINT (-66.4384 -17.6297)</v>
          </cell>
          <cell r="Q628">
            <v>1</v>
          </cell>
          <cell r="R628">
            <v>0.92638036809815949</v>
          </cell>
        </row>
        <row r="629">
          <cell r="A629">
            <v>2403</v>
          </cell>
          <cell r="B629" t="str">
            <v>Unidad Educativa LlaviniTapacarí</v>
          </cell>
          <cell r="C629" t="str">
            <v>Cochabamba</v>
          </cell>
          <cell r="D629" t="str">
            <v>Tapacarí</v>
          </cell>
          <cell r="E629" t="str">
            <v>Tapacarí</v>
          </cell>
          <cell r="F629" t="str">
            <v>Llavini</v>
          </cell>
          <cell r="G629" t="str">
            <v>Unidad Educativa Llavini</v>
          </cell>
          <cell r="H629" t="str">
            <v>Zona 4516</v>
          </cell>
          <cell r="I629" t="str">
            <v>Llavini</v>
          </cell>
          <cell r="J629" t="str">
            <v>27</v>
          </cell>
          <cell r="K629" t="str">
            <v>Uninominal</v>
          </cell>
          <cell r="L629" t="str">
            <v>-17.6659</v>
          </cell>
          <cell r="M629" t="str">
            <v>-66.4101</v>
          </cell>
          <cell r="N629" t="str">
            <v>Rural</v>
          </cell>
          <cell r="O629" t="str">
            <v>2403</v>
          </cell>
          <cell r="P629" t="str">
            <v>POINT (-66.4101 -17.6659)</v>
          </cell>
          <cell r="Q629">
            <v>2</v>
          </cell>
          <cell r="R629">
            <v>0.96311694383223134</v>
          </cell>
        </row>
        <row r="630">
          <cell r="A630">
            <v>2404</v>
          </cell>
          <cell r="B630" t="str">
            <v>Unidad Educativa Norberto JimenezTapacarí</v>
          </cell>
          <cell r="C630" t="str">
            <v>Cochabamba</v>
          </cell>
          <cell r="D630" t="str">
            <v>Tapacarí</v>
          </cell>
          <cell r="E630" t="str">
            <v>Tapacarí</v>
          </cell>
          <cell r="F630" t="str">
            <v>Leque</v>
          </cell>
          <cell r="G630" t="str">
            <v>Unidad Educativa Norberto Jimenez</v>
          </cell>
          <cell r="H630" t="str">
            <v>Zona 4520</v>
          </cell>
          <cell r="I630" t="str">
            <v>Leque</v>
          </cell>
          <cell r="J630" t="str">
            <v>27</v>
          </cell>
          <cell r="K630" t="str">
            <v>Uninominal</v>
          </cell>
          <cell r="L630" t="str">
            <v>-17.5046</v>
          </cell>
          <cell r="M630" t="str">
            <v>-66.8142</v>
          </cell>
          <cell r="N630" t="str">
            <v>Rural</v>
          </cell>
          <cell r="O630" t="str">
            <v>2404</v>
          </cell>
          <cell r="P630" t="str">
            <v>POINT (-66.8142 -17.5046)</v>
          </cell>
          <cell r="Q630">
            <v>3</v>
          </cell>
          <cell r="R630">
            <v>0.94164934164934166</v>
          </cell>
        </row>
        <row r="631">
          <cell r="A631">
            <v>2405</v>
          </cell>
          <cell r="B631" t="str">
            <v>U.E. LacuyoTapacarí</v>
          </cell>
          <cell r="C631" t="str">
            <v>Cochabamba</v>
          </cell>
          <cell r="D631" t="str">
            <v>Tapacarí</v>
          </cell>
          <cell r="E631" t="str">
            <v>Tapacarí</v>
          </cell>
          <cell r="F631" t="str">
            <v>Challa</v>
          </cell>
          <cell r="G631" t="str">
            <v>U.E. Lacuyo</v>
          </cell>
          <cell r="H631" t="str">
            <v>Zona 4518</v>
          </cell>
          <cell r="I631" t="str">
            <v>Challa</v>
          </cell>
          <cell r="J631" t="str">
            <v>27</v>
          </cell>
          <cell r="K631" t="str">
            <v>Uninominal</v>
          </cell>
          <cell r="L631" t="str">
            <v>-17.6341</v>
          </cell>
          <cell r="M631" t="str">
            <v>-66.6877</v>
          </cell>
          <cell r="N631" t="str">
            <v>Rural</v>
          </cell>
          <cell r="O631" t="str">
            <v>2405</v>
          </cell>
          <cell r="P631" t="str">
            <v>POINT (-66.6877 -17.6341)</v>
          </cell>
          <cell r="Q631">
            <v>3</v>
          </cell>
          <cell r="R631">
            <v>0.91574587763908166</v>
          </cell>
        </row>
        <row r="632">
          <cell r="A632">
            <v>2406</v>
          </cell>
          <cell r="B632" t="str">
            <v>Nucleo Escolar ConfitalTapacarí</v>
          </cell>
          <cell r="C632" t="str">
            <v>Cochabamba</v>
          </cell>
          <cell r="D632" t="str">
            <v>Tapacarí</v>
          </cell>
          <cell r="E632" t="str">
            <v>Tapacarí</v>
          </cell>
          <cell r="F632" t="str">
            <v>Confital</v>
          </cell>
          <cell r="G632" t="str">
            <v>Nucleo Escolar Confital</v>
          </cell>
          <cell r="H632" t="str">
            <v>Zona 4518</v>
          </cell>
          <cell r="I632" t="str">
            <v>Confital</v>
          </cell>
          <cell r="J632" t="str">
            <v>27</v>
          </cell>
          <cell r="K632" t="str">
            <v>Uninominal</v>
          </cell>
          <cell r="L632" t="str">
            <v>-17.6788</v>
          </cell>
          <cell r="M632" t="str">
            <v>-66.7297</v>
          </cell>
          <cell r="N632" t="str">
            <v>Rural</v>
          </cell>
          <cell r="O632" t="str">
            <v>2406</v>
          </cell>
          <cell r="P632" t="str">
            <v>POINT (-66.7297 -17.6788)</v>
          </cell>
          <cell r="Q632">
            <v>3</v>
          </cell>
          <cell r="R632">
            <v>0.96776201145133189</v>
          </cell>
        </row>
        <row r="633">
          <cell r="A633">
            <v>2407</v>
          </cell>
          <cell r="B633" t="str">
            <v>Sede Comunal KalliriTapacarí</v>
          </cell>
          <cell r="C633" t="str">
            <v>Cochabamba</v>
          </cell>
          <cell r="D633" t="str">
            <v>Tapacarí</v>
          </cell>
          <cell r="E633" t="str">
            <v>Tapacarí</v>
          </cell>
          <cell r="F633" t="str">
            <v>Kalliri</v>
          </cell>
          <cell r="G633" t="str">
            <v>Sede Comunal Kalliri</v>
          </cell>
          <cell r="H633" t="str">
            <v>Zona 4521</v>
          </cell>
          <cell r="I633" t="str">
            <v>Calliri</v>
          </cell>
          <cell r="J633" t="str">
            <v>27</v>
          </cell>
          <cell r="K633" t="str">
            <v>Uninominal</v>
          </cell>
          <cell r="L633" t="str">
            <v>-17.5347</v>
          </cell>
          <cell r="M633" t="str">
            <v>-66.4806</v>
          </cell>
          <cell r="N633" t="str">
            <v>Rural</v>
          </cell>
          <cell r="O633" t="str">
            <v>2407</v>
          </cell>
          <cell r="P633" t="str">
            <v>POINT (-66.4806 -17.5347)</v>
          </cell>
          <cell r="Q633">
            <v>1</v>
          </cell>
          <cell r="R633" t="str">
            <v>Sin Info</v>
          </cell>
        </row>
        <row r="634">
          <cell r="A634">
            <v>2408</v>
          </cell>
          <cell r="B634" t="str">
            <v>Nucleo Escolar CharapayaTapacarí</v>
          </cell>
          <cell r="C634" t="str">
            <v>Cochabamba</v>
          </cell>
          <cell r="D634" t="str">
            <v>Tapacarí</v>
          </cell>
          <cell r="E634" t="str">
            <v>Tapacarí</v>
          </cell>
          <cell r="F634" t="str">
            <v>Charapaya</v>
          </cell>
          <cell r="G634" t="str">
            <v>Nucleo Escolar Charapaya</v>
          </cell>
          <cell r="H634" t="str">
            <v>Zona 4379</v>
          </cell>
          <cell r="I634" t="str">
            <v>Charapaya</v>
          </cell>
          <cell r="J634" t="str">
            <v>27</v>
          </cell>
          <cell r="K634" t="str">
            <v>Uninominal</v>
          </cell>
          <cell r="L634" t="str">
            <v>-17.3679</v>
          </cell>
          <cell r="M634" t="str">
            <v>-66.7551</v>
          </cell>
          <cell r="N634" t="str">
            <v>Rural</v>
          </cell>
          <cell r="O634" t="str">
            <v>2408</v>
          </cell>
          <cell r="P634" t="str">
            <v>POINT (-66.7551 -17.3679)</v>
          </cell>
          <cell r="Q634">
            <v>1</v>
          </cell>
          <cell r="R634">
            <v>0.9642857142857143</v>
          </cell>
        </row>
        <row r="635">
          <cell r="A635">
            <v>2409</v>
          </cell>
          <cell r="B635" t="str">
            <v>Unidad Educativa Waca PlayaTapacarí</v>
          </cell>
          <cell r="C635" t="str">
            <v>Cochabamba</v>
          </cell>
          <cell r="D635" t="str">
            <v>Tapacarí</v>
          </cell>
          <cell r="E635" t="str">
            <v>Tapacarí</v>
          </cell>
          <cell r="F635" t="str">
            <v>Waca Playa</v>
          </cell>
          <cell r="G635" t="str">
            <v>Unidad Educativa Waca Playa</v>
          </cell>
          <cell r="H635" t="str">
            <v>Chorojo</v>
          </cell>
          <cell r="I635" t="str">
            <v>Waca Playa</v>
          </cell>
          <cell r="J635" t="str">
            <v>27</v>
          </cell>
          <cell r="K635" t="str">
            <v>Uninominal</v>
          </cell>
          <cell r="L635" t="str">
            <v>-17.4582</v>
          </cell>
          <cell r="M635" t="str">
            <v>-66.489</v>
          </cell>
          <cell r="N635" t="str">
            <v>Rural</v>
          </cell>
          <cell r="O635" t="str">
            <v>2409</v>
          </cell>
          <cell r="P635" t="str">
            <v>POINT (-66.489 -17.4582)</v>
          </cell>
          <cell r="Q635">
            <v>4</v>
          </cell>
          <cell r="R635">
            <v>0.97270978271086217</v>
          </cell>
        </row>
        <row r="636">
          <cell r="A636">
            <v>2410</v>
          </cell>
          <cell r="B636" t="str">
            <v>Unidad Educativa Japo K'AsaTapacarí</v>
          </cell>
          <cell r="C636" t="str">
            <v>Cochabamba</v>
          </cell>
          <cell r="D636" t="str">
            <v>Tapacarí</v>
          </cell>
          <cell r="E636" t="str">
            <v>Tapacarí</v>
          </cell>
          <cell r="F636" t="str">
            <v>Japo Kasa</v>
          </cell>
          <cell r="G636" t="str">
            <v>Unidad Educativa Japo K'Asa</v>
          </cell>
          <cell r="H636" t="str">
            <v>Zona 4515</v>
          </cell>
          <cell r="I636" t="str">
            <v>Japo Kasa</v>
          </cell>
          <cell r="J636" t="str">
            <v>27</v>
          </cell>
          <cell r="K636" t="str">
            <v>Uninominal</v>
          </cell>
          <cell r="L636" t="str">
            <v>-17.6942</v>
          </cell>
          <cell r="M636" t="str">
            <v>-66.7647</v>
          </cell>
          <cell r="N636" t="str">
            <v>Rural</v>
          </cell>
          <cell r="O636" t="str">
            <v>2410</v>
          </cell>
          <cell r="P636" t="str">
            <v>POINT (-66.7647 -17.6942)</v>
          </cell>
          <cell r="Q636">
            <v>4</v>
          </cell>
          <cell r="R636">
            <v>0.96431236291330991</v>
          </cell>
        </row>
        <row r="637">
          <cell r="A637">
            <v>2411</v>
          </cell>
          <cell r="B637" t="str">
            <v>Unidad Educativa Central Villa PereiraTapacarí</v>
          </cell>
          <cell r="C637" t="str">
            <v>Cochabamba</v>
          </cell>
          <cell r="D637" t="str">
            <v>Tapacarí</v>
          </cell>
          <cell r="E637" t="str">
            <v>Tapacarí</v>
          </cell>
          <cell r="F637" t="str">
            <v>Villa Pereira</v>
          </cell>
          <cell r="G637" t="str">
            <v>Unidad Educativa Central Villa Pereira</v>
          </cell>
          <cell r="H637" t="str">
            <v>Zona 4522</v>
          </cell>
          <cell r="I637" t="str">
            <v>Villa Pereira</v>
          </cell>
          <cell r="J637" t="str">
            <v>27</v>
          </cell>
          <cell r="K637" t="str">
            <v>Uninominal</v>
          </cell>
          <cell r="L637" t="str">
            <v>-17.4463</v>
          </cell>
          <cell r="M637" t="str">
            <v>-66.7877</v>
          </cell>
          <cell r="N637" t="str">
            <v>Urbano</v>
          </cell>
          <cell r="O637" t="str">
            <v>2411</v>
          </cell>
          <cell r="P637" t="str">
            <v>POINT (-66.7877 -17.4463)</v>
          </cell>
          <cell r="Q637">
            <v>3</v>
          </cell>
          <cell r="R637">
            <v>0.93448563072626045</v>
          </cell>
        </row>
        <row r="638">
          <cell r="A638">
            <v>2412</v>
          </cell>
          <cell r="B638" t="str">
            <v>Unidad Educativa San AntonioTapacarí</v>
          </cell>
          <cell r="C638" t="str">
            <v>Cochabamba</v>
          </cell>
          <cell r="D638" t="str">
            <v>Tapacarí</v>
          </cell>
          <cell r="E638" t="str">
            <v>Tapacarí</v>
          </cell>
          <cell r="F638" t="str">
            <v>Nueva Florida</v>
          </cell>
          <cell r="G638" t="str">
            <v>Unidad Educativa San Antonio</v>
          </cell>
          <cell r="H638" t="str">
            <v>Zona 4520</v>
          </cell>
          <cell r="I638" t="str">
            <v>Nueva Florida</v>
          </cell>
          <cell r="J638" t="str">
            <v>27</v>
          </cell>
          <cell r="K638" t="str">
            <v>Uninominal</v>
          </cell>
          <cell r="L638" t="str">
            <v>-17.5426</v>
          </cell>
          <cell r="M638" t="str">
            <v>-66.831</v>
          </cell>
          <cell r="N638" t="str">
            <v>Urbano</v>
          </cell>
          <cell r="O638" t="str">
            <v>2412</v>
          </cell>
          <cell r="P638" t="str">
            <v>POINT (-66.831 -17.5426)</v>
          </cell>
          <cell r="Q638">
            <v>2</v>
          </cell>
          <cell r="R638">
            <v>0.87317073170731707</v>
          </cell>
        </row>
        <row r="639">
          <cell r="A639">
            <v>2413</v>
          </cell>
          <cell r="B639" t="str">
            <v>Escuela Chuñu ChuñiniTapacarí</v>
          </cell>
          <cell r="C639" t="str">
            <v>Cochabamba</v>
          </cell>
          <cell r="D639" t="str">
            <v>Tapacarí</v>
          </cell>
          <cell r="E639" t="str">
            <v>Tapacarí</v>
          </cell>
          <cell r="F639" t="str">
            <v>Chuñu Chuñuni</v>
          </cell>
          <cell r="G639" t="str">
            <v>Escuela Chuñu Chuñini</v>
          </cell>
          <cell r="H639" t="str">
            <v>Zona 4518</v>
          </cell>
          <cell r="I639" t="str">
            <v>Chuñu Chuñuni</v>
          </cell>
          <cell r="J639" t="str">
            <v>27</v>
          </cell>
          <cell r="K639" t="str">
            <v>Uninominal</v>
          </cell>
          <cell r="L639" t="str">
            <v>-17.7008</v>
          </cell>
          <cell r="M639" t="str">
            <v>-66.593</v>
          </cell>
          <cell r="N639" t="str">
            <v>Rural</v>
          </cell>
          <cell r="O639" t="str">
            <v>2413</v>
          </cell>
          <cell r="P639" t="str">
            <v>POINT (-66.593 -17.7008)</v>
          </cell>
          <cell r="Q639">
            <v>3</v>
          </cell>
          <cell r="R639">
            <v>0.94879374127619009</v>
          </cell>
        </row>
        <row r="640">
          <cell r="A640">
            <v>2414</v>
          </cell>
          <cell r="B640" t="str">
            <v>Escuela  Challa GrandeTapacarí</v>
          </cell>
          <cell r="C640" t="str">
            <v>Cochabamba</v>
          </cell>
          <cell r="D640" t="str">
            <v>Tapacarí</v>
          </cell>
          <cell r="E640" t="str">
            <v>Tapacarí</v>
          </cell>
          <cell r="F640" t="str">
            <v>Challa Grande</v>
          </cell>
          <cell r="G640" t="str">
            <v>Escuela  Challa Grande</v>
          </cell>
          <cell r="H640" t="str">
            <v>Zona 4518</v>
          </cell>
          <cell r="I640" t="str">
            <v>Challa Grande</v>
          </cell>
          <cell r="J640" t="str">
            <v>27</v>
          </cell>
          <cell r="K640" t="str">
            <v>Uninominal</v>
          </cell>
          <cell r="L640" t="str">
            <v>-17.7061</v>
          </cell>
          <cell r="M640" t="str">
            <v>-66.6425</v>
          </cell>
          <cell r="N640" t="str">
            <v>Rural</v>
          </cell>
          <cell r="O640" t="str">
            <v>2414</v>
          </cell>
          <cell r="P640" t="str">
            <v>POINT (-66.6425 -17.7061)</v>
          </cell>
          <cell r="Q640">
            <v>2</v>
          </cell>
          <cell r="R640">
            <v>0.93034803480348027</v>
          </cell>
        </row>
        <row r="641">
          <cell r="A641">
            <v>2415</v>
          </cell>
          <cell r="B641" t="str">
            <v>Escuela Monseñor Angel GelmiTapacarí</v>
          </cell>
          <cell r="C641" t="str">
            <v>Cochabamba</v>
          </cell>
          <cell r="D641" t="str">
            <v>Tapacarí</v>
          </cell>
          <cell r="E641" t="str">
            <v>Tapacarí</v>
          </cell>
          <cell r="F641" t="str">
            <v>Tita Gallo</v>
          </cell>
          <cell r="G641" t="str">
            <v>Escuela Monseñor Angel Gelmi</v>
          </cell>
          <cell r="H641" t="str">
            <v>Zona 4522</v>
          </cell>
          <cell r="I641" t="str">
            <v>Tita Gallo</v>
          </cell>
          <cell r="J641" t="str">
            <v>27</v>
          </cell>
          <cell r="K641" t="str">
            <v>Uninominal</v>
          </cell>
          <cell r="L641" t="str">
            <v>-17.6107</v>
          </cell>
          <cell r="M641" t="str">
            <v>-66.56</v>
          </cell>
          <cell r="N641" t="str">
            <v>Rural</v>
          </cell>
          <cell r="O641" t="str">
            <v>2415</v>
          </cell>
          <cell r="P641" t="str">
            <v>POINT (-66.56 -17.6107)</v>
          </cell>
          <cell r="Q641">
            <v>3</v>
          </cell>
          <cell r="R641">
            <v>0.9237457492374691</v>
          </cell>
        </row>
        <row r="642">
          <cell r="A642">
            <v>2416</v>
          </cell>
          <cell r="B642" t="str">
            <v>Unidad Educativa KataririTapacarí</v>
          </cell>
          <cell r="C642" t="str">
            <v>Cochabamba</v>
          </cell>
          <cell r="D642" t="str">
            <v>Tapacarí</v>
          </cell>
          <cell r="E642" t="str">
            <v>Tapacarí</v>
          </cell>
          <cell r="F642" t="str">
            <v>Katariri</v>
          </cell>
          <cell r="G642" t="str">
            <v>Unidad Educativa Katariri</v>
          </cell>
          <cell r="H642" t="str">
            <v>Zona 4522</v>
          </cell>
          <cell r="I642" t="str">
            <v>Katariri</v>
          </cell>
          <cell r="J642" t="str">
            <v>27</v>
          </cell>
          <cell r="K642" t="str">
            <v>Uninominal</v>
          </cell>
          <cell r="L642" t="str">
            <v>-17.6336</v>
          </cell>
          <cell r="M642" t="str">
            <v>-66.5132</v>
          </cell>
          <cell r="N642" t="str">
            <v>Urbano</v>
          </cell>
          <cell r="O642" t="str">
            <v>2416</v>
          </cell>
          <cell r="P642" t="str">
            <v>POINT (-66.5132 -17.6336)</v>
          </cell>
          <cell r="Q642">
            <v>3</v>
          </cell>
          <cell r="R642">
            <v>0.97343691780311492</v>
          </cell>
        </row>
        <row r="643">
          <cell r="A643">
            <v>2417</v>
          </cell>
          <cell r="B643" t="str">
            <v>Unidad Educativa KjarkasTapacarí</v>
          </cell>
          <cell r="C643" t="str">
            <v>Cochabamba</v>
          </cell>
          <cell r="D643" t="str">
            <v>Tapacarí</v>
          </cell>
          <cell r="E643" t="str">
            <v>Tapacarí</v>
          </cell>
          <cell r="F643" t="str">
            <v>Kjarkas</v>
          </cell>
          <cell r="G643" t="str">
            <v>Unidad Educativa Kjarkas</v>
          </cell>
          <cell r="H643" t="str">
            <v>Zona 4522</v>
          </cell>
          <cell r="I643" t="str">
            <v>Kjarkas</v>
          </cell>
          <cell r="J643" t="str">
            <v>27</v>
          </cell>
          <cell r="K643" t="str">
            <v>Uninominal</v>
          </cell>
          <cell r="L643" t="str">
            <v>-17.6984</v>
          </cell>
          <cell r="M643" t="str">
            <v>-66.5235</v>
          </cell>
          <cell r="N643" t="str">
            <v>Rural</v>
          </cell>
          <cell r="O643" t="str">
            <v>2417</v>
          </cell>
          <cell r="P643" t="str">
            <v>POINT (-66.5235 -17.6984)</v>
          </cell>
          <cell r="Q643">
            <v>2</v>
          </cell>
          <cell r="R643">
            <v>0.93905930470347654</v>
          </cell>
        </row>
        <row r="644">
          <cell r="A644">
            <v>2418</v>
          </cell>
          <cell r="B644" t="str">
            <v>U.E. LacolaconiTapacarí</v>
          </cell>
          <cell r="C644" t="str">
            <v>Cochabamba</v>
          </cell>
          <cell r="D644" t="str">
            <v>Tapacarí</v>
          </cell>
          <cell r="E644" t="str">
            <v>Tapacarí</v>
          </cell>
          <cell r="F644" t="str">
            <v>Lacolaconi</v>
          </cell>
          <cell r="G644" t="str">
            <v>U.E. Lacolaconi</v>
          </cell>
          <cell r="H644" t="str">
            <v>Zona 4518</v>
          </cell>
          <cell r="I644" t="str">
            <v>Lacolaconi</v>
          </cell>
          <cell r="J644" t="str">
            <v>27</v>
          </cell>
          <cell r="K644" t="str">
            <v>Uninominal</v>
          </cell>
          <cell r="L644" t="str">
            <v>-17.6594</v>
          </cell>
          <cell r="M644" t="str">
            <v>-66.8304</v>
          </cell>
          <cell r="N644" t="str">
            <v>Rural</v>
          </cell>
          <cell r="O644" t="str">
            <v>2418</v>
          </cell>
          <cell r="P644" t="str">
            <v>POINT (-66.8304 -17.6594)</v>
          </cell>
          <cell r="Q644">
            <v>2</v>
          </cell>
          <cell r="R644">
            <v>0.95890985324947597</v>
          </cell>
        </row>
        <row r="645">
          <cell r="A645">
            <v>2419</v>
          </cell>
          <cell r="B645" t="str">
            <v>U.E. Chillca GrandeTapacarí</v>
          </cell>
          <cell r="C645" t="str">
            <v>Cochabamba</v>
          </cell>
          <cell r="D645" t="str">
            <v>Tapacarí</v>
          </cell>
          <cell r="E645" t="str">
            <v>Tapacarí</v>
          </cell>
          <cell r="F645" t="str">
            <v>Chillca Grande</v>
          </cell>
          <cell r="G645" t="str">
            <v>U.E. Chillca Grande</v>
          </cell>
          <cell r="H645" t="str">
            <v>Zona 4522</v>
          </cell>
          <cell r="I645" t="str">
            <v>Chillca Grande</v>
          </cell>
          <cell r="J645" t="str">
            <v>27</v>
          </cell>
          <cell r="K645" t="str">
            <v>Uninominal</v>
          </cell>
          <cell r="L645" t="str">
            <v>-17.5958</v>
          </cell>
          <cell r="M645" t="str">
            <v>-66.6303</v>
          </cell>
          <cell r="N645" t="str">
            <v>Rural</v>
          </cell>
          <cell r="O645" t="str">
            <v>2419</v>
          </cell>
          <cell r="P645" t="str">
            <v>POINT (-66.6303 -17.5958)</v>
          </cell>
          <cell r="Q645">
            <v>1</v>
          </cell>
          <cell r="R645">
            <v>0.97115384615384615</v>
          </cell>
        </row>
        <row r="646">
          <cell r="A646">
            <v>2420</v>
          </cell>
          <cell r="B646" t="str">
            <v>U.E. ArasayaTapacarí</v>
          </cell>
          <cell r="C646" t="str">
            <v>Cochabamba</v>
          </cell>
          <cell r="D646" t="str">
            <v>Tapacarí</v>
          </cell>
          <cell r="E646" t="str">
            <v>Tapacarí</v>
          </cell>
          <cell r="F646" t="str">
            <v>Arasaya</v>
          </cell>
          <cell r="G646" t="str">
            <v>U.E. Arasaya</v>
          </cell>
          <cell r="H646" t="str">
            <v>Zona 4522</v>
          </cell>
          <cell r="I646" t="str">
            <v>Arasaya</v>
          </cell>
          <cell r="J646" t="str">
            <v>27</v>
          </cell>
          <cell r="K646" t="str">
            <v>Uninominal</v>
          </cell>
          <cell r="L646" t="str">
            <v>-17.4366</v>
          </cell>
          <cell r="M646" t="str">
            <v>-66.5973</v>
          </cell>
          <cell r="N646" t="str">
            <v>Rural</v>
          </cell>
          <cell r="O646" t="str">
            <v>2420</v>
          </cell>
          <cell r="P646" t="str">
            <v>POINT (-66.5973 -17.4366)</v>
          </cell>
          <cell r="Q646">
            <v>2</v>
          </cell>
          <cell r="R646">
            <v>0.93665138423558458</v>
          </cell>
        </row>
        <row r="647">
          <cell r="A647">
            <v>2421</v>
          </cell>
          <cell r="B647" t="str">
            <v>U.E. ApharumiriTapacarí</v>
          </cell>
          <cell r="C647" t="str">
            <v>Cochabamba</v>
          </cell>
          <cell r="D647" t="str">
            <v>Tapacarí</v>
          </cell>
          <cell r="E647" t="str">
            <v>Tapacarí</v>
          </cell>
          <cell r="F647" t="str">
            <v>Apharumiri</v>
          </cell>
          <cell r="G647" t="str">
            <v>U.E. Apharumiri</v>
          </cell>
          <cell r="H647" t="str">
            <v>Zona 4522</v>
          </cell>
          <cell r="I647" t="str">
            <v>Apharumiri</v>
          </cell>
          <cell r="J647" t="str">
            <v>27</v>
          </cell>
          <cell r="K647" t="str">
            <v>Uninominal</v>
          </cell>
          <cell r="L647" t="str">
            <v>-17.530435</v>
          </cell>
          <cell r="M647" t="str">
            <v>-66.52147</v>
          </cell>
          <cell r="N647" t="str">
            <v>Rural</v>
          </cell>
          <cell r="O647" t="str">
            <v>2421</v>
          </cell>
          <cell r="P647" t="str">
            <v>POINT (-66.52147 -17.530435)</v>
          </cell>
          <cell r="Q647">
            <v>1</v>
          </cell>
          <cell r="R647" t="str">
            <v>Sin Info</v>
          </cell>
        </row>
        <row r="648">
          <cell r="A648">
            <v>2422</v>
          </cell>
          <cell r="B648" t="str">
            <v>U.E. CoracabaTapacarí</v>
          </cell>
          <cell r="C648" t="str">
            <v>Cochabamba</v>
          </cell>
          <cell r="D648" t="str">
            <v>Tapacarí</v>
          </cell>
          <cell r="E648" t="str">
            <v>Tapacarí</v>
          </cell>
          <cell r="F648" t="str">
            <v>Coracaba</v>
          </cell>
          <cell r="G648" t="str">
            <v>U.E. Coracaba</v>
          </cell>
          <cell r="H648" t="str">
            <v>Zona 4474</v>
          </cell>
          <cell r="I648" t="str">
            <v>Coracaba</v>
          </cell>
          <cell r="J648" t="str">
            <v>27</v>
          </cell>
          <cell r="K648" t="str">
            <v>Uninominal</v>
          </cell>
          <cell r="L648" t="str">
            <v>-17.564817</v>
          </cell>
          <cell r="M648" t="str">
            <v>-66.359037</v>
          </cell>
          <cell r="N648" t="str">
            <v>Rural</v>
          </cell>
          <cell r="O648" t="str">
            <v>2422</v>
          </cell>
          <cell r="P648" t="str">
            <v>POINT (-66.359037 -17.564817)</v>
          </cell>
          <cell r="Q648">
            <v>1</v>
          </cell>
          <cell r="R648" t="str">
            <v>Sin Info</v>
          </cell>
        </row>
        <row r="649">
          <cell r="A649">
            <v>2423</v>
          </cell>
          <cell r="B649" t="str">
            <v>U.E. TumuyoTapacarí</v>
          </cell>
          <cell r="C649" t="str">
            <v>Cochabamba</v>
          </cell>
          <cell r="D649" t="str">
            <v>Tapacarí</v>
          </cell>
          <cell r="E649" t="str">
            <v>Tapacarí</v>
          </cell>
          <cell r="F649" t="str">
            <v>Tumuyu</v>
          </cell>
          <cell r="G649" t="str">
            <v>U.E. Tumuyo</v>
          </cell>
          <cell r="H649" t="str">
            <v>Zona 4522</v>
          </cell>
          <cell r="I649" t="str">
            <v>Comunidad Tumuyu Lado Sudeste de la capital del municipio Tapacari</v>
          </cell>
          <cell r="J649" t="str">
            <v>27</v>
          </cell>
          <cell r="K649" t="str">
            <v>Uninominal</v>
          </cell>
          <cell r="L649" t="str">
            <v>-17.576159</v>
          </cell>
          <cell r="M649" t="str">
            <v>-66.534251</v>
          </cell>
          <cell r="N649" t="str">
            <v>Rural</v>
          </cell>
          <cell r="O649" t="str">
            <v>2423</v>
          </cell>
          <cell r="P649" t="str">
            <v>POINT (-66.534251 -17.576159)</v>
          </cell>
          <cell r="Q649">
            <v>1</v>
          </cell>
          <cell r="R649" t="str">
            <v>Sin Info</v>
          </cell>
        </row>
        <row r="650">
          <cell r="A650">
            <v>2424</v>
          </cell>
          <cell r="B650" t="str">
            <v>U.E. Zenobio GallardoTapacarí</v>
          </cell>
          <cell r="C650" t="str">
            <v>Cochabamba</v>
          </cell>
          <cell r="D650" t="str">
            <v>Tapacarí</v>
          </cell>
          <cell r="E650" t="str">
            <v>Tapacarí</v>
          </cell>
          <cell r="F650" t="str">
            <v>Jatun Cienega</v>
          </cell>
          <cell r="G650" t="str">
            <v>U.E. Zenobio Gallardo</v>
          </cell>
          <cell r="H650" t="str">
            <v>Zona 4521</v>
          </cell>
          <cell r="I650" t="str">
            <v>Distrito Ramadas, comunidad Jatun Cienega</v>
          </cell>
          <cell r="J650" t="str">
            <v>27</v>
          </cell>
          <cell r="K650" t="str">
            <v>Uninominal</v>
          </cell>
          <cell r="L650" t="str">
            <v>-17.445888</v>
          </cell>
          <cell r="M650" t="str">
            <v>-66.518805</v>
          </cell>
          <cell r="N650" t="str">
            <v>Rural</v>
          </cell>
          <cell r="O650" t="str">
            <v>2424</v>
          </cell>
          <cell r="P650" t="str">
            <v>POINT (-66.518805 -17.445888)</v>
          </cell>
          <cell r="Q650">
            <v>1</v>
          </cell>
          <cell r="R650" t="str">
            <v>Sin Info</v>
          </cell>
        </row>
        <row r="651">
          <cell r="A651">
            <v>2425</v>
          </cell>
          <cell r="B651" t="str">
            <v>U.E. La PazTotora</v>
          </cell>
          <cell r="C651" t="str">
            <v>Cochabamba</v>
          </cell>
          <cell r="D651" t="str">
            <v>Carrasco</v>
          </cell>
          <cell r="E651" t="str">
            <v>Totora</v>
          </cell>
          <cell r="F651" t="str">
            <v>Totora</v>
          </cell>
          <cell r="G651" t="str">
            <v>U.E. La Paz</v>
          </cell>
          <cell r="H651" t="str">
            <v>Zona 4524</v>
          </cell>
          <cell r="I651" t="str">
            <v>Ubicado en la zona Ladislao Cabrera frente al Hospital Dr. Aurelio Melean, a lado Sud Localidad de Totora.</v>
          </cell>
          <cell r="J651" t="str">
            <v>25</v>
          </cell>
          <cell r="K651" t="str">
            <v>Uninominal</v>
          </cell>
          <cell r="L651" t="str">
            <v>-17.740815</v>
          </cell>
          <cell r="M651" t="str">
            <v>-65.191189</v>
          </cell>
          <cell r="N651" t="str">
            <v>Rural</v>
          </cell>
          <cell r="O651" t="str">
            <v>2425</v>
          </cell>
          <cell r="P651" t="str">
            <v>POINT (-65.191189 -17.740815)</v>
          </cell>
          <cell r="Q651">
            <v>15</v>
          </cell>
          <cell r="R651">
            <v>0.88833065512278142</v>
          </cell>
        </row>
        <row r="652">
          <cell r="A652">
            <v>2426</v>
          </cell>
          <cell r="B652" t="str">
            <v>Sede De La Junta Vecinal De EpizanaTotora</v>
          </cell>
          <cell r="C652" t="str">
            <v>Cochabamba</v>
          </cell>
          <cell r="D652" t="str">
            <v>Carrasco</v>
          </cell>
          <cell r="E652" t="str">
            <v>Totora</v>
          </cell>
          <cell r="F652" t="str">
            <v>Epizana</v>
          </cell>
          <cell r="G652" t="str">
            <v>Sede De La Junta Vecinal De Epizana</v>
          </cell>
          <cell r="H652" t="str">
            <v>Zona 4523</v>
          </cell>
          <cell r="I652" t="str">
            <v>Comunidad Epizana</v>
          </cell>
          <cell r="J652" t="str">
            <v>25</v>
          </cell>
          <cell r="K652" t="str">
            <v>Uninominal</v>
          </cell>
          <cell r="L652" t="str">
            <v>-17.6372</v>
          </cell>
          <cell r="M652" t="str">
            <v>-65.229</v>
          </cell>
          <cell r="N652" t="str">
            <v>Rural</v>
          </cell>
          <cell r="O652" t="str">
            <v>2426</v>
          </cell>
          <cell r="P652" t="str">
            <v>POINT (-65.229 -17.6372)</v>
          </cell>
          <cell r="Q652">
            <v>5</v>
          </cell>
          <cell r="R652">
            <v>0.94220105376856067</v>
          </cell>
        </row>
        <row r="653">
          <cell r="A653">
            <v>2427</v>
          </cell>
          <cell r="B653" t="str">
            <v>Unidad Educativa Tiraque CTotora</v>
          </cell>
          <cell r="C653" t="str">
            <v>Cochabamba</v>
          </cell>
          <cell r="D653" t="str">
            <v>Carrasco</v>
          </cell>
          <cell r="E653" t="str">
            <v>Totora</v>
          </cell>
          <cell r="F653" t="str">
            <v>Tiraque  C</v>
          </cell>
          <cell r="G653" t="str">
            <v>Unidad Educativa Tiraque C</v>
          </cell>
          <cell r="H653" t="str">
            <v>Zona 4527</v>
          </cell>
          <cell r="I653" t="str">
            <v>Tiraque C</v>
          </cell>
          <cell r="J653" t="str">
            <v>25</v>
          </cell>
          <cell r="K653" t="str">
            <v>Uninominal</v>
          </cell>
          <cell r="L653" t="str">
            <v>-17.6704</v>
          </cell>
          <cell r="M653" t="str">
            <v>-65.0955</v>
          </cell>
          <cell r="N653" t="str">
            <v>Rural</v>
          </cell>
          <cell r="O653" t="str">
            <v>2427</v>
          </cell>
          <cell r="P653" t="str">
            <v>POINT (-65.0955 -17.6704)</v>
          </cell>
          <cell r="Q653">
            <v>2</v>
          </cell>
          <cell r="R653">
            <v>0.96171503525168056</v>
          </cell>
        </row>
        <row r="654">
          <cell r="A654">
            <v>2428</v>
          </cell>
          <cell r="B654" t="str">
            <v>U.E. Eduardo AbaroaTotora</v>
          </cell>
          <cell r="C654" t="str">
            <v>Cochabamba</v>
          </cell>
          <cell r="D654" t="str">
            <v>Carrasco</v>
          </cell>
          <cell r="E654" t="str">
            <v>Totora</v>
          </cell>
          <cell r="F654" t="str">
            <v>Laime Toro</v>
          </cell>
          <cell r="G654" t="str">
            <v>U.E. Eduardo Abaroa</v>
          </cell>
          <cell r="H654" t="str">
            <v>Zona 4527</v>
          </cell>
          <cell r="I654" t="str">
            <v>Comunidad Laime Toro</v>
          </cell>
          <cell r="J654" t="str">
            <v>25</v>
          </cell>
          <cell r="K654" t="str">
            <v>Uninominal</v>
          </cell>
          <cell r="L654" t="str">
            <v>-17.667211</v>
          </cell>
          <cell r="M654" t="str">
            <v>-65.059754</v>
          </cell>
          <cell r="N654" t="str">
            <v>Rural</v>
          </cell>
          <cell r="O654" t="str">
            <v>2428</v>
          </cell>
          <cell r="P654" t="str">
            <v>POINT (-65.059754 -17.667211)</v>
          </cell>
          <cell r="Q654">
            <v>4</v>
          </cell>
          <cell r="R654">
            <v>0.98750872552261282</v>
          </cell>
        </row>
        <row r="655">
          <cell r="A655">
            <v>2429</v>
          </cell>
          <cell r="B655" t="str">
            <v>Unidad Educativa Rodeo GrandeTotora</v>
          </cell>
          <cell r="C655" t="str">
            <v>Cochabamba</v>
          </cell>
          <cell r="D655" t="str">
            <v>Carrasco</v>
          </cell>
          <cell r="E655" t="str">
            <v>Totora</v>
          </cell>
          <cell r="F655" t="str">
            <v>Rodeo Grande</v>
          </cell>
          <cell r="G655" t="str">
            <v>Unidad Educativa Rodeo Grande</v>
          </cell>
          <cell r="H655" t="str">
            <v>Zona 4527</v>
          </cell>
          <cell r="I655" t="str">
            <v>Rodeo Grande</v>
          </cell>
          <cell r="J655" t="str">
            <v>25</v>
          </cell>
          <cell r="K655" t="str">
            <v>Uninominal</v>
          </cell>
          <cell r="L655" t="str">
            <v>-17.6611</v>
          </cell>
          <cell r="M655" t="str">
            <v>-65.1313</v>
          </cell>
          <cell r="N655" t="str">
            <v>Rural</v>
          </cell>
          <cell r="O655" t="str">
            <v>2429</v>
          </cell>
          <cell r="P655" t="str">
            <v>POINT (-65.1313 -17.6611)</v>
          </cell>
          <cell r="Q655">
            <v>5</v>
          </cell>
          <cell r="R655">
            <v>0.98220903765540901</v>
          </cell>
        </row>
        <row r="656">
          <cell r="A656">
            <v>2430</v>
          </cell>
          <cell r="B656" t="str">
            <v>Colegio 8 de SeptiembreTotora</v>
          </cell>
          <cell r="C656" t="str">
            <v>Cochabamba</v>
          </cell>
          <cell r="D656" t="str">
            <v>Carrasco</v>
          </cell>
          <cell r="E656" t="str">
            <v>Totora</v>
          </cell>
          <cell r="F656" t="str">
            <v>Copachuncho</v>
          </cell>
          <cell r="G656" t="str">
            <v>Colegio 8 de Septiembre</v>
          </cell>
          <cell r="H656" t="str">
            <v>Zona 4525</v>
          </cell>
          <cell r="I656" t="str">
            <v>Copachuncho</v>
          </cell>
          <cell r="J656" t="str">
            <v>25</v>
          </cell>
          <cell r="K656" t="str">
            <v>Uninominal</v>
          </cell>
          <cell r="L656" t="str">
            <v>-17.718</v>
          </cell>
          <cell r="M656" t="str">
            <v>-65.0871</v>
          </cell>
          <cell r="N656" t="str">
            <v>Rural</v>
          </cell>
          <cell r="O656" t="str">
            <v>2430</v>
          </cell>
          <cell r="P656" t="str">
            <v>POINT (-65.0871 -17.718)</v>
          </cell>
          <cell r="Q656">
            <v>4</v>
          </cell>
          <cell r="R656">
            <v>0.964837752027497</v>
          </cell>
        </row>
        <row r="657">
          <cell r="A657">
            <v>2431</v>
          </cell>
          <cell r="B657" t="str">
            <v>Sede Social Yungas de VandiolaTotora</v>
          </cell>
          <cell r="C657" t="str">
            <v>Cochabamba</v>
          </cell>
          <cell r="D657" t="str">
            <v>Carrasco</v>
          </cell>
          <cell r="E657" t="str">
            <v>Totora</v>
          </cell>
          <cell r="F657" t="str">
            <v>Arepucho (Corte)</v>
          </cell>
          <cell r="G657" t="str">
            <v>Sede Social Yungas de Vandiola</v>
          </cell>
          <cell r="H657" t="str">
            <v>Zona 4528</v>
          </cell>
          <cell r="I657" t="str">
            <v>Arepucho (Corte)</v>
          </cell>
          <cell r="J657" t="str">
            <v>25</v>
          </cell>
          <cell r="K657" t="str">
            <v>Uninominal</v>
          </cell>
          <cell r="L657" t="str">
            <v>-17.4261</v>
          </cell>
          <cell r="M657" t="str">
            <v>-65.2358</v>
          </cell>
          <cell r="N657" t="str">
            <v>Rural</v>
          </cell>
          <cell r="O657" t="str">
            <v>2431</v>
          </cell>
          <cell r="P657" t="str">
            <v>POINT (-65.2358 -17.4261)</v>
          </cell>
          <cell r="Q657">
            <v>3</v>
          </cell>
          <cell r="R657">
            <v>0.94331790782033498</v>
          </cell>
        </row>
        <row r="658">
          <cell r="A658">
            <v>2432</v>
          </cell>
          <cell r="B658" t="str">
            <v>Unidad Educativa Tika PampaTotora</v>
          </cell>
          <cell r="C658" t="str">
            <v>Cochabamba</v>
          </cell>
          <cell r="D658" t="str">
            <v>Carrasco</v>
          </cell>
          <cell r="E658" t="str">
            <v>Totora</v>
          </cell>
          <cell r="F658" t="str">
            <v>Tika Pampa</v>
          </cell>
          <cell r="G658" t="str">
            <v>Unidad Educativa Tika Pampa</v>
          </cell>
          <cell r="H658" t="str">
            <v>Zona 4545</v>
          </cell>
          <cell r="I658" t="str">
            <v>Tika Pampa</v>
          </cell>
          <cell r="J658" t="str">
            <v>25</v>
          </cell>
          <cell r="K658" t="str">
            <v>Uninominal</v>
          </cell>
          <cell r="L658" t="str">
            <v>-17.7833</v>
          </cell>
          <cell r="M658" t="str">
            <v>-65.2568</v>
          </cell>
          <cell r="N658" t="str">
            <v>Rural</v>
          </cell>
          <cell r="O658" t="str">
            <v>2432</v>
          </cell>
          <cell r="P658" t="str">
            <v>POINT (-65.2568 -17.7833)</v>
          </cell>
          <cell r="Q658">
            <v>1</v>
          </cell>
          <cell r="R658">
            <v>0.96799999999999997</v>
          </cell>
        </row>
        <row r="659">
          <cell r="A659">
            <v>2433</v>
          </cell>
          <cell r="B659" t="str">
            <v>Unidad Educativa AntaqawaTotora</v>
          </cell>
          <cell r="C659" t="str">
            <v>Cochabamba</v>
          </cell>
          <cell r="D659" t="str">
            <v>Carrasco</v>
          </cell>
          <cell r="E659" t="str">
            <v>Totora</v>
          </cell>
          <cell r="F659" t="str">
            <v>Antaqawa</v>
          </cell>
          <cell r="G659" t="str">
            <v>Unidad Educativa Antaqawa</v>
          </cell>
          <cell r="H659" t="str">
            <v>Zona 4526</v>
          </cell>
          <cell r="I659" t="str">
            <v>Antaqawa</v>
          </cell>
          <cell r="J659" t="str">
            <v>25</v>
          </cell>
          <cell r="K659" t="str">
            <v>Uninominal</v>
          </cell>
          <cell r="L659" t="str">
            <v>-17.8731</v>
          </cell>
          <cell r="M659" t="str">
            <v>-65.138</v>
          </cell>
          <cell r="N659" t="str">
            <v>Rural</v>
          </cell>
          <cell r="O659" t="str">
            <v>2433</v>
          </cell>
          <cell r="P659" t="str">
            <v>POINT (-65.138 -17.8731)</v>
          </cell>
          <cell r="Q659">
            <v>1</v>
          </cell>
          <cell r="R659">
            <v>0.95918367346938771</v>
          </cell>
        </row>
        <row r="660">
          <cell r="A660">
            <v>2434</v>
          </cell>
          <cell r="B660" t="str">
            <v>Unidad Educativa PotreroTotora</v>
          </cell>
          <cell r="C660" t="str">
            <v>Cochabamba</v>
          </cell>
          <cell r="D660" t="str">
            <v>Carrasco</v>
          </cell>
          <cell r="E660" t="str">
            <v>Totora</v>
          </cell>
          <cell r="F660" t="str">
            <v>Potrero</v>
          </cell>
          <cell r="G660" t="str">
            <v>Unidad Educativa Potrero</v>
          </cell>
          <cell r="H660" t="str">
            <v>Zona 4526</v>
          </cell>
          <cell r="I660" t="str">
            <v>Potrero</v>
          </cell>
          <cell r="J660" t="str">
            <v>25</v>
          </cell>
          <cell r="K660" t="str">
            <v>Uninominal</v>
          </cell>
          <cell r="L660" t="str">
            <v>-17.8892</v>
          </cell>
          <cell r="M660" t="str">
            <v>-65.0414</v>
          </cell>
          <cell r="N660" t="str">
            <v>Rural</v>
          </cell>
          <cell r="O660" t="str">
            <v>2434</v>
          </cell>
          <cell r="P660" t="str">
            <v>POINT (-65.0414 -17.8892)</v>
          </cell>
          <cell r="Q660">
            <v>1</v>
          </cell>
          <cell r="R660">
            <v>0.94117647058823528</v>
          </cell>
        </row>
        <row r="661">
          <cell r="A661">
            <v>2435</v>
          </cell>
          <cell r="B661" t="str">
            <v>Sede Social Rancho CatalinaTotora</v>
          </cell>
          <cell r="C661" t="str">
            <v>Cochabamba</v>
          </cell>
          <cell r="D661" t="str">
            <v>Carrasco</v>
          </cell>
          <cell r="E661" t="str">
            <v>Totora</v>
          </cell>
          <cell r="F661" t="str">
            <v>Rancho Catalina</v>
          </cell>
          <cell r="G661" t="str">
            <v>Sede Social Rancho Catalina</v>
          </cell>
          <cell r="H661" t="str">
            <v>Zona 4530</v>
          </cell>
          <cell r="I661" t="str">
            <v>Sub Central Vandiola al norte del municipio de Totora</v>
          </cell>
          <cell r="J661" t="str">
            <v>25</v>
          </cell>
          <cell r="K661" t="str">
            <v>Uninominal</v>
          </cell>
          <cell r="L661" t="str">
            <v>-17.383073</v>
          </cell>
          <cell r="M661" t="str">
            <v>-65.149678</v>
          </cell>
          <cell r="N661" t="str">
            <v>Rural</v>
          </cell>
          <cell r="O661" t="str">
            <v>2435</v>
          </cell>
          <cell r="P661" t="str">
            <v>POINT (-65.149678 -17.383073)</v>
          </cell>
          <cell r="Q661">
            <v>1</v>
          </cell>
          <cell r="R661" t="str">
            <v>Sin Info</v>
          </cell>
        </row>
        <row r="662">
          <cell r="A662">
            <v>2436</v>
          </cell>
          <cell r="B662" t="str">
            <v>U.E. IcunaTotora</v>
          </cell>
          <cell r="C662" t="str">
            <v>Cochabamba</v>
          </cell>
          <cell r="D662" t="str">
            <v>Carrasco</v>
          </cell>
          <cell r="E662" t="str">
            <v>Totora</v>
          </cell>
          <cell r="F662" t="str">
            <v>Icuna</v>
          </cell>
          <cell r="G662" t="str">
            <v>U.E. Icuna</v>
          </cell>
          <cell r="H662" t="str">
            <v>Zona 4530</v>
          </cell>
          <cell r="I662" t="str">
            <v>Ubicado en Sindicato Icuna Sub Central Icuna</v>
          </cell>
          <cell r="J662" t="str">
            <v>25</v>
          </cell>
          <cell r="K662" t="str">
            <v>Uninominal</v>
          </cell>
          <cell r="L662" t="str">
            <v>-17.373538</v>
          </cell>
          <cell r="M662" t="str">
            <v>-65.091542</v>
          </cell>
          <cell r="N662" t="str">
            <v>Rural</v>
          </cell>
          <cell r="O662" t="str">
            <v>2436</v>
          </cell>
          <cell r="P662" t="str">
            <v>POINT (-65.091542 -17.373538)</v>
          </cell>
          <cell r="Q662">
            <v>2</v>
          </cell>
          <cell r="R662" t="str">
            <v>Sin Info</v>
          </cell>
        </row>
        <row r="663">
          <cell r="A663">
            <v>2437</v>
          </cell>
          <cell r="B663" t="str">
            <v>U.E. 24 de MarzoTotora</v>
          </cell>
          <cell r="C663" t="str">
            <v>Cochabamba</v>
          </cell>
          <cell r="D663" t="str">
            <v>Carrasco</v>
          </cell>
          <cell r="E663" t="str">
            <v>Totora</v>
          </cell>
          <cell r="F663" t="str">
            <v>Coluyo Grande</v>
          </cell>
          <cell r="G663" t="str">
            <v>U.E. 24 de Marzo</v>
          </cell>
          <cell r="H663" t="str">
            <v>Zona 4526</v>
          </cell>
          <cell r="I663" t="str">
            <v>Ubicado en la Comunidad Coluyo Grande sobre la carretera principal a la localidad de Totora, capital del Municipio de Totora.</v>
          </cell>
          <cell r="J663" t="str">
            <v>25</v>
          </cell>
          <cell r="K663" t="str">
            <v>Uninominal</v>
          </cell>
          <cell r="L663" t="str">
            <v>-17.684649</v>
          </cell>
          <cell r="M663" t="str">
            <v>-65.213407</v>
          </cell>
          <cell r="N663" t="str">
            <v>Rural</v>
          </cell>
          <cell r="O663" t="str">
            <v>2437</v>
          </cell>
          <cell r="P663" t="str">
            <v>POINT (-65.213407 -17.684649)</v>
          </cell>
          <cell r="Q663">
            <v>0</v>
          </cell>
          <cell r="R663" t="str">
            <v>Sin Info</v>
          </cell>
        </row>
        <row r="664">
          <cell r="A664">
            <v>2438</v>
          </cell>
          <cell r="B664" t="str">
            <v>U.E. Rodeo ChicoTotora</v>
          </cell>
          <cell r="C664" t="str">
            <v>Cochabamba</v>
          </cell>
          <cell r="D664" t="str">
            <v>Carrasco</v>
          </cell>
          <cell r="E664" t="str">
            <v>Totora</v>
          </cell>
          <cell r="F664" t="str">
            <v>Rodeo Chico</v>
          </cell>
          <cell r="G664" t="str">
            <v>U.E. Rodeo Chico</v>
          </cell>
          <cell r="H664" t="str">
            <v>Zona 4526</v>
          </cell>
          <cell r="I664" t="str">
            <v>Ubicado en la Sindicato Agrario Rodeo Chico del Municipio de Totora, sobre la carretera principal de Cochabamba a Santa Cruz.</v>
          </cell>
          <cell r="J664" t="str">
            <v>25</v>
          </cell>
          <cell r="K664" t="str">
            <v>Uninominal</v>
          </cell>
          <cell r="L664" t="str">
            <v>-17.650971</v>
          </cell>
          <cell r="M664" t="str">
            <v>-65.180366</v>
          </cell>
          <cell r="N664" t="str">
            <v>Rural</v>
          </cell>
          <cell r="O664" t="str">
            <v>2438</v>
          </cell>
          <cell r="P664" t="str">
            <v>POINT (-65.180366 -17.650971)</v>
          </cell>
          <cell r="Q664">
            <v>0</v>
          </cell>
          <cell r="R664" t="str">
            <v>Sin Info</v>
          </cell>
        </row>
        <row r="665">
          <cell r="A665">
            <v>2439</v>
          </cell>
          <cell r="B665" t="str">
            <v>Colegio Venancio LossPojo</v>
          </cell>
          <cell r="C665" t="str">
            <v>Cochabamba</v>
          </cell>
          <cell r="D665" t="str">
            <v>Carrasco</v>
          </cell>
          <cell r="E665" t="str">
            <v>Pojo</v>
          </cell>
          <cell r="F665" t="str">
            <v>Pojo</v>
          </cell>
          <cell r="G665" t="str">
            <v>Colegio Venancio Loss</v>
          </cell>
          <cell r="H665" t="str">
            <v>Zona 4543</v>
          </cell>
          <cell r="I665" t="str">
            <v>Pojo</v>
          </cell>
          <cell r="J665" t="str">
            <v>25</v>
          </cell>
          <cell r="K665" t="str">
            <v>Uninominal</v>
          </cell>
          <cell r="L665" t="str">
            <v>-17.7549</v>
          </cell>
          <cell r="M665" t="str">
            <v>-64.8663</v>
          </cell>
          <cell r="N665" t="str">
            <v>Rural</v>
          </cell>
          <cell r="O665" t="str">
            <v>2439</v>
          </cell>
          <cell r="P665" t="str">
            <v>POINT (-64.8663 -17.7549)</v>
          </cell>
          <cell r="Q665">
            <v>9</v>
          </cell>
          <cell r="R665">
            <v>0.905899170696009</v>
          </cell>
        </row>
        <row r="666">
          <cell r="A666">
            <v>2440</v>
          </cell>
          <cell r="B666" t="str">
            <v>Unidad Educativa Kara Huasi   PojoPojo</v>
          </cell>
          <cell r="C666" t="str">
            <v>Cochabamba</v>
          </cell>
          <cell r="D666" t="str">
            <v>Carrasco</v>
          </cell>
          <cell r="E666" t="str">
            <v>Pojo</v>
          </cell>
          <cell r="F666" t="str">
            <v>Kara Huasi</v>
          </cell>
          <cell r="G666" t="str">
            <v>Unidad Educativa Kara Huasi   Pojo</v>
          </cell>
          <cell r="H666" t="str">
            <v>Zona 4543</v>
          </cell>
          <cell r="I666" t="str">
            <v>Kara Huasi</v>
          </cell>
          <cell r="J666" t="str">
            <v>25</v>
          </cell>
          <cell r="K666" t="str">
            <v>Uninominal</v>
          </cell>
          <cell r="L666" t="str">
            <v>-17.7386</v>
          </cell>
          <cell r="M666" t="str">
            <v>-64.7433</v>
          </cell>
          <cell r="N666" t="str">
            <v>Rural</v>
          </cell>
          <cell r="O666" t="str">
            <v>2440</v>
          </cell>
          <cell r="P666" t="str">
            <v>POINT (-64.7433 -17.7386)</v>
          </cell>
          <cell r="Q666">
            <v>2</v>
          </cell>
          <cell r="R666" t="str">
            <v>Sin Info</v>
          </cell>
        </row>
        <row r="667">
          <cell r="A667">
            <v>2441</v>
          </cell>
          <cell r="B667" t="str">
            <v>Unidad Educativa ChallhuaniPojo</v>
          </cell>
          <cell r="C667" t="str">
            <v>Cochabamba</v>
          </cell>
          <cell r="D667" t="str">
            <v>Carrasco</v>
          </cell>
          <cell r="E667" t="str">
            <v>Pojo</v>
          </cell>
          <cell r="F667" t="str">
            <v>Challhuani</v>
          </cell>
          <cell r="G667" t="str">
            <v>Unidad Educativa Challhuani</v>
          </cell>
          <cell r="H667" t="str">
            <v>Zona 4543</v>
          </cell>
          <cell r="I667" t="str">
            <v>Challhuani</v>
          </cell>
          <cell r="J667" t="str">
            <v>25</v>
          </cell>
          <cell r="K667" t="str">
            <v>Uninominal</v>
          </cell>
          <cell r="L667" t="str">
            <v>-17.8445</v>
          </cell>
          <cell r="M667" t="str">
            <v>-64.8953</v>
          </cell>
          <cell r="N667" t="str">
            <v>Rural</v>
          </cell>
          <cell r="O667" t="str">
            <v>2441</v>
          </cell>
          <cell r="P667" t="str">
            <v>POINT (-64.8953 -17.8445)</v>
          </cell>
          <cell r="Q667">
            <v>4</v>
          </cell>
          <cell r="R667">
            <v>0.97526190622494546</v>
          </cell>
        </row>
        <row r="668">
          <cell r="A668">
            <v>2442</v>
          </cell>
          <cell r="B668" t="str">
            <v>Nucleo Escolar DuraznilloPojo</v>
          </cell>
          <cell r="C668" t="str">
            <v>Cochabamba</v>
          </cell>
          <cell r="D668" t="str">
            <v>Carrasco</v>
          </cell>
          <cell r="E668" t="str">
            <v>Pojo</v>
          </cell>
          <cell r="F668" t="str">
            <v>Duraznillo</v>
          </cell>
          <cell r="G668" t="str">
            <v>Nucleo Escolar Duraznillo</v>
          </cell>
          <cell r="H668" t="str">
            <v>Zona 4535</v>
          </cell>
          <cell r="I668" t="str">
            <v>Duraznillo</v>
          </cell>
          <cell r="J668" t="str">
            <v>25</v>
          </cell>
          <cell r="K668" t="str">
            <v>Uninominal</v>
          </cell>
          <cell r="L668" t="str">
            <v>-17.7873</v>
          </cell>
          <cell r="M668" t="str">
            <v>-65.0194</v>
          </cell>
          <cell r="N668" t="str">
            <v>Rural</v>
          </cell>
          <cell r="O668" t="str">
            <v>2442</v>
          </cell>
          <cell r="P668" t="str">
            <v>POINT (-65.0194 -17.7873)</v>
          </cell>
          <cell r="Q668">
            <v>1</v>
          </cell>
          <cell r="R668">
            <v>0.98192771084337349</v>
          </cell>
        </row>
        <row r="669">
          <cell r="A669">
            <v>2443</v>
          </cell>
          <cell r="B669" t="str">
            <v>Unidad Educativa YuthupampaPojo</v>
          </cell>
          <cell r="C669" t="str">
            <v>Cochabamba</v>
          </cell>
          <cell r="D669" t="str">
            <v>Carrasco</v>
          </cell>
          <cell r="E669" t="str">
            <v>Pojo</v>
          </cell>
          <cell r="F669" t="str">
            <v>Yuthupampa</v>
          </cell>
          <cell r="G669" t="str">
            <v>Unidad Educativa Yuthupampa</v>
          </cell>
          <cell r="H669" t="str">
            <v>Zona 4543</v>
          </cell>
          <cell r="I669" t="str">
            <v>Yuthupampa</v>
          </cell>
          <cell r="J669" t="str">
            <v>25</v>
          </cell>
          <cell r="K669" t="str">
            <v>Uninominal</v>
          </cell>
          <cell r="L669" t="str">
            <v>-17.746</v>
          </cell>
          <cell r="M669" t="str">
            <v>-64.9935</v>
          </cell>
          <cell r="N669" t="str">
            <v>Rural</v>
          </cell>
          <cell r="O669" t="str">
            <v>2443</v>
          </cell>
          <cell r="P669" t="str">
            <v>POINT (-64.9935 -17.746)</v>
          </cell>
          <cell r="Q669">
            <v>3</v>
          </cell>
          <cell r="R669">
            <v>0.98339305999909443</v>
          </cell>
        </row>
        <row r="670">
          <cell r="A670">
            <v>2444</v>
          </cell>
          <cell r="B670" t="str">
            <v>Unidad Educativa Palca CPojo</v>
          </cell>
          <cell r="C670" t="str">
            <v>Cochabamba</v>
          </cell>
          <cell r="D670" t="str">
            <v>Carrasco</v>
          </cell>
          <cell r="E670" t="str">
            <v>Pojo</v>
          </cell>
          <cell r="F670" t="str">
            <v>Palca  C</v>
          </cell>
          <cell r="G670" t="str">
            <v>Unidad Educativa Palca C</v>
          </cell>
          <cell r="H670" t="str">
            <v>Zona 4539</v>
          </cell>
          <cell r="I670" t="str">
            <v>Palca C</v>
          </cell>
          <cell r="J670" t="str">
            <v>25</v>
          </cell>
          <cell r="K670" t="str">
            <v>Uninominal</v>
          </cell>
          <cell r="L670" t="str">
            <v>-17.7039</v>
          </cell>
          <cell r="M670" t="str">
            <v>-64.9761</v>
          </cell>
          <cell r="N670" t="str">
            <v>Rural</v>
          </cell>
          <cell r="O670" t="str">
            <v>2444</v>
          </cell>
          <cell r="P670" t="str">
            <v>POINT (-64.9761 -17.7039)</v>
          </cell>
          <cell r="Q670">
            <v>3</v>
          </cell>
          <cell r="R670">
            <v>0.99468223898982766</v>
          </cell>
        </row>
        <row r="671">
          <cell r="A671">
            <v>2445</v>
          </cell>
          <cell r="B671" t="str">
            <v>Unidad Educativa Rodeo CPojo</v>
          </cell>
          <cell r="C671" t="str">
            <v>Cochabamba</v>
          </cell>
          <cell r="D671" t="str">
            <v>Carrasco</v>
          </cell>
          <cell r="E671" t="str">
            <v>Pojo</v>
          </cell>
          <cell r="F671" t="str">
            <v>Rodeo  C</v>
          </cell>
          <cell r="G671" t="str">
            <v>Unidad Educativa Rodeo C</v>
          </cell>
          <cell r="H671" t="str">
            <v>Zona 4537</v>
          </cell>
          <cell r="I671" t="str">
            <v>Rodeo C</v>
          </cell>
          <cell r="J671" t="str">
            <v>25</v>
          </cell>
          <cell r="K671" t="str">
            <v>Uninominal</v>
          </cell>
          <cell r="L671" t="str">
            <v>-17.836</v>
          </cell>
          <cell r="M671" t="str">
            <v>-64.783</v>
          </cell>
          <cell r="N671" t="str">
            <v>Rural</v>
          </cell>
          <cell r="O671" t="str">
            <v>2445</v>
          </cell>
          <cell r="P671" t="str">
            <v>POINT (-64.783 -17.836)</v>
          </cell>
          <cell r="Q671">
            <v>2</v>
          </cell>
          <cell r="R671">
            <v>0.98034101337970347</v>
          </cell>
        </row>
        <row r="672">
          <cell r="A672">
            <v>2446</v>
          </cell>
          <cell r="B672" t="str">
            <v>Unidad Educativa Dian PampaPojo</v>
          </cell>
          <cell r="C672" t="str">
            <v>Cochabamba</v>
          </cell>
          <cell r="D672" t="str">
            <v>Carrasco</v>
          </cell>
          <cell r="E672" t="str">
            <v>Pojo</v>
          </cell>
          <cell r="F672" t="str">
            <v>Dian Pampa</v>
          </cell>
          <cell r="G672" t="str">
            <v>Unidad Educativa Dian Pampa</v>
          </cell>
          <cell r="H672" t="str">
            <v>Zona 4543</v>
          </cell>
          <cell r="I672" t="str">
            <v>Dian Pampa</v>
          </cell>
          <cell r="J672" t="str">
            <v>25</v>
          </cell>
          <cell r="K672" t="str">
            <v>Uninominal</v>
          </cell>
          <cell r="L672" t="str">
            <v>-17.7044</v>
          </cell>
          <cell r="M672" t="str">
            <v>-64.7041</v>
          </cell>
          <cell r="N672" t="str">
            <v>Rural</v>
          </cell>
          <cell r="O672" t="str">
            <v>2446</v>
          </cell>
          <cell r="P672" t="str">
            <v>POINT (-64.7041 -17.7044)</v>
          </cell>
          <cell r="Q672">
            <v>2</v>
          </cell>
          <cell r="R672">
            <v>0.95491034806047104</v>
          </cell>
        </row>
        <row r="673">
          <cell r="A673">
            <v>2447</v>
          </cell>
          <cell r="B673" t="str">
            <v>Unidad Educativa La HabanaPojo</v>
          </cell>
          <cell r="C673" t="str">
            <v>Cochabamba</v>
          </cell>
          <cell r="D673" t="str">
            <v>Carrasco</v>
          </cell>
          <cell r="E673" t="str">
            <v>Pojo</v>
          </cell>
          <cell r="F673" t="str">
            <v>La Habana</v>
          </cell>
          <cell r="G673" t="str">
            <v>Unidad Educativa La Habana</v>
          </cell>
          <cell r="H673" t="str">
            <v>Zona 4543</v>
          </cell>
          <cell r="I673" t="str">
            <v>La Habana</v>
          </cell>
          <cell r="J673" t="str">
            <v>25</v>
          </cell>
          <cell r="K673" t="str">
            <v>Uninominal</v>
          </cell>
          <cell r="L673" t="str">
            <v>-17.7355</v>
          </cell>
          <cell r="M673" t="str">
            <v>-64.9274</v>
          </cell>
          <cell r="N673" t="str">
            <v>Rural</v>
          </cell>
          <cell r="O673" t="str">
            <v>2447</v>
          </cell>
          <cell r="P673" t="str">
            <v>POINT (-64.9274 -17.7355)</v>
          </cell>
          <cell r="Q673">
            <v>2</v>
          </cell>
          <cell r="R673">
            <v>0.96969911755324811</v>
          </cell>
        </row>
        <row r="674">
          <cell r="A674">
            <v>2448</v>
          </cell>
          <cell r="B674" t="str">
            <v>Unidad Educativa Thago LagunaPojo</v>
          </cell>
          <cell r="C674" t="str">
            <v>Cochabamba</v>
          </cell>
          <cell r="D674" t="str">
            <v>Carrasco</v>
          </cell>
          <cell r="E674" t="str">
            <v>Pojo</v>
          </cell>
          <cell r="F674" t="str">
            <v>Thago Laguna</v>
          </cell>
          <cell r="G674" t="str">
            <v>Unidad Educativa Thago Laguna</v>
          </cell>
          <cell r="H674" t="str">
            <v>Zona 4532</v>
          </cell>
          <cell r="I674" t="str">
            <v>Thago Laguna</v>
          </cell>
          <cell r="J674" t="str">
            <v>25</v>
          </cell>
          <cell r="K674" t="str">
            <v>Uninominal</v>
          </cell>
          <cell r="L674" t="str">
            <v>-17.9531</v>
          </cell>
          <cell r="M674" t="str">
            <v>-64.8614</v>
          </cell>
          <cell r="N674" t="str">
            <v>Rural</v>
          </cell>
          <cell r="O674" t="str">
            <v>2448</v>
          </cell>
          <cell r="P674" t="str">
            <v>POINT (-64.8614 -17.9531)</v>
          </cell>
          <cell r="Q674">
            <v>1</v>
          </cell>
          <cell r="R674">
            <v>1</v>
          </cell>
        </row>
        <row r="675">
          <cell r="A675">
            <v>2449</v>
          </cell>
          <cell r="B675" t="str">
            <v>Unidad Educativa Jaime LaredoPojo</v>
          </cell>
          <cell r="C675" t="str">
            <v>Cochabamba</v>
          </cell>
          <cell r="D675" t="str">
            <v>Carrasco</v>
          </cell>
          <cell r="E675" t="str">
            <v>Pojo</v>
          </cell>
          <cell r="F675" t="str">
            <v>Vilaque</v>
          </cell>
          <cell r="G675" t="str">
            <v>Unidad Educativa Jaime Laredo</v>
          </cell>
          <cell r="H675" t="str">
            <v>Zona 4533</v>
          </cell>
          <cell r="I675" t="str">
            <v>Vilaque</v>
          </cell>
          <cell r="J675" t="str">
            <v>25</v>
          </cell>
          <cell r="K675" t="str">
            <v>Uninominal</v>
          </cell>
          <cell r="L675" t="str">
            <v>-17.8458</v>
          </cell>
          <cell r="M675" t="str">
            <v>-64.9801</v>
          </cell>
          <cell r="N675" t="str">
            <v>Rural</v>
          </cell>
          <cell r="O675" t="str">
            <v>2449</v>
          </cell>
          <cell r="P675" t="str">
            <v>POINT (-64.9801 -17.8458)</v>
          </cell>
          <cell r="Q675">
            <v>1</v>
          </cell>
          <cell r="R675">
            <v>0.99099099099099097</v>
          </cell>
        </row>
        <row r="676">
          <cell r="A676">
            <v>2450</v>
          </cell>
          <cell r="B676" t="str">
            <v>U.E. Emilio Grageda ZuritaPojo</v>
          </cell>
          <cell r="C676" t="str">
            <v>Cochabamba</v>
          </cell>
          <cell r="D676" t="str">
            <v>Carrasco</v>
          </cell>
          <cell r="E676" t="str">
            <v>Pojo</v>
          </cell>
          <cell r="F676" t="str">
            <v>Villa Esperanza</v>
          </cell>
          <cell r="G676" t="str">
            <v>U.E. Emilio Grageda Zurita</v>
          </cell>
          <cell r="H676" t="str">
            <v>Zona 4540</v>
          </cell>
          <cell r="I676" t="str">
            <v>Localidad Villa Esperanza</v>
          </cell>
          <cell r="J676" t="str">
            <v>25</v>
          </cell>
          <cell r="K676" t="str">
            <v>Uninominal</v>
          </cell>
          <cell r="L676" t="str">
            <v>-17.729007</v>
          </cell>
          <cell r="M676" t="str">
            <v>-64.87435</v>
          </cell>
          <cell r="N676" t="str">
            <v>Rural</v>
          </cell>
          <cell r="O676" t="str">
            <v>2450</v>
          </cell>
          <cell r="P676" t="str">
            <v>POINT (-64.87435 -17.729007)</v>
          </cell>
          <cell r="Q676">
            <v>2</v>
          </cell>
          <cell r="R676" t="str">
            <v>Sin Info</v>
          </cell>
        </row>
        <row r="677">
          <cell r="A677">
            <v>2451</v>
          </cell>
          <cell r="B677" t="str">
            <v>U.E. Nataniel AguirrePojo</v>
          </cell>
          <cell r="C677" t="str">
            <v>Cochabamba</v>
          </cell>
          <cell r="D677" t="str">
            <v>Carrasco</v>
          </cell>
          <cell r="E677" t="str">
            <v>Pojo</v>
          </cell>
          <cell r="F677" t="str">
            <v>Salto y Viña</v>
          </cell>
          <cell r="G677" t="str">
            <v>U.E. Nataniel Aguirre</v>
          </cell>
          <cell r="H677" t="str">
            <v>Zona 4531</v>
          </cell>
          <cell r="I677" t="str">
            <v>Localidad Salto Viña</v>
          </cell>
          <cell r="J677" t="str">
            <v>25</v>
          </cell>
          <cell r="K677" t="str">
            <v>Uninominal</v>
          </cell>
          <cell r="L677" t="str">
            <v>-17.886874</v>
          </cell>
          <cell r="M677" t="str">
            <v>-64.858623</v>
          </cell>
          <cell r="N677" t="str">
            <v>Urbano</v>
          </cell>
          <cell r="O677" t="str">
            <v>2451</v>
          </cell>
          <cell r="P677" t="str">
            <v>POINT (-64.858623 -17.886874)</v>
          </cell>
          <cell r="Q677">
            <v>1</v>
          </cell>
          <cell r="R677" t="str">
            <v>Sin Info</v>
          </cell>
        </row>
        <row r="678">
          <cell r="A678">
            <v>2452</v>
          </cell>
          <cell r="B678" t="str">
            <v>U.E. Elizardo PerezPojo</v>
          </cell>
          <cell r="C678" t="str">
            <v>Cochabamba</v>
          </cell>
          <cell r="D678" t="str">
            <v>Carrasco</v>
          </cell>
          <cell r="E678" t="str">
            <v>Pojo</v>
          </cell>
          <cell r="F678" t="str">
            <v>San Mateo Rio Grande</v>
          </cell>
          <cell r="G678" t="str">
            <v>U.E. Elizardo Perez</v>
          </cell>
          <cell r="H678" t="str">
            <v>Zona 4543</v>
          </cell>
          <cell r="I678" t="str">
            <v>Localidad San Mateo Rio Grande</v>
          </cell>
          <cell r="J678" t="str">
            <v>25</v>
          </cell>
          <cell r="K678" t="str">
            <v>Uninominal</v>
          </cell>
          <cell r="L678" t="str">
            <v>-17.712446</v>
          </cell>
          <cell r="M678" t="str">
            <v>-64.68211</v>
          </cell>
          <cell r="N678" t="str">
            <v>Urbano</v>
          </cell>
          <cell r="O678" t="str">
            <v>2452</v>
          </cell>
          <cell r="P678" t="str">
            <v>POINT (-64.68211 -17.712446)</v>
          </cell>
          <cell r="Q678">
            <v>1</v>
          </cell>
          <cell r="R678" t="str">
            <v>Sin Info</v>
          </cell>
        </row>
        <row r="679">
          <cell r="A679">
            <v>2453</v>
          </cell>
          <cell r="B679" t="str">
            <v>U.E. 21 de SeptiembrePojo</v>
          </cell>
          <cell r="C679" t="str">
            <v>Cochabamba</v>
          </cell>
          <cell r="D679" t="str">
            <v>Carrasco</v>
          </cell>
          <cell r="E679" t="str">
            <v>Pojo</v>
          </cell>
          <cell r="F679" t="str">
            <v>Puente Sillas</v>
          </cell>
          <cell r="G679" t="str">
            <v>U.E. 21 de Septiembre</v>
          </cell>
          <cell r="H679" t="str">
            <v>Zona 4539</v>
          </cell>
          <cell r="I679" t="str">
            <v>Localidad Puente Sillas</v>
          </cell>
          <cell r="J679" t="str">
            <v>25</v>
          </cell>
          <cell r="K679" t="str">
            <v>Uninominal</v>
          </cell>
          <cell r="L679" t="str">
            <v>-17.702658</v>
          </cell>
          <cell r="M679" t="str">
            <v>-65.016546</v>
          </cell>
          <cell r="N679" t="str">
            <v>Urbano</v>
          </cell>
          <cell r="O679" t="str">
            <v>2453</v>
          </cell>
          <cell r="P679" t="str">
            <v>POINT (-65.016546 -17.702658)</v>
          </cell>
          <cell r="Q679">
            <v>1</v>
          </cell>
          <cell r="R679" t="str">
            <v>Sin Info</v>
          </cell>
        </row>
        <row r="680">
          <cell r="A680">
            <v>2454</v>
          </cell>
          <cell r="B680" t="str">
            <v>U.E. Filiberto AlvaradoPojo</v>
          </cell>
          <cell r="C680" t="str">
            <v>Cochabamba</v>
          </cell>
          <cell r="D680" t="str">
            <v>Carrasco</v>
          </cell>
          <cell r="E680" t="str">
            <v>Pojo</v>
          </cell>
          <cell r="F680" t="str">
            <v>Buena Vista</v>
          </cell>
          <cell r="G680" t="str">
            <v>U.E. Filiberto Alvarado</v>
          </cell>
          <cell r="H680" t="str">
            <v>Zona 4543</v>
          </cell>
          <cell r="I680" t="str">
            <v>Carretera a Santa Cruz  Buena Vista</v>
          </cell>
          <cell r="J680" t="str">
            <v>25</v>
          </cell>
          <cell r="K680" t="str">
            <v>Uninominal</v>
          </cell>
          <cell r="L680" t="str">
            <v>-17.746985</v>
          </cell>
          <cell r="M680" t="str">
            <v>-64.848582</v>
          </cell>
          <cell r="N680" t="str">
            <v>Urbano</v>
          </cell>
          <cell r="O680" t="str">
            <v>2454</v>
          </cell>
          <cell r="P680" t="str">
            <v>POINT (-64.848582 -17.746985)</v>
          </cell>
          <cell r="Q680">
            <v>2</v>
          </cell>
          <cell r="R680" t="str">
            <v>Sin Info</v>
          </cell>
        </row>
        <row r="681">
          <cell r="A681">
            <v>2455</v>
          </cell>
          <cell r="B681" t="str">
            <v>U. E. 23 de MayoPocona</v>
          </cell>
          <cell r="C681" t="str">
            <v>Cochabamba</v>
          </cell>
          <cell r="D681" t="str">
            <v>Carrasco</v>
          </cell>
          <cell r="E681" t="str">
            <v>Pocona</v>
          </cell>
          <cell r="F681" t="str">
            <v>Pocona</v>
          </cell>
          <cell r="G681" t="str">
            <v>U. E. 23 de Mayo</v>
          </cell>
          <cell r="H681" t="str">
            <v>Zona 4547</v>
          </cell>
          <cell r="I681" t="str">
            <v>Pocona</v>
          </cell>
          <cell r="J681" t="str">
            <v>25</v>
          </cell>
          <cell r="K681" t="str">
            <v>Uninominal</v>
          </cell>
          <cell r="L681" t="str">
            <v>-17.676048</v>
          </cell>
          <cell r="M681" t="str">
            <v>-65.415511</v>
          </cell>
          <cell r="N681" t="str">
            <v>Urbano</v>
          </cell>
          <cell r="O681" t="str">
            <v>2455</v>
          </cell>
          <cell r="P681" t="str">
            <v>POINT (-65.415511 -17.676048)</v>
          </cell>
          <cell r="Q681">
            <v>2</v>
          </cell>
          <cell r="R681" t="str">
            <v>Sin Info</v>
          </cell>
        </row>
        <row r="682">
          <cell r="A682">
            <v>2456</v>
          </cell>
          <cell r="B682" t="str">
            <v>U.E. Angel EscobarPocona</v>
          </cell>
          <cell r="C682" t="str">
            <v>Cochabamba</v>
          </cell>
          <cell r="D682" t="str">
            <v>Carrasco</v>
          </cell>
          <cell r="E682" t="str">
            <v>Pocona</v>
          </cell>
          <cell r="F682" t="str">
            <v>Monte Puncu</v>
          </cell>
          <cell r="G682" t="str">
            <v>U.E. Angel Escobar</v>
          </cell>
          <cell r="H682" t="str">
            <v>Zona 4528</v>
          </cell>
          <cell r="I682" t="str">
            <v>Monte Puncu</v>
          </cell>
          <cell r="J682" t="str">
            <v>25</v>
          </cell>
          <cell r="K682" t="str">
            <v>Uninominal</v>
          </cell>
          <cell r="L682" t="str">
            <v>-17.585</v>
          </cell>
          <cell r="M682" t="str">
            <v>-65.303</v>
          </cell>
          <cell r="N682" t="str">
            <v>Urbano</v>
          </cell>
          <cell r="O682" t="str">
            <v>2456</v>
          </cell>
          <cell r="P682" t="str">
            <v>POINT (-65.303 -17.585)</v>
          </cell>
          <cell r="Q682">
            <v>0</v>
          </cell>
          <cell r="R682" t="str">
            <v>Sin Info</v>
          </cell>
        </row>
        <row r="683">
          <cell r="A683">
            <v>2457</v>
          </cell>
          <cell r="B683" t="str">
            <v>U.E. Ladislao Cabrera de ChillikchiPocona</v>
          </cell>
          <cell r="C683" t="str">
            <v>Cochabamba</v>
          </cell>
          <cell r="D683" t="str">
            <v>Carrasco</v>
          </cell>
          <cell r="E683" t="str">
            <v>Pocona</v>
          </cell>
          <cell r="F683" t="str">
            <v>Chilicchi</v>
          </cell>
          <cell r="G683" t="str">
            <v>U.E. Ladislao Cabrera de Chillikchi</v>
          </cell>
          <cell r="H683" t="str">
            <v>Zona 4546</v>
          </cell>
          <cell r="I683" t="str">
            <v>Chilicchi</v>
          </cell>
          <cell r="J683" t="str">
            <v>25</v>
          </cell>
          <cell r="K683" t="str">
            <v>Especial</v>
          </cell>
          <cell r="L683" t="str">
            <v>-17.6685</v>
          </cell>
          <cell r="M683" t="str">
            <v>-65.3421</v>
          </cell>
          <cell r="N683" t="str">
            <v>Rural</v>
          </cell>
          <cell r="O683" t="str">
            <v>2457</v>
          </cell>
          <cell r="P683" t="str">
            <v>POINT (-65.3421 -17.6685)</v>
          </cell>
          <cell r="Q683">
            <v>2</v>
          </cell>
          <cell r="R683" t="str">
            <v>Sin Info</v>
          </cell>
        </row>
        <row r="684">
          <cell r="A684">
            <v>2458</v>
          </cell>
          <cell r="B684" t="str">
            <v>U.E. René Barrientos OrtuñoPocona</v>
          </cell>
          <cell r="C684" t="str">
            <v>Cochabamba</v>
          </cell>
          <cell r="D684" t="str">
            <v>Carrasco</v>
          </cell>
          <cell r="E684" t="str">
            <v>Pocona</v>
          </cell>
          <cell r="F684" t="str">
            <v>Huayapacha</v>
          </cell>
          <cell r="G684" t="str">
            <v>U.E. René Barrientos Ortuño</v>
          </cell>
          <cell r="H684" t="str">
            <v>Zona 4548</v>
          </cell>
          <cell r="I684" t="str">
            <v>Huayapacha</v>
          </cell>
          <cell r="J684" t="str">
            <v>25</v>
          </cell>
          <cell r="K684" t="str">
            <v>Especial</v>
          </cell>
          <cell r="L684" t="str">
            <v>-17.552647</v>
          </cell>
          <cell r="M684" t="str">
            <v>-65.40812</v>
          </cell>
          <cell r="N684" t="str">
            <v>Rural</v>
          </cell>
          <cell r="O684" t="str">
            <v>2458</v>
          </cell>
          <cell r="P684" t="str">
            <v>POINT (-65.40812 -17.552647)</v>
          </cell>
          <cell r="Q684">
            <v>0</v>
          </cell>
          <cell r="R684" t="str">
            <v>Sin Info</v>
          </cell>
        </row>
        <row r="685">
          <cell r="A685">
            <v>2459</v>
          </cell>
          <cell r="B685" t="str">
            <v>U. E. 6 de AgostoPocona</v>
          </cell>
          <cell r="C685" t="str">
            <v>Cochabamba</v>
          </cell>
          <cell r="D685" t="str">
            <v>Carrasco</v>
          </cell>
          <cell r="E685" t="str">
            <v>Pocona</v>
          </cell>
          <cell r="F685" t="str">
            <v>Lope Mendoza</v>
          </cell>
          <cell r="G685" t="str">
            <v>U. E. 6 de Agosto</v>
          </cell>
          <cell r="H685" t="str">
            <v>Zona 4548</v>
          </cell>
          <cell r="I685" t="str">
            <v>Lope Mendoza</v>
          </cell>
          <cell r="J685" t="str">
            <v>25</v>
          </cell>
          <cell r="K685" t="str">
            <v>Especial</v>
          </cell>
          <cell r="L685" t="str">
            <v>-17.5297</v>
          </cell>
          <cell r="M685" t="str">
            <v>-65.3796</v>
          </cell>
          <cell r="N685" t="str">
            <v>Rural</v>
          </cell>
          <cell r="O685" t="str">
            <v>2459</v>
          </cell>
          <cell r="P685" t="str">
            <v>POINT (-65.3796 -17.5297)</v>
          </cell>
          <cell r="Q685">
            <v>6</v>
          </cell>
          <cell r="R685" t="str">
            <v>Sin Info</v>
          </cell>
        </row>
        <row r="686">
          <cell r="A686">
            <v>2460</v>
          </cell>
          <cell r="B686" t="str">
            <v>U. E. Ismael MontesPocona</v>
          </cell>
          <cell r="C686" t="str">
            <v>Cochabamba</v>
          </cell>
          <cell r="D686" t="str">
            <v>Carrasco</v>
          </cell>
          <cell r="E686" t="str">
            <v>Pocona</v>
          </cell>
          <cell r="F686" t="str">
            <v>Conda Baja</v>
          </cell>
          <cell r="G686" t="str">
            <v>U. E. Ismael Montes</v>
          </cell>
          <cell r="H686" t="str">
            <v>Zona 4545</v>
          </cell>
          <cell r="I686" t="str">
            <v>Conda Baja</v>
          </cell>
          <cell r="J686" t="str">
            <v>25</v>
          </cell>
          <cell r="K686" t="str">
            <v>Especial</v>
          </cell>
          <cell r="L686" t="str">
            <v>-17.7234</v>
          </cell>
          <cell r="M686" t="str">
            <v>-65.3839</v>
          </cell>
          <cell r="N686" t="str">
            <v>Rural</v>
          </cell>
          <cell r="O686" t="str">
            <v>2460</v>
          </cell>
          <cell r="P686" t="str">
            <v>POINT (-65.3839 -17.7234)</v>
          </cell>
          <cell r="Q686">
            <v>5</v>
          </cell>
          <cell r="R686" t="str">
            <v>Sin Info</v>
          </cell>
        </row>
        <row r="687">
          <cell r="A687">
            <v>2461</v>
          </cell>
          <cell r="B687" t="str">
            <v>U.E. Daniel Sanchez BustamantePocona</v>
          </cell>
          <cell r="C687" t="str">
            <v>Cochabamba</v>
          </cell>
          <cell r="D687" t="str">
            <v>Carrasco</v>
          </cell>
          <cell r="E687" t="str">
            <v>Pocona</v>
          </cell>
          <cell r="F687" t="str">
            <v>Chimboata</v>
          </cell>
          <cell r="G687" t="str">
            <v>U.E. Daniel Sanchez Bustamante</v>
          </cell>
          <cell r="H687" t="str">
            <v>Zona 4544</v>
          </cell>
          <cell r="I687" t="str">
            <v>Chimboata</v>
          </cell>
          <cell r="J687" t="str">
            <v>25</v>
          </cell>
          <cell r="K687" t="str">
            <v>Especial</v>
          </cell>
          <cell r="L687" t="str">
            <v>-17.661173</v>
          </cell>
          <cell r="M687" t="str">
            <v>-65.284447</v>
          </cell>
          <cell r="N687" t="str">
            <v>Rural</v>
          </cell>
          <cell r="O687" t="str">
            <v>2461</v>
          </cell>
          <cell r="P687" t="str">
            <v>POINT (-65.284447 -17.661173)</v>
          </cell>
          <cell r="Q687">
            <v>0</v>
          </cell>
          <cell r="R687" t="str">
            <v>Sin Info</v>
          </cell>
        </row>
        <row r="688">
          <cell r="A688">
            <v>2462</v>
          </cell>
          <cell r="B688" t="str">
            <v>U.E. Javier GonzalesPocona</v>
          </cell>
          <cell r="C688" t="str">
            <v>Cochabamba</v>
          </cell>
          <cell r="D688" t="str">
            <v>Carrasco</v>
          </cell>
          <cell r="E688" t="str">
            <v>Pocona</v>
          </cell>
          <cell r="F688" t="str">
            <v>Puca Puca</v>
          </cell>
          <cell r="G688" t="str">
            <v>U.E. Javier Gonzales</v>
          </cell>
          <cell r="H688" t="str">
            <v>Zona 4547</v>
          </cell>
          <cell r="I688" t="str">
            <v>Comunidad Puca Puca</v>
          </cell>
          <cell r="J688" t="str">
            <v>25</v>
          </cell>
          <cell r="K688" t="str">
            <v>Especial</v>
          </cell>
          <cell r="L688" t="str">
            <v>-17.6144</v>
          </cell>
          <cell r="M688" t="str">
            <v>-65.5045</v>
          </cell>
          <cell r="N688" t="str">
            <v>Rural</v>
          </cell>
          <cell r="O688" t="str">
            <v>2462</v>
          </cell>
          <cell r="P688" t="str">
            <v>POINT (-65.5045 -17.6144)</v>
          </cell>
          <cell r="Q688">
            <v>1</v>
          </cell>
          <cell r="R688" t="str">
            <v>Sin Info</v>
          </cell>
        </row>
        <row r="689">
          <cell r="A689">
            <v>2463</v>
          </cell>
          <cell r="B689" t="str">
            <v>Centro de Atencion Al TuristaPocona</v>
          </cell>
          <cell r="C689" t="str">
            <v>Cochabamba</v>
          </cell>
          <cell r="D689" t="str">
            <v>Carrasco</v>
          </cell>
          <cell r="E689" t="str">
            <v>Pocona</v>
          </cell>
          <cell r="F689" t="str">
            <v>Incallajta</v>
          </cell>
          <cell r="G689" t="str">
            <v>Centro de Atencion Al Turista</v>
          </cell>
          <cell r="H689" t="str">
            <v>Zona 4547</v>
          </cell>
          <cell r="I689" t="str">
            <v>Incallajta</v>
          </cell>
          <cell r="J689" t="str">
            <v>25</v>
          </cell>
          <cell r="K689" t="str">
            <v>Uninominal</v>
          </cell>
          <cell r="L689" t="str">
            <v>-17.6077</v>
          </cell>
          <cell r="M689" t="str">
            <v>-65.4147</v>
          </cell>
          <cell r="N689" t="str">
            <v>Urbano</v>
          </cell>
          <cell r="O689" t="str">
            <v>2463</v>
          </cell>
          <cell r="P689" t="str">
            <v>POINT (-65.4147 -17.6077)</v>
          </cell>
          <cell r="Q689">
            <v>2</v>
          </cell>
          <cell r="R689">
            <v>0.9726950354609929</v>
          </cell>
        </row>
        <row r="690">
          <cell r="A690">
            <v>2464</v>
          </cell>
          <cell r="B690" t="str">
            <v>U.E. Julio Guardia Sandoval de LaimiñaPocona</v>
          </cell>
          <cell r="C690" t="str">
            <v>Cochabamba</v>
          </cell>
          <cell r="D690" t="str">
            <v>Carrasco</v>
          </cell>
          <cell r="E690" t="str">
            <v>Pocona</v>
          </cell>
          <cell r="F690" t="str">
            <v>Laymiña</v>
          </cell>
          <cell r="G690" t="str">
            <v>U.E. Julio Guardia Sandoval de Laimiña</v>
          </cell>
          <cell r="H690" t="str">
            <v>Zona 4547</v>
          </cell>
          <cell r="I690" t="str">
            <v>Comunidad Laymiña</v>
          </cell>
          <cell r="J690" t="str">
            <v>25</v>
          </cell>
          <cell r="K690" t="str">
            <v>Especial</v>
          </cell>
          <cell r="L690" t="str">
            <v>-17.6514</v>
          </cell>
          <cell r="M690" t="str">
            <v>-65.3683</v>
          </cell>
          <cell r="N690" t="str">
            <v>Rural</v>
          </cell>
          <cell r="O690" t="str">
            <v>2464</v>
          </cell>
          <cell r="P690" t="str">
            <v>POINT (-65.3683 -17.6514)</v>
          </cell>
          <cell r="Q690">
            <v>3</v>
          </cell>
          <cell r="R690" t="str">
            <v>Sin Info</v>
          </cell>
        </row>
        <row r="691">
          <cell r="A691">
            <v>2465</v>
          </cell>
          <cell r="B691" t="str">
            <v>U.E. Pedro Domingo MurilloPocona</v>
          </cell>
          <cell r="C691" t="str">
            <v>Cochabamba</v>
          </cell>
          <cell r="D691" t="str">
            <v>Carrasco</v>
          </cell>
          <cell r="E691" t="str">
            <v>Pocona</v>
          </cell>
          <cell r="F691" t="str">
            <v>Chiuchi Arriba</v>
          </cell>
          <cell r="G691" t="str">
            <v>U.E. Pedro Domingo Murillo</v>
          </cell>
          <cell r="H691" t="str">
            <v>Zona 4548</v>
          </cell>
          <cell r="I691" t="str">
            <v>Chiuchi Arriba</v>
          </cell>
          <cell r="J691" t="str">
            <v>25</v>
          </cell>
          <cell r="K691" t="str">
            <v>Especial</v>
          </cell>
          <cell r="L691" t="str">
            <v>-17.613214</v>
          </cell>
          <cell r="M691" t="str">
            <v>-65.330244</v>
          </cell>
          <cell r="N691" t="str">
            <v>Rural</v>
          </cell>
          <cell r="O691" t="str">
            <v>2465</v>
          </cell>
          <cell r="P691" t="str">
            <v>POINT (-65.330244 -17.613214)</v>
          </cell>
          <cell r="Q691">
            <v>1</v>
          </cell>
          <cell r="R691" t="str">
            <v>Sin Info</v>
          </cell>
        </row>
        <row r="692">
          <cell r="A692">
            <v>2466</v>
          </cell>
          <cell r="B692" t="str">
            <v>Sede Social SombreritoPocona</v>
          </cell>
          <cell r="C692" t="str">
            <v>Cochabamba</v>
          </cell>
          <cell r="D692" t="str">
            <v>Carrasco</v>
          </cell>
          <cell r="E692" t="str">
            <v>Pocona</v>
          </cell>
          <cell r="F692" t="str">
            <v>Sombrerito</v>
          </cell>
          <cell r="G692" t="str">
            <v>Sede Social Sombrerito</v>
          </cell>
          <cell r="H692" t="str">
            <v>Zona 4547</v>
          </cell>
          <cell r="I692" t="str">
            <v>Sindicato Agrarario Sombrerito - Carretera Troncal Cochabamba Mizque</v>
          </cell>
          <cell r="J692" t="str">
            <v>25</v>
          </cell>
          <cell r="K692" t="str">
            <v>Uninominal</v>
          </cell>
          <cell r="L692" t="str">
            <v>-17.761886</v>
          </cell>
          <cell r="M692" t="str">
            <v>-65.49167</v>
          </cell>
          <cell r="N692" t="str">
            <v>Urbano</v>
          </cell>
          <cell r="O692" t="str">
            <v>2466</v>
          </cell>
          <cell r="P692" t="str">
            <v>POINT (-65.49167 -17.761886)</v>
          </cell>
          <cell r="Q692">
            <v>1</v>
          </cell>
          <cell r="R692" t="str">
            <v>Sin Info</v>
          </cell>
        </row>
        <row r="693">
          <cell r="A693">
            <v>2467</v>
          </cell>
          <cell r="B693" t="str">
            <v>U.E. 2  de AgostoPocona</v>
          </cell>
          <cell r="C693" t="str">
            <v>Cochabamba</v>
          </cell>
          <cell r="D693" t="str">
            <v>Carrasco</v>
          </cell>
          <cell r="E693" t="str">
            <v>Pocona</v>
          </cell>
          <cell r="F693" t="str">
            <v>Chaupi Rancho</v>
          </cell>
          <cell r="G693" t="str">
            <v>U.E. 2  de Agosto</v>
          </cell>
          <cell r="H693" t="str">
            <v>Zona 4548</v>
          </cell>
          <cell r="I693" t="str">
            <v>Chaupi Rancho</v>
          </cell>
          <cell r="J693" t="str">
            <v>25</v>
          </cell>
          <cell r="K693" t="str">
            <v>Uninominal</v>
          </cell>
          <cell r="L693" t="str">
            <v>-17.576648</v>
          </cell>
          <cell r="M693" t="str">
            <v>-65.38481</v>
          </cell>
          <cell r="N693" t="str">
            <v>Urbano</v>
          </cell>
          <cell r="O693" t="str">
            <v>2467</v>
          </cell>
          <cell r="P693" t="str">
            <v>POINT (-65.38481 -17.576648)</v>
          </cell>
          <cell r="Q693">
            <v>0</v>
          </cell>
          <cell r="R693" t="str">
            <v>Sin Info</v>
          </cell>
        </row>
        <row r="694">
          <cell r="A694">
            <v>2468</v>
          </cell>
          <cell r="B694" t="str">
            <v>Escuela Gerónimo Uzeda Fe y AlegriaChimoré</v>
          </cell>
          <cell r="C694" t="str">
            <v>Cochabamba</v>
          </cell>
          <cell r="D694" t="str">
            <v>Carrasco</v>
          </cell>
          <cell r="E694" t="str">
            <v>Chimoré</v>
          </cell>
          <cell r="F694" t="str">
            <v>Chimoré</v>
          </cell>
          <cell r="G694" t="str">
            <v>Escuela Gerónimo Uzeda Fe y Alegria</v>
          </cell>
          <cell r="H694" t="str">
            <v>Zona 4552</v>
          </cell>
          <cell r="I694" t="str">
            <v>Chimore</v>
          </cell>
          <cell r="J694" t="str">
            <v>24</v>
          </cell>
          <cell r="K694" t="str">
            <v>Especial</v>
          </cell>
          <cell r="L694" t="str">
            <v>-16.9937</v>
          </cell>
          <cell r="M694" t="str">
            <v>-65.1549</v>
          </cell>
          <cell r="N694" t="str">
            <v>Rural</v>
          </cell>
          <cell r="O694" t="str">
            <v>2468</v>
          </cell>
          <cell r="P694" t="str">
            <v>POINT (-65.1549 -16.9937)</v>
          </cell>
          <cell r="Q694">
            <v>25</v>
          </cell>
          <cell r="R694">
            <v>0.8863034886744714</v>
          </cell>
        </row>
        <row r="695">
          <cell r="A695">
            <v>2469</v>
          </cell>
          <cell r="B695" t="str">
            <v>U. E. Ernesto Che GuevaraChimoré</v>
          </cell>
          <cell r="C695" t="str">
            <v>Cochabamba</v>
          </cell>
          <cell r="D695" t="str">
            <v>Carrasco</v>
          </cell>
          <cell r="E695" t="str">
            <v>Chimoré</v>
          </cell>
          <cell r="F695" t="str">
            <v>Chimoré</v>
          </cell>
          <cell r="G695" t="str">
            <v>U. E. Ernesto Che Guevara</v>
          </cell>
          <cell r="H695" t="str">
            <v>Zona 4552</v>
          </cell>
          <cell r="I695" t="str">
            <v>Av. Senda II final, zona Senda II</v>
          </cell>
          <cell r="J695" t="str">
            <v>24</v>
          </cell>
          <cell r="K695" t="str">
            <v>Especial</v>
          </cell>
          <cell r="L695" t="str">
            <v>-16.996686</v>
          </cell>
          <cell r="M695" t="str">
            <v>-65.157556</v>
          </cell>
          <cell r="N695" t="str">
            <v>Rural</v>
          </cell>
          <cell r="O695" t="str">
            <v>2469</v>
          </cell>
          <cell r="P695" t="str">
            <v>POINT (-65.157556 -16.996686)</v>
          </cell>
          <cell r="Q695">
            <v>13</v>
          </cell>
          <cell r="R695">
            <v>0.88527560219717194</v>
          </cell>
        </row>
        <row r="696">
          <cell r="A696">
            <v>2470</v>
          </cell>
          <cell r="B696" t="str">
            <v>U.E. Marcelo Quiroga Santa CruzChimoré</v>
          </cell>
          <cell r="C696" t="str">
            <v>Cochabamba</v>
          </cell>
          <cell r="D696" t="str">
            <v>Carrasco</v>
          </cell>
          <cell r="E696" t="str">
            <v>Chimoré</v>
          </cell>
          <cell r="F696" t="str">
            <v>Chimoré</v>
          </cell>
          <cell r="G696" t="str">
            <v>U.E. Marcelo Quiroga Santa Cruz</v>
          </cell>
          <cell r="H696" t="str">
            <v>Zona 4552</v>
          </cell>
          <cell r="I696" t="str">
            <v>Chimoré</v>
          </cell>
          <cell r="J696" t="str">
            <v>24</v>
          </cell>
          <cell r="K696" t="str">
            <v>Uninominal</v>
          </cell>
          <cell r="L696" t="str">
            <v>-16.988859</v>
          </cell>
          <cell r="M696" t="str">
            <v>-65.156099</v>
          </cell>
          <cell r="N696" t="str">
            <v>Rural</v>
          </cell>
          <cell r="O696" t="str">
            <v>2470</v>
          </cell>
          <cell r="P696" t="str">
            <v>POINT (-65.156099 -16.988859)</v>
          </cell>
          <cell r="Q696">
            <v>10</v>
          </cell>
          <cell r="R696" t="str">
            <v>Sin Info</v>
          </cell>
        </row>
        <row r="697">
          <cell r="A697">
            <v>2471</v>
          </cell>
          <cell r="B697" t="str">
            <v>Nucleo Educativo Entre Rios TacuaralChimoré</v>
          </cell>
          <cell r="C697" t="str">
            <v>Cochabamba</v>
          </cell>
          <cell r="D697" t="str">
            <v>Carrasco</v>
          </cell>
          <cell r="E697" t="str">
            <v>Chimoré</v>
          </cell>
          <cell r="F697" t="str">
            <v>Entre Rios (Tacuaral)</v>
          </cell>
          <cell r="G697" t="str">
            <v>Nucleo Educativo Entre Rios Tacuaral</v>
          </cell>
          <cell r="H697" t="str">
            <v>Zona 4550</v>
          </cell>
          <cell r="I697" t="str">
            <v>Entre Rios (Tacuaral)</v>
          </cell>
          <cell r="J697" t="str">
            <v>24</v>
          </cell>
          <cell r="K697" t="str">
            <v>Uninominal</v>
          </cell>
          <cell r="L697" t="str">
            <v>-17.0809</v>
          </cell>
          <cell r="M697" t="str">
            <v>-65.2078</v>
          </cell>
          <cell r="N697" t="str">
            <v>Urbano</v>
          </cell>
          <cell r="O697" t="str">
            <v>2471</v>
          </cell>
          <cell r="P697" t="str">
            <v>POINT (-65.2078 -17.0809)</v>
          </cell>
          <cell r="Q697">
            <v>4</v>
          </cell>
          <cell r="R697">
            <v>0.99336999015773408</v>
          </cell>
        </row>
        <row r="698">
          <cell r="A698">
            <v>2472</v>
          </cell>
          <cell r="B698" t="str">
            <v>Nucleo Escolar Puerto AuroraChimoré</v>
          </cell>
          <cell r="C698" t="str">
            <v>Cochabamba</v>
          </cell>
          <cell r="D698" t="str">
            <v>Carrasco</v>
          </cell>
          <cell r="E698" t="str">
            <v>Chimoré</v>
          </cell>
          <cell r="F698" t="str">
            <v>Puerto Aurora</v>
          </cell>
          <cell r="G698" t="str">
            <v>Nucleo Escolar Puerto Aurora</v>
          </cell>
          <cell r="H698" t="str">
            <v>Zona 4556</v>
          </cell>
          <cell r="I698" t="str">
            <v>Puerto Aurora</v>
          </cell>
          <cell r="J698" t="str">
            <v>24</v>
          </cell>
          <cell r="K698" t="str">
            <v>Especial</v>
          </cell>
          <cell r="L698" t="str">
            <v>-16.848</v>
          </cell>
          <cell r="M698" t="str">
            <v>-65.1863</v>
          </cell>
          <cell r="N698" t="str">
            <v>Rural</v>
          </cell>
          <cell r="O698" t="str">
            <v>2472</v>
          </cell>
          <cell r="P698" t="str">
            <v>POINT (-65.1863 -16.848)</v>
          </cell>
          <cell r="Q698">
            <v>3</v>
          </cell>
          <cell r="R698">
            <v>0.95807094167569529</v>
          </cell>
        </row>
        <row r="699">
          <cell r="A699">
            <v>2473</v>
          </cell>
          <cell r="B699" t="str">
            <v>Unidad Educativa Cesar Zama (Chimore)Chimoré</v>
          </cell>
          <cell r="C699" t="str">
            <v>Cochabamba</v>
          </cell>
          <cell r="D699" t="str">
            <v>Carrasco</v>
          </cell>
          <cell r="E699" t="str">
            <v>Chimoré</v>
          </cell>
          <cell r="F699" t="str">
            <v>Cesar Zama (Chimore)</v>
          </cell>
          <cell r="G699" t="str">
            <v>Unidad Educativa Cesar Zama (Chimore)</v>
          </cell>
          <cell r="H699" t="str">
            <v>Zona 4559</v>
          </cell>
          <cell r="I699" t="str">
            <v>Cezer Zama(Chimore)</v>
          </cell>
          <cell r="J699" t="str">
            <v>24</v>
          </cell>
          <cell r="K699" t="str">
            <v>Uninominal</v>
          </cell>
          <cell r="L699" t="str">
            <v>-16.996276</v>
          </cell>
          <cell r="M699" t="str">
            <v>-65.077919</v>
          </cell>
          <cell r="N699" t="str">
            <v>Urbano</v>
          </cell>
          <cell r="O699" t="str">
            <v>2473</v>
          </cell>
          <cell r="P699" t="str">
            <v>POINT (-65.077919 -16.996276)</v>
          </cell>
          <cell r="Q699">
            <v>11</v>
          </cell>
          <cell r="R699">
            <v>0.98541874609146518</v>
          </cell>
        </row>
        <row r="700">
          <cell r="A700">
            <v>2474</v>
          </cell>
          <cell r="B700" t="str">
            <v>Escuela La MisionChimoré</v>
          </cell>
          <cell r="C700" t="str">
            <v>Cochabamba</v>
          </cell>
          <cell r="D700" t="str">
            <v>Carrasco</v>
          </cell>
          <cell r="E700" t="str">
            <v>Chimoré</v>
          </cell>
          <cell r="F700" t="str">
            <v>La Misión</v>
          </cell>
          <cell r="G700" t="str">
            <v>Escuela La Mision</v>
          </cell>
          <cell r="H700" t="str">
            <v>Zona 4558</v>
          </cell>
          <cell r="I700" t="str">
            <v>La Misión</v>
          </cell>
          <cell r="J700" t="str">
            <v>2</v>
          </cell>
          <cell r="K700" t="str">
            <v>Uninominal</v>
          </cell>
          <cell r="L700" t="str">
            <v>-16.7141</v>
          </cell>
          <cell r="M700" t="str">
            <v>-65.1484</v>
          </cell>
          <cell r="N700" t="str">
            <v>Urbano</v>
          </cell>
          <cell r="O700" t="str">
            <v>2474</v>
          </cell>
          <cell r="P700" t="str">
            <v>POINT (-65.1484 -16.7141)</v>
          </cell>
          <cell r="Q700">
            <v>3</v>
          </cell>
          <cell r="R700">
            <v>0.92049370246257434</v>
          </cell>
        </row>
        <row r="701">
          <cell r="A701">
            <v>2475</v>
          </cell>
          <cell r="B701" t="str">
            <v>Unidad Educativa TrinidadcitoChimoré</v>
          </cell>
          <cell r="C701" t="str">
            <v>Cochabamba</v>
          </cell>
          <cell r="D701" t="str">
            <v>Carrasco</v>
          </cell>
          <cell r="E701" t="str">
            <v>Chimoré</v>
          </cell>
          <cell r="F701" t="str">
            <v>Trinidadcito</v>
          </cell>
          <cell r="G701" t="str">
            <v>Unidad Educativa Trinidadcito</v>
          </cell>
          <cell r="H701" t="str">
            <v>Zona 4558</v>
          </cell>
          <cell r="I701" t="str">
            <v>Trinidadcito</v>
          </cell>
          <cell r="J701" t="str">
            <v>2</v>
          </cell>
          <cell r="K701" t="str">
            <v>Uninominal</v>
          </cell>
          <cell r="L701" t="str">
            <v>-16.45</v>
          </cell>
          <cell r="M701" t="str">
            <v>-64.94</v>
          </cell>
          <cell r="N701" t="str">
            <v>Urbano</v>
          </cell>
          <cell r="O701" t="str">
            <v>2475</v>
          </cell>
          <cell r="P701" t="str">
            <v>POINT (-64.94 -16.45)</v>
          </cell>
          <cell r="Q701">
            <v>1</v>
          </cell>
          <cell r="R701">
            <v>0.810126582278481</v>
          </cell>
        </row>
        <row r="702">
          <cell r="A702">
            <v>2476</v>
          </cell>
          <cell r="B702" t="str">
            <v>Unidad Educativa El CarmenChimoré</v>
          </cell>
          <cell r="C702" t="str">
            <v>Cochabamba</v>
          </cell>
          <cell r="D702" t="str">
            <v>Carrasco</v>
          </cell>
          <cell r="E702" t="str">
            <v>Chimoré</v>
          </cell>
          <cell r="F702" t="str">
            <v>El Carmen</v>
          </cell>
          <cell r="G702" t="str">
            <v>Unidad Educativa El Carmen</v>
          </cell>
          <cell r="H702" t="str">
            <v>Zona 4558</v>
          </cell>
          <cell r="I702" t="str">
            <v>El Carmen</v>
          </cell>
          <cell r="J702" t="str">
            <v>2</v>
          </cell>
          <cell r="K702" t="str">
            <v>Uninominal</v>
          </cell>
          <cell r="L702" t="str">
            <v>-16.1704</v>
          </cell>
          <cell r="M702" t="str">
            <v>-64.9053</v>
          </cell>
          <cell r="N702" t="str">
            <v>Urbano</v>
          </cell>
          <cell r="O702" t="str">
            <v>2476</v>
          </cell>
          <cell r="P702" t="str">
            <v>POINT (-64.9053 -16.1704)</v>
          </cell>
          <cell r="Q702">
            <v>1</v>
          </cell>
          <cell r="R702">
            <v>0.84496124031007747</v>
          </cell>
        </row>
        <row r="703">
          <cell r="A703">
            <v>2477</v>
          </cell>
          <cell r="B703" t="str">
            <v>Unidad Educativa Santa AnitaChimoré</v>
          </cell>
          <cell r="C703" t="str">
            <v>Cochabamba</v>
          </cell>
          <cell r="D703" t="str">
            <v>Carrasco</v>
          </cell>
          <cell r="E703" t="str">
            <v>Chimoré</v>
          </cell>
          <cell r="F703" t="str">
            <v>Santa Anita</v>
          </cell>
          <cell r="G703" t="str">
            <v>Unidad Educativa Santa Anita</v>
          </cell>
          <cell r="H703" t="str">
            <v>Zona 4558</v>
          </cell>
          <cell r="I703" t="str">
            <v>Santa Anita</v>
          </cell>
          <cell r="J703" t="str">
            <v>2</v>
          </cell>
          <cell r="K703" t="str">
            <v>Uninominal</v>
          </cell>
          <cell r="L703" t="str">
            <v>-16.1162</v>
          </cell>
          <cell r="M703" t="str">
            <v>-64.827</v>
          </cell>
          <cell r="N703" t="str">
            <v>Urbano</v>
          </cell>
          <cell r="O703" t="str">
            <v>2477</v>
          </cell>
          <cell r="P703" t="str">
            <v>POINT (-64.827 -16.1162)</v>
          </cell>
          <cell r="Q703">
            <v>1</v>
          </cell>
          <cell r="R703">
            <v>0.82978723404255317</v>
          </cell>
        </row>
        <row r="704">
          <cell r="A704">
            <v>2478</v>
          </cell>
          <cell r="B704" t="str">
            <v>Unidad Educativa Puerto las FloresChimoré</v>
          </cell>
          <cell r="C704" t="str">
            <v>Cochabamba</v>
          </cell>
          <cell r="D704" t="str">
            <v>Carrasco</v>
          </cell>
          <cell r="E704" t="str">
            <v>Chimoré</v>
          </cell>
          <cell r="F704" t="str">
            <v>Puerto Las Flores</v>
          </cell>
          <cell r="G704" t="str">
            <v>Unidad Educativa Puerto las Flores</v>
          </cell>
          <cell r="H704" t="str">
            <v>Zona 4558</v>
          </cell>
          <cell r="I704" t="str">
            <v>Puerto Las Flores</v>
          </cell>
          <cell r="J704" t="str">
            <v>2</v>
          </cell>
          <cell r="K704" t="str">
            <v>Uninominal</v>
          </cell>
          <cell r="L704" t="str">
            <v>-16.4062</v>
          </cell>
          <cell r="M704" t="str">
            <v>-64.682</v>
          </cell>
          <cell r="N704" t="str">
            <v>Urbano</v>
          </cell>
          <cell r="O704" t="str">
            <v>2478</v>
          </cell>
          <cell r="P704" t="str">
            <v>POINT (-64.682 -16.4062)</v>
          </cell>
          <cell r="Q704">
            <v>1</v>
          </cell>
          <cell r="R704">
            <v>0.93023255813953487</v>
          </cell>
        </row>
        <row r="705">
          <cell r="A705">
            <v>2479</v>
          </cell>
          <cell r="B705" t="str">
            <v>Unidad Educativa Santa IsabelChimoré</v>
          </cell>
          <cell r="C705" t="str">
            <v>Cochabamba</v>
          </cell>
          <cell r="D705" t="str">
            <v>Carrasco</v>
          </cell>
          <cell r="E705" t="str">
            <v>Chimoré</v>
          </cell>
          <cell r="F705" t="str">
            <v>Santa Isabel</v>
          </cell>
          <cell r="G705" t="str">
            <v>Unidad Educativa Santa Isabel</v>
          </cell>
          <cell r="H705" t="str">
            <v>Zona 4558</v>
          </cell>
          <cell r="I705" t="str">
            <v>Santa Isabel</v>
          </cell>
          <cell r="J705" t="str">
            <v>2</v>
          </cell>
          <cell r="K705" t="str">
            <v>Uninominal</v>
          </cell>
          <cell r="L705" t="str">
            <v>-16.5037</v>
          </cell>
          <cell r="M705" t="str">
            <v>-64.7296</v>
          </cell>
          <cell r="N705" t="str">
            <v>Urbano</v>
          </cell>
          <cell r="O705" t="str">
            <v>2479</v>
          </cell>
          <cell r="P705" t="str">
            <v>POINT (-64.7296 -16.5037)</v>
          </cell>
          <cell r="Q705">
            <v>1</v>
          </cell>
          <cell r="R705">
            <v>0.72</v>
          </cell>
        </row>
        <row r="706">
          <cell r="A706">
            <v>2480</v>
          </cell>
          <cell r="B706" t="str">
            <v>Unidad Educativa San AndrésChimoré</v>
          </cell>
          <cell r="C706" t="str">
            <v>Cochabamba</v>
          </cell>
          <cell r="D706" t="str">
            <v>Carrasco</v>
          </cell>
          <cell r="E706" t="str">
            <v>Chimoré</v>
          </cell>
          <cell r="F706" t="str">
            <v>San Andres</v>
          </cell>
          <cell r="G706" t="str">
            <v>Unidad Educativa San Andrés</v>
          </cell>
          <cell r="H706" t="str">
            <v>Zona 4549</v>
          </cell>
          <cell r="I706" t="str">
            <v>San Andres</v>
          </cell>
          <cell r="J706" t="str">
            <v>24</v>
          </cell>
          <cell r="K706" t="str">
            <v>Uninominal</v>
          </cell>
          <cell r="L706" t="str">
            <v>-17.0901</v>
          </cell>
          <cell r="M706" t="str">
            <v>-65.1036</v>
          </cell>
          <cell r="N706" t="str">
            <v>Urbano</v>
          </cell>
          <cell r="O706" t="str">
            <v>2480</v>
          </cell>
          <cell r="P706" t="str">
            <v>POINT (-65.1036 -17.0901)</v>
          </cell>
          <cell r="Q706">
            <v>3</v>
          </cell>
          <cell r="R706">
            <v>0.99478660874009706</v>
          </cell>
        </row>
        <row r="707">
          <cell r="A707">
            <v>2481</v>
          </cell>
          <cell r="B707" t="str">
            <v>Unidad Educativa Tres IslasChimoré</v>
          </cell>
          <cell r="C707" t="str">
            <v>Cochabamba</v>
          </cell>
          <cell r="D707" t="str">
            <v>Carrasco</v>
          </cell>
          <cell r="E707" t="str">
            <v>Chimoré</v>
          </cell>
          <cell r="F707" t="str">
            <v>Tres Islas</v>
          </cell>
          <cell r="G707" t="str">
            <v>Unidad Educativa Tres Islas</v>
          </cell>
          <cell r="H707" t="str">
            <v>Zona 4558</v>
          </cell>
          <cell r="I707" t="str">
            <v>Tres Islas</v>
          </cell>
          <cell r="J707" t="str">
            <v>2</v>
          </cell>
          <cell r="K707" t="str">
            <v>Uninominal</v>
          </cell>
          <cell r="L707" t="str">
            <v>-16.690168</v>
          </cell>
          <cell r="M707" t="str">
            <v>-64.915751</v>
          </cell>
          <cell r="N707" t="str">
            <v>Urbano</v>
          </cell>
          <cell r="O707" t="str">
            <v>2481</v>
          </cell>
          <cell r="P707" t="str">
            <v>POINT (-64.915751 -16.690168)</v>
          </cell>
          <cell r="Q707">
            <v>1</v>
          </cell>
          <cell r="R707">
            <v>0.76878612716763006</v>
          </cell>
        </row>
        <row r="708">
          <cell r="A708">
            <v>2482</v>
          </cell>
          <cell r="B708" t="str">
            <v>U.E. 10 de MayoChimoré</v>
          </cell>
          <cell r="C708" t="str">
            <v>Cochabamba</v>
          </cell>
          <cell r="D708" t="str">
            <v>Carrasco</v>
          </cell>
          <cell r="E708" t="str">
            <v>Chimoré</v>
          </cell>
          <cell r="F708" t="str">
            <v>Urupa</v>
          </cell>
          <cell r="G708" t="str">
            <v>U.E. 10 de Mayo</v>
          </cell>
          <cell r="H708" t="str">
            <v>Zona 4558</v>
          </cell>
          <cell r="I708" t="str">
            <v>Urupa</v>
          </cell>
          <cell r="J708" t="str">
            <v>2</v>
          </cell>
          <cell r="K708" t="str">
            <v>Uninominal</v>
          </cell>
          <cell r="L708" t="str">
            <v>-16.7573</v>
          </cell>
          <cell r="M708" t="str">
            <v>-64.9783</v>
          </cell>
          <cell r="N708" t="str">
            <v>Urbano</v>
          </cell>
          <cell r="O708" t="str">
            <v>2482</v>
          </cell>
          <cell r="P708" t="str">
            <v>POINT (-64.9783 -16.7573)</v>
          </cell>
          <cell r="Q708">
            <v>1</v>
          </cell>
          <cell r="R708">
            <v>0.77142857142857146</v>
          </cell>
        </row>
        <row r="709">
          <cell r="A709">
            <v>2483</v>
          </cell>
          <cell r="B709" t="str">
            <v>U.E. BoliviaChimoré</v>
          </cell>
          <cell r="C709" t="str">
            <v>Cochabamba</v>
          </cell>
          <cell r="D709" t="str">
            <v>Carrasco</v>
          </cell>
          <cell r="E709" t="str">
            <v>Chimoré</v>
          </cell>
          <cell r="F709" t="str">
            <v>Senda  F  27 de Mayo</v>
          </cell>
          <cell r="G709" t="str">
            <v>U.E. Bolivia</v>
          </cell>
          <cell r="H709" t="str">
            <v>Zona 4555</v>
          </cell>
          <cell r="I709" t="str">
            <v>Al norte de Chimoré, Sindicato Senda "F" 27 de Mayo</v>
          </cell>
          <cell r="J709" t="str">
            <v>24</v>
          </cell>
          <cell r="K709" t="str">
            <v>Uninominal</v>
          </cell>
          <cell r="L709" t="str">
            <v>-16.874859</v>
          </cell>
          <cell r="M709" t="str">
            <v>-65.131844</v>
          </cell>
          <cell r="N709" t="str">
            <v>Urbano</v>
          </cell>
          <cell r="O709" t="str">
            <v>2483</v>
          </cell>
          <cell r="P709" t="str">
            <v>POINT (-65.131844 -16.874859)</v>
          </cell>
          <cell r="Q709">
            <v>2</v>
          </cell>
          <cell r="R709">
            <v>0.96226160792506232</v>
          </cell>
        </row>
        <row r="710">
          <cell r="A710">
            <v>2484</v>
          </cell>
          <cell r="B710" t="str">
            <v>U.E. Senda IIIChimoré</v>
          </cell>
          <cell r="C710" t="str">
            <v>Cochabamba</v>
          </cell>
          <cell r="D710" t="str">
            <v>Carrasco</v>
          </cell>
          <cell r="E710" t="str">
            <v>Chimoré</v>
          </cell>
          <cell r="F710" t="str">
            <v>Senda  3</v>
          </cell>
          <cell r="G710" t="str">
            <v>U.E. Senda III</v>
          </cell>
          <cell r="H710" t="str">
            <v>Zona 4552</v>
          </cell>
          <cell r="I710" t="str">
            <v>Comunidad Senda "3"</v>
          </cell>
          <cell r="J710" t="str">
            <v>24</v>
          </cell>
          <cell r="K710" t="str">
            <v>Uninominal</v>
          </cell>
          <cell r="L710" t="str">
            <v>-16.994297</v>
          </cell>
          <cell r="M710" t="str">
            <v>-65.182588</v>
          </cell>
          <cell r="N710" t="str">
            <v>Rural</v>
          </cell>
          <cell r="O710" t="str">
            <v>2484</v>
          </cell>
          <cell r="P710" t="str">
            <v>POINT (-65.182588 -16.994297)</v>
          </cell>
          <cell r="Q710">
            <v>4</v>
          </cell>
          <cell r="R710">
            <v>0.93302595511155795</v>
          </cell>
        </row>
        <row r="711">
          <cell r="A711">
            <v>2485</v>
          </cell>
          <cell r="B711" t="str">
            <v>U.E. Puerto CochabambaChimoré</v>
          </cell>
          <cell r="C711" t="str">
            <v>Cochabamba</v>
          </cell>
          <cell r="D711" t="str">
            <v>Carrasco</v>
          </cell>
          <cell r="E711" t="str">
            <v>Chimoré</v>
          </cell>
          <cell r="F711" t="str">
            <v>Puerto Cochabamba</v>
          </cell>
          <cell r="G711" t="str">
            <v>U.E. Puerto Cochabamba</v>
          </cell>
          <cell r="H711" t="str">
            <v>Zona 4558</v>
          </cell>
          <cell r="I711" t="str">
            <v>Puerto Cochabamba</v>
          </cell>
          <cell r="J711" t="str">
            <v>2</v>
          </cell>
          <cell r="K711" t="str">
            <v>Uninominal</v>
          </cell>
          <cell r="L711" t="str">
            <v>-16.79924</v>
          </cell>
          <cell r="M711" t="str">
            <v>-65.136088</v>
          </cell>
          <cell r="N711" t="str">
            <v>Rural</v>
          </cell>
          <cell r="O711" t="str">
            <v>2485</v>
          </cell>
          <cell r="P711" t="str">
            <v>POINT (-65.136088 -16.79924)</v>
          </cell>
          <cell r="Q711">
            <v>1</v>
          </cell>
          <cell r="R711">
            <v>0.86821705426356588</v>
          </cell>
        </row>
        <row r="712">
          <cell r="A712">
            <v>2486</v>
          </cell>
          <cell r="B712" t="str">
            <v>Sede Comunal PachinuChimoré</v>
          </cell>
          <cell r="C712" t="str">
            <v>Cochabamba</v>
          </cell>
          <cell r="D712" t="str">
            <v>Carrasco</v>
          </cell>
          <cell r="E712" t="str">
            <v>Chimoré</v>
          </cell>
          <cell r="F712" t="str">
            <v>Pachinu</v>
          </cell>
          <cell r="G712" t="str">
            <v>Sede Comunal Pachinu</v>
          </cell>
          <cell r="H712" t="str">
            <v>Zona 4558</v>
          </cell>
          <cell r="I712" t="str">
            <v>Ubicado al noreste del municipio de Chimore en la Comunidad Indigena Yuqui Pachinu</v>
          </cell>
          <cell r="J712" t="str">
            <v>2</v>
          </cell>
          <cell r="K712" t="str">
            <v>Uninominal</v>
          </cell>
          <cell r="L712" t="str">
            <v>-16.768043</v>
          </cell>
          <cell r="M712" t="str">
            <v>-64.930064</v>
          </cell>
          <cell r="N712" t="str">
            <v>Urbano</v>
          </cell>
          <cell r="O712" t="str">
            <v>2486</v>
          </cell>
          <cell r="P712" t="str">
            <v>POINT (-64.930064 -16.768043)</v>
          </cell>
          <cell r="Q712">
            <v>1</v>
          </cell>
          <cell r="R712" t="str">
            <v>Sin Info</v>
          </cell>
        </row>
        <row r="713">
          <cell r="A713">
            <v>2487</v>
          </cell>
          <cell r="B713" t="str">
            <v>U. E. Dionisio MoralesChimoré</v>
          </cell>
          <cell r="C713" t="str">
            <v>Cochabamba</v>
          </cell>
          <cell r="D713" t="str">
            <v>Carrasco</v>
          </cell>
          <cell r="E713" t="str">
            <v>Chimoré</v>
          </cell>
          <cell r="F713" t="str">
            <v>C. Campesina  Colonia Estaño Palmito Sector Palmito</v>
          </cell>
          <cell r="G713" t="str">
            <v>U. E. Dionisio Morales</v>
          </cell>
          <cell r="H713" t="str">
            <v>Zona 4558</v>
          </cell>
          <cell r="I713" t="str">
            <v>Localidad Estaño Palmito, Carretera troncal a las Comunidades Indígenas Yuracare - Urupa y Yuqui- Biareyua</v>
          </cell>
          <cell r="J713" t="str">
            <v>24</v>
          </cell>
          <cell r="K713" t="str">
            <v>Uninominal</v>
          </cell>
          <cell r="L713" t="str">
            <v>-16.788978</v>
          </cell>
          <cell r="M713" t="str">
            <v>-65.0195</v>
          </cell>
          <cell r="N713" t="str">
            <v>Urbano</v>
          </cell>
          <cell r="O713" t="str">
            <v>2487</v>
          </cell>
          <cell r="P713" t="str">
            <v>POINT (-65.0195 -16.788978)</v>
          </cell>
          <cell r="Q713">
            <v>2</v>
          </cell>
          <cell r="R713" t="str">
            <v>Sin Info</v>
          </cell>
        </row>
        <row r="714">
          <cell r="A714">
            <v>2488</v>
          </cell>
          <cell r="B714" t="str">
            <v>U. E. Nueva CanaánChimoré</v>
          </cell>
          <cell r="C714" t="str">
            <v>Cochabamba</v>
          </cell>
          <cell r="D714" t="str">
            <v>Carrasco</v>
          </cell>
          <cell r="E714" t="str">
            <v>Chimoré</v>
          </cell>
          <cell r="F714" t="str">
            <v>Sindicato Senda  B  Nueva Canaán</v>
          </cell>
          <cell r="G714" t="str">
            <v>U. E. Nueva Canaán</v>
          </cell>
          <cell r="H714" t="str">
            <v>Zona 4552</v>
          </cell>
          <cell r="I714" t="str">
            <v>Localidad Senda B, se encuentra en pleno cruce Av. Abecedario pasando el Aeropuerto Soberanía de Chinore</v>
          </cell>
          <cell r="J714" t="str">
            <v>24</v>
          </cell>
          <cell r="K714" t="str">
            <v>Uninominal</v>
          </cell>
          <cell r="L714" t="str">
            <v>-16.95709</v>
          </cell>
          <cell r="M714" t="str">
            <v>-65.14475</v>
          </cell>
          <cell r="N714" t="str">
            <v>Rural</v>
          </cell>
          <cell r="O714" t="str">
            <v>2488</v>
          </cell>
          <cell r="P714" t="str">
            <v>POINT (-65.14475 -16.95709)</v>
          </cell>
          <cell r="Q714">
            <v>2</v>
          </cell>
          <cell r="R714" t="str">
            <v>Sin Info</v>
          </cell>
        </row>
        <row r="715">
          <cell r="A715">
            <v>2489</v>
          </cell>
          <cell r="B715" t="str">
            <v>U. E. 23 de MarzoChimoré</v>
          </cell>
          <cell r="C715" t="str">
            <v>Cochabamba</v>
          </cell>
          <cell r="D715" t="str">
            <v>Carrasco</v>
          </cell>
          <cell r="E715" t="str">
            <v>Chimoré</v>
          </cell>
          <cell r="F715" t="str">
            <v>Soltera</v>
          </cell>
          <cell r="G715" t="str">
            <v>U. E. 23 de Marzo</v>
          </cell>
          <cell r="H715" t="str">
            <v>Zona 4558</v>
          </cell>
          <cell r="I715" t="str">
            <v>La Comunidad Indígena Yuracare “Soltera”, se encuentra ubicado al Norte del Municipio de Chimore cerca a la empresa bananera  “Chapare Exporta”</v>
          </cell>
          <cell r="J715" t="str">
            <v>2</v>
          </cell>
          <cell r="K715" t="str">
            <v>Uninominal</v>
          </cell>
          <cell r="L715" t="str">
            <v>-16.723948</v>
          </cell>
          <cell r="M715" t="str">
            <v>-64.8872</v>
          </cell>
          <cell r="N715" t="str">
            <v>Rural</v>
          </cell>
          <cell r="O715" t="str">
            <v>2489</v>
          </cell>
          <cell r="P715" t="str">
            <v>POINT (-64.8872 -16.723948)</v>
          </cell>
          <cell r="Q715">
            <v>1</v>
          </cell>
          <cell r="R715" t="str">
            <v>Sin Info</v>
          </cell>
        </row>
        <row r="716">
          <cell r="A716">
            <v>2490</v>
          </cell>
          <cell r="B716" t="str">
            <v>Colegio Eduardo Avaroa (P.Villarroel)Puerto Villarroel</v>
          </cell>
          <cell r="C716" t="str">
            <v>Cochabamba</v>
          </cell>
          <cell r="D716" t="str">
            <v>Carrasco</v>
          </cell>
          <cell r="E716" t="str">
            <v>Puerto Villarroel</v>
          </cell>
          <cell r="F716" t="str">
            <v>Puerto Villarroel</v>
          </cell>
          <cell r="G716" t="str">
            <v>Colegio Eduardo Avaroa (P.Villarroel)</v>
          </cell>
          <cell r="H716" t="str">
            <v>Zona 4579</v>
          </cell>
          <cell r="I716" t="str">
            <v>Puerto Villarroel</v>
          </cell>
          <cell r="J716" t="str">
            <v>24</v>
          </cell>
          <cell r="K716" t="str">
            <v>Especial</v>
          </cell>
          <cell r="L716" t="str">
            <v>-16.8392</v>
          </cell>
          <cell r="M716" t="str">
            <v>-64.7949</v>
          </cell>
          <cell r="N716" t="str">
            <v>Rural</v>
          </cell>
          <cell r="O716" t="str">
            <v>2490</v>
          </cell>
          <cell r="P716" t="str">
            <v>POINT (-64.7949 -16.8392)</v>
          </cell>
          <cell r="Q716">
            <v>8</v>
          </cell>
          <cell r="R716">
            <v>0.73945571741217764</v>
          </cell>
        </row>
        <row r="717">
          <cell r="A717">
            <v>2491</v>
          </cell>
          <cell r="B717" t="str">
            <v>Unidad Educativa San Francisco De AsisPuerto Villarroel</v>
          </cell>
          <cell r="C717" t="str">
            <v>Cochabamba</v>
          </cell>
          <cell r="D717" t="str">
            <v>Carrasco</v>
          </cell>
          <cell r="E717" t="str">
            <v>Puerto Villarroel</v>
          </cell>
          <cell r="F717" t="str">
            <v>Ivirgarzama</v>
          </cell>
          <cell r="G717" t="str">
            <v>Unidad Educativa San Francisco De Asis</v>
          </cell>
          <cell r="H717" t="str">
            <v>Zona 4569</v>
          </cell>
          <cell r="I717" t="str">
            <v>Ivirgarzama</v>
          </cell>
          <cell r="J717" t="str">
            <v>24</v>
          </cell>
          <cell r="K717" t="str">
            <v>Uninominal</v>
          </cell>
          <cell r="L717" t="str">
            <v>-17.0317</v>
          </cell>
          <cell r="M717" t="str">
            <v>-64.8571</v>
          </cell>
          <cell r="N717" t="str">
            <v>Urbano</v>
          </cell>
          <cell r="O717" t="str">
            <v>2491</v>
          </cell>
          <cell r="P717" t="str">
            <v>POINT (-64.8571 -17.0317)</v>
          </cell>
          <cell r="Q717">
            <v>37</v>
          </cell>
          <cell r="R717">
            <v>0.93447070813339761</v>
          </cell>
        </row>
        <row r="718">
          <cell r="A718">
            <v>2492</v>
          </cell>
          <cell r="B718" t="str">
            <v>Unidad Educativa Juana Azurduy De PadillaPuerto Villarroel</v>
          </cell>
          <cell r="C718" t="str">
            <v>Cochabamba</v>
          </cell>
          <cell r="D718" t="str">
            <v>Carrasco</v>
          </cell>
          <cell r="E718" t="str">
            <v>Puerto Villarroel</v>
          </cell>
          <cell r="F718" t="str">
            <v>Ivirgarzama</v>
          </cell>
          <cell r="G718" t="str">
            <v>Unidad Educativa Juana Azurduy De Padilla</v>
          </cell>
          <cell r="H718" t="str">
            <v>Zona 4569</v>
          </cell>
          <cell r="I718" t="str">
            <v>Avenida del Valle y Avenida Santa Cruz</v>
          </cell>
          <cell r="J718" t="str">
            <v>24</v>
          </cell>
          <cell r="K718" t="str">
            <v>Uninominal</v>
          </cell>
          <cell r="L718" t="str">
            <v>-17.0472</v>
          </cell>
          <cell r="M718" t="str">
            <v>-64.8553</v>
          </cell>
          <cell r="N718" t="str">
            <v>Rural</v>
          </cell>
          <cell r="O718" t="str">
            <v>2492</v>
          </cell>
          <cell r="P718" t="str">
            <v>POINT (-64.8553 -17.0472)</v>
          </cell>
          <cell r="Q718">
            <v>9</v>
          </cell>
          <cell r="R718">
            <v>0.95860829130188618</v>
          </cell>
        </row>
        <row r="719">
          <cell r="A719">
            <v>2493</v>
          </cell>
          <cell r="B719" t="str">
            <v>U. E. San Antonio de PaduaPuerto Villarroel</v>
          </cell>
          <cell r="C719" t="str">
            <v>Cochabamba</v>
          </cell>
          <cell r="D719" t="str">
            <v>Carrasco</v>
          </cell>
          <cell r="E719" t="str">
            <v>Puerto Villarroel</v>
          </cell>
          <cell r="F719" t="str">
            <v>Ivirgarzama</v>
          </cell>
          <cell r="G719" t="str">
            <v>U. E. San Antonio de Padua</v>
          </cell>
          <cell r="H719" t="str">
            <v>Zona 4569</v>
          </cell>
          <cell r="I719" t="str">
            <v>Calle Sebastián Alfaro entre la calle Oruro y entrada a Colonia Santa Fe</v>
          </cell>
          <cell r="J719" t="str">
            <v>24</v>
          </cell>
          <cell r="K719" t="str">
            <v>Uninominal</v>
          </cell>
          <cell r="L719" t="str">
            <v>-17.031818</v>
          </cell>
          <cell r="M719" t="str">
            <v>-64.857891</v>
          </cell>
          <cell r="N719" t="str">
            <v>Rural</v>
          </cell>
          <cell r="O719" t="str">
            <v>2493</v>
          </cell>
          <cell r="P719" t="str">
            <v>POINT (-64.857891 -17.031818)</v>
          </cell>
          <cell r="Q719">
            <v>17</v>
          </cell>
          <cell r="R719">
            <v>0.94020958593282811</v>
          </cell>
        </row>
        <row r="720">
          <cell r="A720">
            <v>2494</v>
          </cell>
          <cell r="B720" t="str">
            <v>U.E. Eben Ezer APuerto Villarroel</v>
          </cell>
          <cell r="C720" t="str">
            <v>Cochabamba</v>
          </cell>
          <cell r="D720" t="str">
            <v>Carrasco</v>
          </cell>
          <cell r="E720" t="str">
            <v>Puerto Villarroel</v>
          </cell>
          <cell r="F720" t="str">
            <v>Ivirgarzama</v>
          </cell>
          <cell r="G720" t="str">
            <v>U.E. Eben Ezer A</v>
          </cell>
          <cell r="H720" t="str">
            <v>Zona 4569</v>
          </cell>
          <cell r="I720" t="str">
            <v>Ivirgarzama</v>
          </cell>
          <cell r="J720" t="str">
            <v>24</v>
          </cell>
          <cell r="K720" t="str">
            <v>Uninominal</v>
          </cell>
          <cell r="L720" t="str">
            <v>-17.030289</v>
          </cell>
          <cell r="M720" t="str">
            <v>-64.857853</v>
          </cell>
          <cell r="N720" t="str">
            <v>Urbano</v>
          </cell>
          <cell r="O720" t="str">
            <v>2494</v>
          </cell>
          <cell r="P720" t="str">
            <v>POINT (-64.857853 -17.030289)</v>
          </cell>
          <cell r="Q720">
            <v>7</v>
          </cell>
          <cell r="R720" t="str">
            <v>Sin Info</v>
          </cell>
        </row>
        <row r="721">
          <cell r="A721">
            <v>2495</v>
          </cell>
          <cell r="B721" t="str">
            <v>U. E. Bello HorizontePuerto Villarroel</v>
          </cell>
          <cell r="C721" t="str">
            <v>Cochabamba</v>
          </cell>
          <cell r="D721" t="str">
            <v>Carrasco</v>
          </cell>
          <cell r="E721" t="str">
            <v>Puerto Villarroel</v>
          </cell>
          <cell r="F721" t="str">
            <v>Ivirgarzama</v>
          </cell>
          <cell r="G721" t="str">
            <v>U. E. Bello Horizonte</v>
          </cell>
          <cell r="H721" t="str">
            <v>Zona 4569</v>
          </cell>
          <cell r="I721" t="str">
            <v>Calle Félix Acosta a 1 Km. del Cruce Vueltadero</v>
          </cell>
          <cell r="J721" t="str">
            <v>24</v>
          </cell>
          <cell r="K721" t="str">
            <v>Uninominal</v>
          </cell>
          <cell r="L721" t="str">
            <v>-17.056751</v>
          </cell>
          <cell r="M721" t="str">
            <v>-64.862687</v>
          </cell>
          <cell r="N721" t="str">
            <v>Urbano</v>
          </cell>
          <cell r="O721" t="str">
            <v>2495</v>
          </cell>
          <cell r="P721" t="str">
            <v>POINT (-64.862687 -17.056751)</v>
          </cell>
          <cell r="Q721">
            <v>1</v>
          </cell>
          <cell r="R721" t="str">
            <v>Sin Info</v>
          </cell>
        </row>
        <row r="722">
          <cell r="A722">
            <v>2496</v>
          </cell>
          <cell r="B722" t="str">
            <v>Colegio LibertadPuerto Villarroel</v>
          </cell>
          <cell r="C722" t="str">
            <v>Cochabamba</v>
          </cell>
          <cell r="D722" t="str">
            <v>Carrasco</v>
          </cell>
          <cell r="E722" t="str">
            <v>Puerto Villarroel</v>
          </cell>
          <cell r="F722" t="str">
            <v>Libertad</v>
          </cell>
          <cell r="G722" t="str">
            <v>Colegio Libertad</v>
          </cell>
          <cell r="H722" t="str">
            <v>Zona 4569</v>
          </cell>
          <cell r="I722" t="str">
            <v>Libertad</v>
          </cell>
          <cell r="J722" t="str">
            <v>24</v>
          </cell>
          <cell r="K722" t="str">
            <v>Uninominal</v>
          </cell>
          <cell r="L722" t="str">
            <v>-17.0736</v>
          </cell>
          <cell r="M722" t="str">
            <v>-64.8454</v>
          </cell>
          <cell r="N722" t="str">
            <v>Urbano</v>
          </cell>
          <cell r="O722" t="str">
            <v>2496</v>
          </cell>
          <cell r="P722" t="str">
            <v>POINT (-64.8454 -17.0736)</v>
          </cell>
          <cell r="Q722">
            <v>6</v>
          </cell>
          <cell r="R722">
            <v>0.97787546129678926</v>
          </cell>
        </row>
        <row r="723">
          <cell r="A723">
            <v>2497</v>
          </cell>
          <cell r="B723" t="str">
            <v>Escuela Buenas Nuevas (Valle Ivirza)Puerto Villarroel</v>
          </cell>
          <cell r="C723" t="str">
            <v>Cochabamba</v>
          </cell>
          <cell r="D723" t="str">
            <v>Carrasco</v>
          </cell>
          <cell r="E723" t="str">
            <v>Puerto Villarroel</v>
          </cell>
          <cell r="F723" t="str">
            <v>Valle Ivirza</v>
          </cell>
          <cell r="G723" t="str">
            <v>Escuela Buenas Nuevas (Valle Ivirza)</v>
          </cell>
          <cell r="H723" t="str">
            <v>Zona 4561</v>
          </cell>
          <cell r="I723" t="str">
            <v>Valle Ivirza</v>
          </cell>
          <cell r="J723" t="str">
            <v>24</v>
          </cell>
          <cell r="K723" t="str">
            <v>Uninominal</v>
          </cell>
          <cell r="L723" t="str">
            <v>-17.1166</v>
          </cell>
          <cell r="M723" t="str">
            <v>-64.9179</v>
          </cell>
          <cell r="N723" t="str">
            <v>Urbano</v>
          </cell>
          <cell r="O723" t="str">
            <v>2497</v>
          </cell>
          <cell r="P723" t="str">
            <v>POINT (-64.9179 -17.1166)</v>
          </cell>
          <cell r="Q723">
            <v>9</v>
          </cell>
          <cell r="R723">
            <v>0.95910372723568438</v>
          </cell>
        </row>
        <row r="724">
          <cell r="A724">
            <v>2498</v>
          </cell>
          <cell r="B724" t="str">
            <v>Colegio Juan Pablo II (Sacta)Puerto Villarroel</v>
          </cell>
          <cell r="C724" t="str">
            <v>Cochabamba</v>
          </cell>
          <cell r="D724" t="str">
            <v>Carrasco</v>
          </cell>
          <cell r="E724" t="str">
            <v>Puerto Villarroel</v>
          </cell>
          <cell r="F724" t="str">
            <v>Valle de Sacta</v>
          </cell>
          <cell r="G724" t="str">
            <v>Colegio Juan Pablo II (Sacta)</v>
          </cell>
          <cell r="H724" t="str">
            <v>Zona 4567</v>
          </cell>
          <cell r="I724" t="str">
            <v>Valle de Sacta</v>
          </cell>
          <cell r="J724" t="str">
            <v>24</v>
          </cell>
          <cell r="K724" t="str">
            <v>Uninominal</v>
          </cell>
          <cell r="L724" t="str">
            <v>-17.1197</v>
          </cell>
          <cell r="M724" t="str">
            <v>-64.769</v>
          </cell>
          <cell r="N724" t="str">
            <v>Urbano</v>
          </cell>
          <cell r="O724" t="str">
            <v>2498</v>
          </cell>
          <cell r="P724" t="str">
            <v>POINT (-64.769 -17.1197)</v>
          </cell>
          <cell r="Q724">
            <v>24</v>
          </cell>
          <cell r="R724">
            <v>0.98029554084920845</v>
          </cell>
        </row>
        <row r="725">
          <cell r="A725">
            <v>2499</v>
          </cell>
          <cell r="B725" t="str">
            <v>Escuela Toribio Claure (V. Hermoso)Puerto Villarroel</v>
          </cell>
          <cell r="C725" t="str">
            <v>Cochabamba</v>
          </cell>
          <cell r="D725" t="str">
            <v>Carrasco</v>
          </cell>
          <cell r="E725" t="str">
            <v>Puerto Villarroel</v>
          </cell>
          <cell r="F725" t="str">
            <v>Valle Hermoso</v>
          </cell>
          <cell r="G725" t="str">
            <v>Escuela Toribio Claure (V. Hermoso)</v>
          </cell>
          <cell r="H725" t="str">
            <v>Zona 4564</v>
          </cell>
          <cell r="I725" t="str">
            <v>Valle Hermoso</v>
          </cell>
          <cell r="J725" t="str">
            <v>24</v>
          </cell>
          <cell r="K725" t="str">
            <v>Uninominal</v>
          </cell>
          <cell r="L725" t="str">
            <v>-17.1561</v>
          </cell>
          <cell r="M725" t="str">
            <v>-64.9666</v>
          </cell>
          <cell r="N725" t="str">
            <v>Urbano</v>
          </cell>
          <cell r="O725" t="str">
            <v>2499</v>
          </cell>
          <cell r="P725" t="str">
            <v>POINT (-64.9666 -17.1561)</v>
          </cell>
          <cell r="Q725">
            <v>10</v>
          </cell>
          <cell r="R725">
            <v>0.98829478605765464</v>
          </cell>
        </row>
        <row r="726">
          <cell r="A726">
            <v>2500</v>
          </cell>
          <cell r="B726" t="str">
            <v>Escuela Central Villa NuevaPuerto Villarroel</v>
          </cell>
          <cell r="C726" t="str">
            <v>Cochabamba</v>
          </cell>
          <cell r="D726" t="str">
            <v>Carrasco</v>
          </cell>
          <cell r="E726" t="str">
            <v>Puerto Villarroel</v>
          </cell>
          <cell r="F726" t="str">
            <v>Villa Nueva</v>
          </cell>
          <cell r="G726" t="str">
            <v>Escuela Central Villa Nueva</v>
          </cell>
          <cell r="H726" t="str">
            <v>Zona 4560</v>
          </cell>
          <cell r="I726" t="str">
            <v>Villa Nueva</v>
          </cell>
          <cell r="J726" t="str">
            <v>24</v>
          </cell>
          <cell r="K726" t="str">
            <v>Uninominal</v>
          </cell>
          <cell r="L726" t="str">
            <v>-17.1142</v>
          </cell>
          <cell r="M726" t="str">
            <v>-65.0024</v>
          </cell>
          <cell r="N726" t="str">
            <v>Urbano</v>
          </cell>
          <cell r="O726" t="str">
            <v>2500</v>
          </cell>
          <cell r="P726" t="str">
            <v>POINT (-65.0024 -17.1142)</v>
          </cell>
          <cell r="Q726">
            <v>5</v>
          </cell>
          <cell r="R726">
            <v>0.99049111134009193</v>
          </cell>
        </row>
        <row r="727">
          <cell r="A727">
            <v>2501</v>
          </cell>
          <cell r="B727" t="str">
            <v>Colegio Marcelo Quiroga Santa CruzPuerto Villarroel</v>
          </cell>
          <cell r="C727" t="str">
            <v>Cochabamba</v>
          </cell>
          <cell r="D727" t="str">
            <v>Carrasco</v>
          </cell>
          <cell r="E727" t="str">
            <v>Puerto Villarroel</v>
          </cell>
          <cell r="F727" t="str">
            <v>Mariposas</v>
          </cell>
          <cell r="G727" t="str">
            <v>Colegio Marcelo Quiroga Santa Cruz</v>
          </cell>
          <cell r="H727" t="str">
            <v>Zona 4578</v>
          </cell>
          <cell r="I727" t="str">
            <v>Mariposas</v>
          </cell>
          <cell r="J727" t="str">
            <v>24</v>
          </cell>
          <cell r="K727" t="str">
            <v>Uninominal</v>
          </cell>
          <cell r="L727" t="str">
            <v>-17.0115</v>
          </cell>
          <cell r="M727" t="str">
            <v>-65.041</v>
          </cell>
          <cell r="N727" t="str">
            <v>Urbano</v>
          </cell>
          <cell r="O727" t="str">
            <v>2501</v>
          </cell>
          <cell r="P727" t="str">
            <v>POINT (-65.041 -17.0115)</v>
          </cell>
          <cell r="Q727">
            <v>14</v>
          </cell>
          <cell r="R727">
            <v>0.97516132778202003</v>
          </cell>
        </row>
        <row r="728">
          <cell r="A728">
            <v>2502</v>
          </cell>
          <cell r="B728" t="str">
            <v>Escuela Ayopaya (P.Villaroel)Puerto Villarroel</v>
          </cell>
          <cell r="C728" t="str">
            <v>Cochabamba</v>
          </cell>
          <cell r="D728" t="str">
            <v>Carrasco</v>
          </cell>
          <cell r="E728" t="str">
            <v>Puerto Villarroel</v>
          </cell>
          <cell r="F728" t="str">
            <v>Ayopaya (Pto. Villarroel)</v>
          </cell>
          <cell r="G728" t="str">
            <v>Escuela Ayopaya (P.Villaroel)</v>
          </cell>
          <cell r="H728" t="str">
            <v>Zona 4576</v>
          </cell>
          <cell r="I728" t="str">
            <v>Ayopaya</v>
          </cell>
          <cell r="J728" t="str">
            <v>24</v>
          </cell>
          <cell r="K728" t="str">
            <v>Uninominal</v>
          </cell>
          <cell r="L728" t="str">
            <v>-16.9075</v>
          </cell>
          <cell r="M728" t="str">
            <v>-64.9993</v>
          </cell>
          <cell r="N728" t="str">
            <v>Rural</v>
          </cell>
          <cell r="O728" t="str">
            <v>2502</v>
          </cell>
          <cell r="P728" t="str">
            <v>POINT (-64.9993 -16.9075)</v>
          </cell>
          <cell r="Q728">
            <v>6</v>
          </cell>
          <cell r="R728">
            <v>0.99187668278411945</v>
          </cell>
        </row>
        <row r="729">
          <cell r="A729">
            <v>2503</v>
          </cell>
          <cell r="B729" t="str">
            <v>Centro Polifuncional CesarzamaPuerto Villarroel</v>
          </cell>
          <cell r="C729" t="str">
            <v>Cochabamba</v>
          </cell>
          <cell r="D729" t="str">
            <v>Carrasco</v>
          </cell>
          <cell r="E729" t="str">
            <v>Puerto Villarroel</v>
          </cell>
          <cell r="F729" t="str">
            <v>Cesar Zama (Pto. Villarroel)</v>
          </cell>
          <cell r="G729" t="str">
            <v>Centro Polifuncional Cesarzama</v>
          </cell>
          <cell r="H729" t="str">
            <v>Zona 4559</v>
          </cell>
          <cell r="I729" t="str">
            <v>Comunidad Cesar Zama, Barrio 24 de mayo</v>
          </cell>
          <cell r="J729" t="str">
            <v>24</v>
          </cell>
          <cell r="K729" t="str">
            <v>Uninominal</v>
          </cell>
          <cell r="L729" t="str">
            <v>-16.99835</v>
          </cell>
          <cell r="M729" t="str">
            <v>-65.074719</v>
          </cell>
          <cell r="N729" t="str">
            <v>Rural</v>
          </cell>
          <cell r="O729" t="str">
            <v>2503</v>
          </cell>
          <cell r="P729" t="str">
            <v>POINT (-65.074719 -16.99835)</v>
          </cell>
          <cell r="Q729">
            <v>2</v>
          </cell>
          <cell r="R729">
            <v>0.97713811892916369</v>
          </cell>
        </row>
        <row r="730">
          <cell r="A730">
            <v>2504</v>
          </cell>
          <cell r="B730" t="str">
            <v>Escuela Senda 6Puerto Villarroel</v>
          </cell>
          <cell r="C730" t="str">
            <v>Cochabamba</v>
          </cell>
          <cell r="D730" t="str">
            <v>Carrasco</v>
          </cell>
          <cell r="E730" t="str">
            <v>Puerto Villarroel</v>
          </cell>
          <cell r="F730" t="str">
            <v>Senda 6</v>
          </cell>
          <cell r="G730" t="str">
            <v>Escuela Senda 6</v>
          </cell>
          <cell r="H730" t="str">
            <v>Zona 4570</v>
          </cell>
          <cell r="I730" t="str">
            <v>Senda Vi</v>
          </cell>
          <cell r="J730" t="str">
            <v>24</v>
          </cell>
          <cell r="K730" t="str">
            <v>Uninominal</v>
          </cell>
          <cell r="L730" t="str">
            <v>-17.0184</v>
          </cell>
          <cell r="M730" t="str">
            <v>-64.9509</v>
          </cell>
          <cell r="N730" t="str">
            <v>Rural</v>
          </cell>
          <cell r="O730" t="str">
            <v>2504</v>
          </cell>
          <cell r="P730" t="str">
            <v>POINT (-64.9509 -17.0184)</v>
          </cell>
          <cell r="Q730">
            <v>9</v>
          </cell>
          <cell r="R730">
            <v>0.98514872573700629</v>
          </cell>
        </row>
        <row r="731">
          <cell r="A731">
            <v>2505</v>
          </cell>
          <cell r="B731" t="str">
            <v>Unidad Educativa Valle TunariPuerto Villarroel</v>
          </cell>
          <cell r="C731" t="str">
            <v>Cochabamba</v>
          </cell>
          <cell r="D731" t="str">
            <v>Carrasco</v>
          </cell>
          <cell r="E731" t="str">
            <v>Puerto Villarroel</v>
          </cell>
          <cell r="F731" t="str">
            <v>Valle Tunari</v>
          </cell>
          <cell r="G731" t="str">
            <v>Unidad Educativa Valle Tunari</v>
          </cell>
          <cell r="H731" t="str">
            <v>Zona 4577</v>
          </cell>
          <cell r="I731" t="str">
            <v>Valle Tunari</v>
          </cell>
          <cell r="J731" t="str">
            <v>24</v>
          </cell>
          <cell r="K731" t="str">
            <v>Uninominal</v>
          </cell>
          <cell r="L731" t="str">
            <v>-17.2601</v>
          </cell>
          <cell r="M731" t="str">
            <v>-64.6978</v>
          </cell>
          <cell r="N731" t="str">
            <v>Rural</v>
          </cell>
          <cell r="O731" t="str">
            <v>2505</v>
          </cell>
          <cell r="P731" t="str">
            <v>POINT (-64.6978 -17.2601)</v>
          </cell>
          <cell r="Q731">
            <v>10</v>
          </cell>
          <cell r="R731">
            <v>0.99517123107031513</v>
          </cell>
        </row>
        <row r="732">
          <cell r="A732">
            <v>2506</v>
          </cell>
          <cell r="B732" t="str">
            <v>Unidad Educativa 2 de MarzoPuerto Villarroel</v>
          </cell>
          <cell r="C732" t="str">
            <v>Cochabamba</v>
          </cell>
          <cell r="D732" t="str">
            <v>Carrasco</v>
          </cell>
          <cell r="E732" t="str">
            <v>Puerto Villarroel</v>
          </cell>
          <cell r="F732" t="str">
            <v>2 de Marzo</v>
          </cell>
          <cell r="G732" t="str">
            <v>Unidad Educativa 2 de Marzo</v>
          </cell>
          <cell r="H732" t="str">
            <v>Zona 4567</v>
          </cell>
          <cell r="I732" t="str">
            <v>2 de Marzo</v>
          </cell>
          <cell r="J732" t="str">
            <v>24</v>
          </cell>
          <cell r="K732" t="str">
            <v>Uninominal</v>
          </cell>
          <cell r="L732" t="str">
            <v>-17.2181</v>
          </cell>
          <cell r="M732" t="str">
            <v>-64.9221</v>
          </cell>
          <cell r="N732" t="str">
            <v>Urbano</v>
          </cell>
          <cell r="O732" t="str">
            <v>2506</v>
          </cell>
          <cell r="P732" t="str">
            <v>POINT (-64.9221 -17.2181)</v>
          </cell>
          <cell r="Q732">
            <v>4</v>
          </cell>
          <cell r="R732">
            <v>0.99049590605656546</v>
          </cell>
        </row>
        <row r="733">
          <cell r="A733">
            <v>2507</v>
          </cell>
          <cell r="B733" t="str">
            <v>Unidad Educativa BiarecuatéPuerto Villarroel</v>
          </cell>
          <cell r="C733" t="str">
            <v>Cochabamba</v>
          </cell>
          <cell r="D733" t="str">
            <v>Carrasco</v>
          </cell>
          <cell r="E733" t="str">
            <v>Puerto Villarroel</v>
          </cell>
          <cell r="F733" t="str">
            <v>Comunidad Indígena Yuqui Biarecuate</v>
          </cell>
          <cell r="G733" t="str">
            <v>Unidad Educativa Biarecuaté</v>
          </cell>
          <cell r="H733" t="str">
            <v>Zona 4579</v>
          </cell>
          <cell r="I733" t="str">
            <v>Comunidad Indígena Yuqui Biarecuate</v>
          </cell>
          <cell r="J733" t="str">
            <v>2</v>
          </cell>
          <cell r="K733" t="str">
            <v>Uninominal</v>
          </cell>
          <cell r="L733" t="str">
            <v>-16.7852</v>
          </cell>
          <cell r="M733" t="str">
            <v>-64.9432</v>
          </cell>
          <cell r="N733" t="str">
            <v>Urbano</v>
          </cell>
          <cell r="O733" t="str">
            <v>2507</v>
          </cell>
          <cell r="P733" t="str">
            <v>POINT (-64.9432 -16.7852)</v>
          </cell>
          <cell r="Q733">
            <v>1</v>
          </cell>
          <cell r="R733">
            <v>0.88617886178861793</v>
          </cell>
        </row>
        <row r="734">
          <cell r="A734">
            <v>2508</v>
          </cell>
          <cell r="B734" t="str">
            <v>Unidad Educativa IsraelPuerto Villarroel</v>
          </cell>
          <cell r="C734" t="str">
            <v>Cochabamba</v>
          </cell>
          <cell r="D734" t="str">
            <v>Carrasco</v>
          </cell>
          <cell r="E734" t="str">
            <v>Puerto Villarroel</v>
          </cell>
          <cell r="F734" t="str">
            <v>Israel</v>
          </cell>
          <cell r="G734" t="str">
            <v>Unidad Educativa Israel</v>
          </cell>
          <cell r="H734" t="str">
            <v>Zona 4563</v>
          </cell>
          <cell r="I734" t="str">
            <v>Israel</v>
          </cell>
          <cell r="J734" t="str">
            <v>24</v>
          </cell>
          <cell r="K734" t="str">
            <v>Uninominal</v>
          </cell>
          <cell r="L734" t="str">
            <v>-17.2219</v>
          </cell>
          <cell r="M734" t="str">
            <v>-64.8396</v>
          </cell>
          <cell r="N734" t="str">
            <v>Rural</v>
          </cell>
          <cell r="O734" t="str">
            <v>2508</v>
          </cell>
          <cell r="P734" t="str">
            <v>POINT (-64.8396 -17.2219)</v>
          </cell>
          <cell r="Q734">
            <v>4</v>
          </cell>
          <cell r="R734">
            <v>0.98404061811628052</v>
          </cell>
        </row>
        <row r="735">
          <cell r="A735">
            <v>2509</v>
          </cell>
          <cell r="B735" t="str">
            <v>U.E. Santa Fe  APuerto Villarroel</v>
          </cell>
          <cell r="C735" t="str">
            <v>Cochabamba</v>
          </cell>
          <cell r="D735" t="str">
            <v>Carrasco</v>
          </cell>
          <cell r="E735" t="str">
            <v>Puerto Villarroel</v>
          </cell>
          <cell r="F735" t="str">
            <v>Santa Fe</v>
          </cell>
          <cell r="G735" t="str">
            <v>U.E. Santa Fe  A</v>
          </cell>
          <cell r="H735" t="str">
            <v>Zona 4567</v>
          </cell>
          <cell r="I735" t="str">
            <v>Colonia Santa Fe al Sud de Ivirgarzama</v>
          </cell>
          <cell r="J735" t="str">
            <v>24</v>
          </cell>
          <cell r="K735" t="str">
            <v>Uninominal</v>
          </cell>
          <cell r="L735" t="str">
            <v>-17.173285</v>
          </cell>
          <cell r="M735" t="str">
            <v>-64.87078</v>
          </cell>
          <cell r="N735" t="str">
            <v>Rural</v>
          </cell>
          <cell r="O735" t="str">
            <v>2509</v>
          </cell>
          <cell r="P735" t="str">
            <v>POINT (-64.87078 -17.173285)</v>
          </cell>
          <cell r="Q735">
            <v>2</v>
          </cell>
          <cell r="R735" t="str">
            <v>Sin Info</v>
          </cell>
        </row>
        <row r="736">
          <cell r="A736">
            <v>2510</v>
          </cell>
          <cell r="B736" t="str">
            <v>U.E. Villa TamboradaPuerto Villarroel</v>
          </cell>
          <cell r="C736" t="str">
            <v>Cochabamba</v>
          </cell>
          <cell r="D736" t="str">
            <v>Carrasco</v>
          </cell>
          <cell r="E736" t="str">
            <v>Puerto Villarroel</v>
          </cell>
          <cell r="F736" t="str">
            <v>Tamborada A 3</v>
          </cell>
          <cell r="G736" t="str">
            <v>U.E. Villa Tamborada</v>
          </cell>
          <cell r="H736" t="str">
            <v>Zona 4567</v>
          </cell>
          <cell r="I736" t="str">
            <v>OTB Sindicato Tamborada A-3 al Sud Este de Valle de Sacta</v>
          </cell>
          <cell r="J736" t="str">
            <v>24</v>
          </cell>
          <cell r="K736" t="str">
            <v>Uninominal</v>
          </cell>
          <cell r="L736" t="str">
            <v>-17.220492</v>
          </cell>
          <cell r="M736" t="str">
            <v>-64.747969</v>
          </cell>
          <cell r="N736" t="str">
            <v>Rural</v>
          </cell>
          <cell r="O736" t="str">
            <v>2510</v>
          </cell>
          <cell r="P736" t="str">
            <v>POINT (-64.747969 -17.220492)</v>
          </cell>
          <cell r="Q736">
            <v>3</v>
          </cell>
          <cell r="R736" t="str">
            <v>Sin Info</v>
          </cell>
        </row>
        <row r="737">
          <cell r="A737">
            <v>2511</v>
          </cell>
          <cell r="B737" t="str">
            <v>Unidad Educativa Rio BlancoEntre Ríos</v>
          </cell>
          <cell r="C737" t="str">
            <v>Cochabamba</v>
          </cell>
          <cell r="D737" t="str">
            <v>Carrasco</v>
          </cell>
          <cell r="E737" t="str">
            <v>Entre Ríos</v>
          </cell>
          <cell r="F737" t="str">
            <v>Rio Blanco</v>
          </cell>
          <cell r="G737" t="str">
            <v>Unidad Educativa Rio Blanco</v>
          </cell>
          <cell r="H737" t="str">
            <v>Zona 4581</v>
          </cell>
          <cell r="I737" t="str">
            <v>Rio Blanco</v>
          </cell>
          <cell r="J737" t="str">
            <v>25</v>
          </cell>
          <cell r="K737" t="str">
            <v>Uninominal</v>
          </cell>
          <cell r="L737" t="str">
            <v>-17.2255</v>
          </cell>
          <cell r="M737" t="str">
            <v>-64.4556</v>
          </cell>
          <cell r="N737" t="str">
            <v>Rural</v>
          </cell>
          <cell r="O737" t="str">
            <v>2511</v>
          </cell>
          <cell r="P737" t="str">
            <v>POINT (-64.4556 -17.2255)</v>
          </cell>
          <cell r="Q737">
            <v>11</v>
          </cell>
          <cell r="R737">
            <v>0.95167619494586653</v>
          </cell>
        </row>
        <row r="738">
          <cell r="A738">
            <v>2512</v>
          </cell>
          <cell r="B738" t="str">
            <v>U.E. San MarcosEntre Ríos</v>
          </cell>
          <cell r="C738" t="str">
            <v>Cochabamba</v>
          </cell>
          <cell r="D738" t="str">
            <v>Carrasco</v>
          </cell>
          <cell r="E738" t="str">
            <v>Entre Ríos</v>
          </cell>
          <cell r="F738" t="str">
            <v>Bulo Bulo</v>
          </cell>
          <cell r="G738" t="str">
            <v>U.E. San Marcos</v>
          </cell>
          <cell r="H738" t="str">
            <v>Zona 4580</v>
          </cell>
          <cell r="I738" t="str">
            <v>Comunidad Bulo Bulo, a 8 cuadras d ela plaza principal de Bulo Bulo</v>
          </cell>
          <cell r="J738" t="str">
            <v>25</v>
          </cell>
          <cell r="K738" t="str">
            <v>Uninominal</v>
          </cell>
          <cell r="L738" t="str">
            <v>-17.259779</v>
          </cell>
          <cell r="M738" t="str">
            <v>-64.357911</v>
          </cell>
          <cell r="N738" t="str">
            <v>Rural</v>
          </cell>
          <cell r="O738" t="str">
            <v>2512</v>
          </cell>
          <cell r="P738" t="str">
            <v>POINT (-64.357911 -17.259779)</v>
          </cell>
          <cell r="Q738">
            <v>23</v>
          </cell>
          <cell r="R738">
            <v>0.95013684729437542</v>
          </cell>
        </row>
        <row r="739">
          <cell r="A739">
            <v>2513</v>
          </cell>
          <cell r="B739" t="str">
            <v>U. E. Elizardo PérezEntre Ríos</v>
          </cell>
          <cell r="C739" t="str">
            <v>Cochabamba</v>
          </cell>
          <cell r="D739" t="str">
            <v>Carrasco</v>
          </cell>
          <cell r="E739" t="str">
            <v>Entre Ríos</v>
          </cell>
          <cell r="F739" t="str">
            <v>Bulo Bulo</v>
          </cell>
          <cell r="G739" t="str">
            <v>U. E. Elizardo Pérez</v>
          </cell>
          <cell r="H739" t="str">
            <v>Zona 4580</v>
          </cell>
          <cell r="I739" t="str">
            <v>Bulo Bulo, Barrio Villa Florida</v>
          </cell>
          <cell r="J739" t="str">
            <v>25</v>
          </cell>
          <cell r="K739" t="str">
            <v>Uninominal</v>
          </cell>
          <cell r="L739" t="str">
            <v>-17.253727</v>
          </cell>
          <cell r="M739" t="str">
            <v>-64.36676</v>
          </cell>
          <cell r="N739" t="str">
            <v>Rural</v>
          </cell>
          <cell r="O739" t="str">
            <v>2513</v>
          </cell>
          <cell r="P739" t="str">
            <v>POINT (-64.36676 -17.253727)</v>
          </cell>
          <cell r="Q739">
            <v>2</v>
          </cell>
          <cell r="R739" t="str">
            <v>Sin Info</v>
          </cell>
        </row>
        <row r="740">
          <cell r="A740">
            <v>2514</v>
          </cell>
          <cell r="B740" t="str">
            <v>Escuela Eduardo Avaroa (Isarzama)Entre Ríos</v>
          </cell>
          <cell r="C740" t="str">
            <v>Cochabamba</v>
          </cell>
          <cell r="D740" t="str">
            <v>Carrasco</v>
          </cell>
          <cell r="E740" t="str">
            <v>Entre Ríos</v>
          </cell>
          <cell r="F740" t="str">
            <v>Isarzama</v>
          </cell>
          <cell r="G740" t="str">
            <v>Escuela Eduardo Avaroa (Isarzama)</v>
          </cell>
          <cell r="H740" t="str">
            <v>Zona 4584</v>
          </cell>
          <cell r="I740" t="str">
            <v>Izarzama</v>
          </cell>
          <cell r="J740" t="str">
            <v>25</v>
          </cell>
          <cell r="K740" t="str">
            <v>Uninominal</v>
          </cell>
          <cell r="L740" t="str">
            <v>-17.1393</v>
          </cell>
          <cell r="M740" t="str">
            <v>-64.6812</v>
          </cell>
          <cell r="N740" t="str">
            <v>Rural</v>
          </cell>
          <cell r="O740" t="str">
            <v>2514</v>
          </cell>
          <cell r="P740" t="str">
            <v>POINT (-64.6812 -17.1393)</v>
          </cell>
          <cell r="Q740">
            <v>12</v>
          </cell>
          <cell r="R740">
            <v>0.98916106478916965</v>
          </cell>
        </row>
        <row r="741">
          <cell r="A741">
            <v>2515</v>
          </cell>
          <cell r="B741" t="str">
            <v>Colegio Franz TamayoEntre Ríos</v>
          </cell>
          <cell r="C741" t="str">
            <v>Cochabamba</v>
          </cell>
          <cell r="D741" t="str">
            <v>Carrasco</v>
          </cell>
          <cell r="E741" t="str">
            <v>Entre Ríos</v>
          </cell>
          <cell r="F741" t="str">
            <v>Entre Rios</v>
          </cell>
          <cell r="G741" t="str">
            <v>Colegio Franz Tamayo</v>
          </cell>
          <cell r="H741" t="str">
            <v>Zona 4582</v>
          </cell>
          <cell r="I741" t="str">
            <v>Entre Rios</v>
          </cell>
          <cell r="J741" t="str">
            <v>25</v>
          </cell>
          <cell r="K741" t="str">
            <v>Uninominal</v>
          </cell>
          <cell r="L741" t="str">
            <v>-17.1993</v>
          </cell>
          <cell r="M741" t="str">
            <v>-64.5357</v>
          </cell>
          <cell r="N741" t="str">
            <v>Rural</v>
          </cell>
          <cell r="O741" t="str">
            <v>2515</v>
          </cell>
          <cell r="P741" t="str">
            <v>POINT (-64.5357 -17.1993)</v>
          </cell>
          <cell r="Q741">
            <v>47</v>
          </cell>
          <cell r="R741">
            <v>0.96177154485673932</v>
          </cell>
        </row>
        <row r="742">
          <cell r="A742">
            <v>2516</v>
          </cell>
          <cell r="B742" t="str">
            <v>U. E. José Carrasco (Manco Kapac)Entre Ríos</v>
          </cell>
          <cell r="C742" t="str">
            <v>Cochabamba</v>
          </cell>
          <cell r="D742" t="str">
            <v>Carrasco</v>
          </cell>
          <cell r="E742" t="str">
            <v>Entre Ríos</v>
          </cell>
          <cell r="F742" t="str">
            <v>Entre Rios</v>
          </cell>
          <cell r="G742" t="str">
            <v>U. E. José Carrasco (Manco Kapac)</v>
          </cell>
          <cell r="H742" t="str">
            <v>Zona 4583</v>
          </cell>
          <cell r="I742" t="str">
            <v>Manco Kapac</v>
          </cell>
          <cell r="J742" t="str">
            <v>25</v>
          </cell>
          <cell r="K742" t="str">
            <v>Uninominal</v>
          </cell>
          <cell r="L742" t="str">
            <v>-17.1853</v>
          </cell>
          <cell r="M742" t="str">
            <v>-64.5622</v>
          </cell>
          <cell r="N742" t="str">
            <v>Rural</v>
          </cell>
          <cell r="O742" t="str">
            <v>2516</v>
          </cell>
          <cell r="P742" t="str">
            <v>POINT (-64.5622 -17.1853)</v>
          </cell>
          <cell r="Q742">
            <v>20</v>
          </cell>
          <cell r="R742">
            <v>0.98043444051760642</v>
          </cell>
        </row>
        <row r="743">
          <cell r="A743">
            <v>2517</v>
          </cell>
          <cell r="B743" t="str">
            <v>U.E. Nacional AyacuchoEntre Ríos</v>
          </cell>
          <cell r="C743" t="str">
            <v>Cochabamba</v>
          </cell>
          <cell r="D743" t="str">
            <v>Carrasco</v>
          </cell>
          <cell r="E743" t="str">
            <v>Entre Ríos</v>
          </cell>
          <cell r="F743" t="str">
            <v>Entre Rios</v>
          </cell>
          <cell r="G743" t="str">
            <v>U.E. Nacional Ayacucho</v>
          </cell>
          <cell r="H743" t="str">
            <v>Zona 4582</v>
          </cell>
          <cell r="I743" t="str">
            <v>Entre Rios</v>
          </cell>
          <cell r="J743" t="str">
            <v>25</v>
          </cell>
          <cell r="K743" t="str">
            <v>Uninominal</v>
          </cell>
          <cell r="L743" t="str">
            <v>-17.2004</v>
          </cell>
          <cell r="M743" t="str">
            <v>-64.5423</v>
          </cell>
          <cell r="N743" t="str">
            <v>Rural</v>
          </cell>
          <cell r="O743" t="str">
            <v>2517</v>
          </cell>
          <cell r="P743" t="str">
            <v>POINT (-64.5423 -17.2004)</v>
          </cell>
          <cell r="Q743">
            <v>7</v>
          </cell>
          <cell r="R743">
            <v>0.94891954909016041</v>
          </cell>
        </row>
        <row r="744">
          <cell r="A744">
            <v>2518</v>
          </cell>
          <cell r="B744" t="str">
            <v>U. E. Mariscal SucreEntre Ríos</v>
          </cell>
          <cell r="C744" t="str">
            <v>Cochabamba</v>
          </cell>
          <cell r="D744" t="str">
            <v>Carrasco</v>
          </cell>
          <cell r="E744" t="str">
            <v>Entre Ríos</v>
          </cell>
          <cell r="F744" t="str">
            <v>Entre Rios</v>
          </cell>
          <cell r="G744" t="str">
            <v>U. E. Mariscal Sucre</v>
          </cell>
          <cell r="H744" t="str">
            <v>Zona 4582</v>
          </cell>
          <cell r="I744" t="str">
            <v>Entre Rios - Barrio Nuevo</v>
          </cell>
          <cell r="J744" t="str">
            <v>25</v>
          </cell>
          <cell r="K744" t="str">
            <v>Uninominal</v>
          </cell>
          <cell r="L744" t="str">
            <v>-17.205258</v>
          </cell>
          <cell r="M744" t="str">
            <v>-64.53529</v>
          </cell>
          <cell r="N744" t="str">
            <v>Rural</v>
          </cell>
          <cell r="O744" t="str">
            <v>2518</v>
          </cell>
          <cell r="P744" t="str">
            <v>POINT (-64.53529 -17.205258)</v>
          </cell>
          <cell r="Q744">
            <v>3</v>
          </cell>
          <cell r="R744" t="str">
            <v>Sin Info</v>
          </cell>
        </row>
        <row r="745">
          <cell r="A745">
            <v>2519</v>
          </cell>
          <cell r="B745" t="str">
            <v>U.E. Esteban ArceEntre Ríos</v>
          </cell>
          <cell r="C745" t="str">
            <v>Cochabamba</v>
          </cell>
          <cell r="D745" t="str">
            <v>Carrasco</v>
          </cell>
          <cell r="E745" t="str">
            <v>Entre Ríos</v>
          </cell>
          <cell r="F745" t="str">
            <v>14 De Septiembre</v>
          </cell>
          <cell r="G745" t="str">
            <v>U.E. Esteban Arce</v>
          </cell>
          <cell r="H745" t="str">
            <v>Zona 4585</v>
          </cell>
          <cell r="I745" t="str">
            <v>14 de Septiembre</v>
          </cell>
          <cell r="J745" t="str">
            <v>25</v>
          </cell>
          <cell r="K745" t="str">
            <v>Uninominal</v>
          </cell>
          <cell r="L745" t="str">
            <v>-17.2674</v>
          </cell>
          <cell r="M745" t="str">
            <v>-64.6189</v>
          </cell>
          <cell r="N745" t="str">
            <v>Rural</v>
          </cell>
          <cell r="O745" t="str">
            <v>2519</v>
          </cell>
          <cell r="P745" t="str">
            <v>POINT (-64.6189 -17.2674)</v>
          </cell>
          <cell r="Q745">
            <v>2</v>
          </cell>
          <cell r="R745">
            <v>0.98369579863637591</v>
          </cell>
        </row>
        <row r="746">
          <cell r="A746">
            <v>2520</v>
          </cell>
          <cell r="B746" t="str">
            <v>U.E. ChancadoraEntre Ríos</v>
          </cell>
          <cell r="C746" t="str">
            <v>Cochabamba</v>
          </cell>
          <cell r="D746" t="str">
            <v>Carrasco</v>
          </cell>
          <cell r="E746" t="str">
            <v>Entre Ríos</v>
          </cell>
          <cell r="F746" t="str">
            <v>Urbanización Chancadora</v>
          </cell>
          <cell r="G746" t="str">
            <v>U.E. Chancadora</v>
          </cell>
          <cell r="H746" t="str">
            <v>Zona 4585</v>
          </cell>
          <cell r="I746" t="str">
            <v>Urbanizacion Chancadora</v>
          </cell>
          <cell r="J746" t="str">
            <v>25</v>
          </cell>
          <cell r="K746" t="str">
            <v>Uninominal</v>
          </cell>
          <cell r="L746" t="str">
            <v>-17.1882</v>
          </cell>
          <cell r="M746" t="str">
            <v>-64.6578</v>
          </cell>
          <cell r="N746" t="str">
            <v>Rural</v>
          </cell>
          <cell r="O746" t="str">
            <v>2520</v>
          </cell>
          <cell r="P746" t="str">
            <v>POINT (-64.6578 -17.1882)</v>
          </cell>
          <cell r="Q746">
            <v>4</v>
          </cell>
          <cell r="R746">
            <v>0.97893762609655233</v>
          </cell>
        </row>
        <row r="747">
          <cell r="A747">
            <v>2521</v>
          </cell>
          <cell r="B747" t="str">
            <v>U.E. Gualberto VillarroelEntre Ríos</v>
          </cell>
          <cell r="C747" t="str">
            <v>Cochabamba</v>
          </cell>
          <cell r="D747" t="str">
            <v>Carrasco</v>
          </cell>
          <cell r="E747" t="str">
            <v>Entre Ríos</v>
          </cell>
          <cell r="F747" t="str">
            <v>Gualberto Villarroel</v>
          </cell>
          <cell r="G747" t="str">
            <v>U.E. Gualberto Villarroel</v>
          </cell>
          <cell r="H747" t="str">
            <v>Zona 4585</v>
          </cell>
          <cell r="I747" t="str">
            <v>Carretera Cochabamba a Santa Cruz</v>
          </cell>
          <cell r="J747" t="str">
            <v>25</v>
          </cell>
          <cell r="K747" t="str">
            <v>Uninominal</v>
          </cell>
          <cell r="L747" t="str">
            <v>-17.17387</v>
          </cell>
          <cell r="M747" t="str">
            <v>-64.602033</v>
          </cell>
          <cell r="N747" t="str">
            <v>Rural</v>
          </cell>
          <cell r="O747" t="str">
            <v>2521</v>
          </cell>
          <cell r="P747" t="str">
            <v>POINT (-64.602033 -17.17387)</v>
          </cell>
          <cell r="Q747">
            <v>3</v>
          </cell>
          <cell r="R747" t="str">
            <v>Sin Info</v>
          </cell>
        </row>
        <row r="748">
          <cell r="A748">
            <v>2522</v>
          </cell>
          <cell r="B748" t="str">
            <v>U.E. Max FernándezEntre Ríos</v>
          </cell>
          <cell r="C748" t="str">
            <v>Cochabamba</v>
          </cell>
          <cell r="D748" t="str">
            <v>Carrasco</v>
          </cell>
          <cell r="E748" t="str">
            <v>Entre Ríos</v>
          </cell>
          <cell r="F748" t="str">
            <v>Bella Vista</v>
          </cell>
          <cell r="G748" t="str">
            <v>U.E. Max Fernández</v>
          </cell>
          <cell r="H748" t="str">
            <v>Zona 4583</v>
          </cell>
          <cell r="I748" t="str">
            <v>Bella Vista lado sud de la carretera</v>
          </cell>
          <cell r="J748" t="str">
            <v>25</v>
          </cell>
          <cell r="K748" t="str">
            <v>Uninominal</v>
          </cell>
          <cell r="L748" t="str">
            <v>-17.181177</v>
          </cell>
          <cell r="M748" t="str">
            <v>-64.582809</v>
          </cell>
          <cell r="N748" t="str">
            <v>Rural</v>
          </cell>
          <cell r="O748" t="str">
            <v>2522</v>
          </cell>
          <cell r="P748" t="str">
            <v>POINT (-64.582809 -17.181177)</v>
          </cell>
          <cell r="Q748">
            <v>2</v>
          </cell>
          <cell r="R748" t="str">
            <v>Sin Info</v>
          </cell>
        </row>
        <row r="749">
          <cell r="A749">
            <v>2523</v>
          </cell>
          <cell r="B749" t="str">
            <v>Colegio Pedro Ignacio RiveroMizque</v>
          </cell>
          <cell r="C749" t="str">
            <v>Cochabamba</v>
          </cell>
          <cell r="D749" t="str">
            <v>Mizque</v>
          </cell>
          <cell r="E749" t="str">
            <v>Mizque</v>
          </cell>
          <cell r="F749" t="str">
            <v>Mizque</v>
          </cell>
          <cell r="G749" t="str">
            <v>Colegio Pedro Ignacio Rivero</v>
          </cell>
          <cell r="H749" t="str">
            <v>Zona 4590</v>
          </cell>
          <cell r="I749" t="str">
            <v>Mizque</v>
          </cell>
          <cell r="J749" t="str">
            <v>25</v>
          </cell>
          <cell r="K749" t="str">
            <v>Uninominal</v>
          </cell>
          <cell r="L749" t="str">
            <v>-17.9398</v>
          </cell>
          <cell r="M749" t="str">
            <v>-65.3458</v>
          </cell>
          <cell r="N749" t="str">
            <v>Rural</v>
          </cell>
          <cell r="O749" t="str">
            <v>2523</v>
          </cell>
          <cell r="P749" t="str">
            <v>POINT (-65.3458 -17.9398)</v>
          </cell>
          <cell r="Q749">
            <v>26</v>
          </cell>
          <cell r="R749">
            <v>0.74926268862070011</v>
          </cell>
        </row>
        <row r="750">
          <cell r="A750">
            <v>2524</v>
          </cell>
          <cell r="B750" t="str">
            <v>U.E. 14 de SeptiembreMizque</v>
          </cell>
          <cell r="C750" t="str">
            <v>Cochabamba</v>
          </cell>
          <cell r="D750" t="str">
            <v>Mizque</v>
          </cell>
          <cell r="E750" t="str">
            <v>Mizque</v>
          </cell>
          <cell r="F750" t="str">
            <v>Mizque</v>
          </cell>
          <cell r="G750" t="str">
            <v>U.E. 14 de Septiembre</v>
          </cell>
          <cell r="H750" t="str">
            <v>Zona 4590</v>
          </cell>
          <cell r="I750" t="str">
            <v>Barrio Molle Aguada, Barrio Santo Domingo, Calle Junín a una cuadra de la Plaza Colón</v>
          </cell>
          <cell r="J750" t="str">
            <v>25</v>
          </cell>
          <cell r="K750" t="str">
            <v>Uninominal</v>
          </cell>
          <cell r="L750" t="str">
            <v>-17.939179</v>
          </cell>
          <cell r="M750" t="str">
            <v>-65.345893</v>
          </cell>
          <cell r="N750" t="str">
            <v>Rural</v>
          </cell>
          <cell r="O750" t="str">
            <v>2524</v>
          </cell>
          <cell r="P750" t="str">
            <v>POINT (-65.345893 -17.939179)</v>
          </cell>
          <cell r="Q750">
            <v>2</v>
          </cell>
          <cell r="R750" t="str">
            <v>Sin Info</v>
          </cell>
        </row>
        <row r="751">
          <cell r="A751">
            <v>2525</v>
          </cell>
          <cell r="B751" t="str">
            <v>Sede Social De Tipa TipaMizque</v>
          </cell>
          <cell r="C751" t="str">
            <v>Cochabamba</v>
          </cell>
          <cell r="D751" t="str">
            <v>Mizque</v>
          </cell>
          <cell r="E751" t="str">
            <v>Mizque</v>
          </cell>
          <cell r="F751" t="str">
            <v>Tipa Tipa</v>
          </cell>
          <cell r="G751" t="str">
            <v>Sede Social De Tipa Tipa</v>
          </cell>
          <cell r="H751" t="str">
            <v>Zona 4591</v>
          </cell>
          <cell r="I751" t="str">
            <v>Tipa Tipa</v>
          </cell>
          <cell r="J751" t="str">
            <v>25</v>
          </cell>
          <cell r="K751" t="str">
            <v>Uninominal</v>
          </cell>
          <cell r="L751" t="str">
            <v>-18.0992</v>
          </cell>
          <cell r="M751" t="str">
            <v>-65.2688</v>
          </cell>
          <cell r="N751" t="str">
            <v>Rural</v>
          </cell>
          <cell r="O751" t="str">
            <v>2525</v>
          </cell>
          <cell r="P751" t="str">
            <v>POINT (-65.2688 -18.0992)</v>
          </cell>
          <cell r="Q751">
            <v>3</v>
          </cell>
          <cell r="R751">
            <v>0.89197905304138836</v>
          </cell>
        </row>
        <row r="752">
          <cell r="A752">
            <v>2526</v>
          </cell>
          <cell r="B752" t="str">
            <v>Escuela Mixta Dr. Martin CardenasMizque</v>
          </cell>
          <cell r="C752" t="str">
            <v>Cochabamba</v>
          </cell>
          <cell r="D752" t="str">
            <v>Mizque</v>
          </cell>
          <cell r="E752" t="str">
            <v>Mizque</v>
          </cell>
          <cell r="F752" t="str">
            <v>Mina Asientos</v>
          </cell>
          <cell r="G752" t="str">
            <v>Escuela Mixta Dr. Martin Cardenas</v>
          </cell>
          <cell r="H752" t="str">
            <v>Zona 4589</v>
          </cell>
          <cell r="I752" t="str">
            <v>Mina Asientos</v>
          </cell>
          <cell r="J752" t="str">
            <v>25</v>
          </cell>
          <cell r="K752" t="str">
            <v>Uninominal</v>
          </cell>
          <cell r="L752" t="str">
            <v>-18.2217</v>
          </cell>
          <cell r="M752" t="str">
            <v>-65.5429</v>
          </cell>
          <cell r="N752" t="str">
            <v>Rural</v>
          </cell>
          <cell r="O752" t="str">
            <v>2526</v>
          </cell>
          <cell r="P752" t="str">
            <v>POINT (-65.5429 -18.2217)</v>
          </cell>
          <cell r="Q752">
            <v>6</v>
          </cell>
          <cell r="R752">
            <v>0.92650117511042929</v>
          </cell>
        </row>
        <row r="753">
          <cell r="A753">
            <v>2527</v>
          </cell>
          <cell r="B753" t="str">
            <v>Escuela Guillermo ViscarraMizque</v>
          </cell>
          <cell r="C753" t="str">
            <v>Cochabamba</v>
          </cell>
          <cell r="D753" t="str">
            <v>Mizque</v>
          </cell>
          <cell r="E753" t="str">
            <v>Mizque</v>
          </cell>
          <cell r="F753" t="str">
            <v>Tujma Baja</v>
          </cell>
          <cell r="G753" t="str">
            <v>Escuela Guillermo Viscarra</v>
          </cell>
          <cell r="H753" t="str">
            <v>Zona 4592</v>
          </cell>
          <cell r="I753" t="str">
            <v>Tujma Baja</v>
          </cell>
          <cell r="J753" t="str">
            <v>25</v>
          </cell>
          <cell r="K753" t="str">
            <v>Uninominal</v>
          </cell>
          <cell r="L753" t="str">
            <v>-17.9103</v>
          </cell>
          <cell r="M753" t="str">
            <v>-65.3098</v>
          </cell>
          <cell r="N753" t="str">
            <v>Rural</v>
          </cell>
          <cell r="O753" t="str">
            <v>2527</v>
          </cell>
          <cell r="P753" t="str">
            <v>POINT (-65.3098 -17.9103)</v>
          </cell>
          <cell r="Q753">
            <v>3</v>
          </cell>
          <cell r="R753">
            <v>0.93028660153464748</v>
          </cell>
        </row>
        <row r="754">
          <cell r="A754">
            <v>2528</v>
          </cell>
          <cell r="B754" t="str">
            <v>Unidad Educativa Tin TinMizque</v>
          </cell>
          <cell r="C754" t="str">
            <v>Cochabamba</v>
          </cell>
          <cell r="D754" t="str">
            <v>Mizque</v>
          </cell>
          <cell r="E754" t="str">
            <v>Mizque</v>
          </cell>
          <cell r="F754" t="str">
            <v>Tin Tin</v>
          </cell>
          <cell r="G754" t="str">
            <v>Unidad Educativa Tin Tin</v>
          </cell>
          <cell r="H754" t="str">
            <v>Zona 4588</v>
          </cell>
          <cell r="I754" t="str">
            <v>Tin Tin</v>
          </cell>
          <cell r="J754" t="str">
            <v>25</v>
          </cell>
          <cell r="K754" t="str">
            <v>Uninominal</v>
          </cell>
          <cell r="L754" t="str">
            <v>-18.0312</v>
          </cell>
          <cell r="M754" t="str">
            <v>-65.4539</v>
          </cell>
          <cell r="N754" t="str">
            <v>Rural</v>
          </cell>
          <cell r="O754" t="str">
            <v>2528</v>
          </cell>
          <cell r="P754" t="str">
            <v>POINT (-65.4539 -18.0312)</v>
          </cell>
          <cell r="Q754">
            <v>4</v>
          </cell>
          <cell r="R754">
            <v>0.79905921385967871</v>
          </cell>
        </row>
        <row r="755">
          <cell r="A755">
            <v>2529</v>
          </cell>
          <cell r="B755" t="str">
            <v>Nucleo José Claure (U. E. San Vicente)Mizque</v>
          </cell>
          <cell r="C755" t="str">
            <v>Cochabamba</v>
          </cell>
          <cell r="D755" t="str">
            <v>Mizque</v>
          </cell>
          <cell r="E755" t="str">
            <v>Mizque</v>
          </cell>
          <cell r="F755" t="str">
            <v>San Vicente</v>
          </cell>
          <cell r="G755" t="str">
            <v>Nucleo José Claure (U. E. San Vicente)</v>
          </cell>
          <cell r="H755" t="str">
            <v>Zona 4589</v>
          </cell>
          <cell r="I755" t="str">
            <v>San Vicente</v>
          </cell>
          <cell r="J755" t="str">
            <v>25</v>
          </cell>
          <cell r="K755" t="str">
            <v>Uninominal</v>
          </cell>
          <cell r="L755" t="str">
            <v>-18.1652</v>
          </cell>
          <cell r="M755" t="str">
            <v>-65.5389</v>
          </cell>
          <cell r="N755" t="str">
            <v>Rural</v>
          </cell>
          <cell r="O755" t="str">
            <v>2529</v>
          </cell>
          <cell r="P755" t="str">
            <v>POINT (-65.5389 -18.1652)</v>
          </cell>
          <cell r="Q755">
            <v>2</v>
          </cell>
          <cell r="R755">
            <v>0.94141414141414148</v>
          </cell>
        </row>
        <row r="756">
          <cell r="A756">
            <v>2530</v>
          </cell>
          <cell r="B756" t="str">
            <v>Escuela AguadaMizque</v>
          </cell>
          <cell r="C756" t="str">
            <v>Cochabamba</v>
          </cell>
          <cell r="D756" t="str">
            <v>Mizque</v>
          </cell>
          <cell r="E756" t="str">
            <v>Mizque</v>
          </cell>
          <cell r="F756" t="str">
            <v>Aguada</v>
          </cell>
          <cell r="G756" t="str">
            <v>Escuela Aguada</v>
          </cell>
          <cell r="H756" t="str">
            <v>Zona 4591</v>
          </cell>
          <cell r="I756" t="str">
            <v>Aguada</v>
          </cell>
          <cell r="J756" t="str">
            <v>25</v>
          </cell>
          <cell r="K756" t="str">
            <v>Uninominal</v>
          </cell>
          <cell r="L756" t="str">
            <v>-18.0027</v>
          </cell>
          <cell r="M756" t="str">
            <v>-65.3069</v>
          </cell>
          <cell r="N756" t="str">
            <v>Rural</v>
          </cell>
          <cell r="O756" t="str">
            <v>2530</v>
          </cell>
          <cell r="P756" t="str">
            <v>POINT (-65.3069 -18.0027)</v>
          </cell>
          <cell r="Q756">
            <v>4</v>
          </cell>
          <cell r="R756">
            <v>0.93982694301789782</v>
          </cell>
        </row>
        <row r="757">
          <cell r="A757">
            <v>2531</v>
          </cell>
          <cell r="B757" t="str">
            <v>Unidad Educativa CautaMizque</v>
          </cell>
          <cell r="C757" t="str">
            <v>Cochabamba</v>
          </cell>
          <cell r="D757" t="str">
            <v>Mizque</v>
          </cell>
          <cell r="E757" t="str">
            <v>Mizque</v>
          </cell>
          <cell r="F757" t="str">
            <v>Cauta</v>
          </cell>
          <cell r="G757" t="str">
            <v>Unidad Educativa Cauta</v>
          </cell>
          <cell r="H757" t="str">
            <v>Zona 4586</v>
          </cell>
          <cell r="I757" t="str">
            <v>Cauta</v>
          </cell>
          <cell r="J757" t="str">
            <v>25</v>
          </cell>
          <cell r="K757" t="str">
            <v>Uninominal</v>
          </cell>
          <cell r="L757" t="str">
            <v>-18.0904</v>
          </cell>
          <cell r="M757" t="str">
            <v>-65.4382</v>
          </cell>
          <cell r="N757" t="str">
            <v>Rural</v>
          </cell>
          <cell r="O757" t="str">
            <v>2531</v>
          </cell>
          <cell r="P757" t="str">
            <v>POINT (-65.4382 -18.0904)</v>
          </cell>
          <cell r="Q757">
            <v>1</v>
          </cell>
          <cell r="R757">
            <v>0.95930232558139539</v>
          </cell>
        </row>
        <row r="758">
          <cell r="A758">
            <v>2532</v>
          </cell>
          <cell r="B758" t="str">
            <v>U.E. 10 de SeptiembreMizque</v>
          </cell>
          <cell r="C758" t="str">
            <v>Cochabamba</v>
          </cell>
          <cell r="D758" t="str">
            <v>Mizque</v>
          </cell>
          <cell r="E758" t="str">
            <v>Mizque</v>
          </cell>
          <cell r="F758" t="str">
            <v>Kuri</v>
          </cell>
          <cell r="G758" t="str">
            <v>U.E. 10 de Septiembre</v>
          </cell>
          <cell r="H758" t="str">
            <v>Zona 4592</v>
          </cell>
          <cell r="I758" t="str">
            <v>Comunidad Kuri Alto, Carretera Cochabamba a Mizque</v>
          </cell>
          <cell r="J758" t="str">
            <v>25</v>
          </cell>
          <cell r="K758" t="str">
            <v>Uninominal</v>
          </cell>
          <cell r="L758" t="str">
            <v>-17.830334</v>
          </cell>
          <cell r="M758" t="str">
            <v>-65.461325</v>
          </cell>
          <cell r="N758" t="str">
            <v>Urbano</v>
          </cell>
          <cell r="O758" t="str">
            <v>2532</v>
          </cell>
          <cell r="P758" t="str">
            <v>POINT (-65.461325 -17.830334)</v>
          </cell>
          <cell r="Q758">
            <v>2</v>
          </cell>
          <cell r="R758" t="str">
            <v>Sin Info</v>
          </cell>
        </row>
        <row r="759">
          <cell r="A759">
            <v>2533</v>
          </cell>
          <cell r="B759" t="str">
            <v>Unidad Educativa Thago ThagoMizque</v>
          </cell>
          <cell r="C759" t="str">
            <v>Cochabamba</v>
          </cell>
          <cell r="D759" t="str">
            <v>Mizque</v>
          </cell>
          <cell r="E759" t="str">
            <v>Mizque</v>
          </cell>
          <cell r="F759" t="str">
            <v>Thago Thago</v>
          </cell>
          <cell r="G759" t="str">
            <v>Unidad Educativa Thago Thago</v>
          </cell>
          <cell r="H759" t="str">
            <v>Zona 4592</v>
          </cell>
          <cell r="I759" t="str">
            <v>Thago Thago</v>
          </cell>
          <cell r="J759" t="str">
            <v>25</v>
          </cell>
          <cell r="K759" t="str">
            <v>Uninominal</v>
          </cell>
          <cell r="L759" t="str">
            <v>-17.9808</v>
          </cell>
          <cell r="M759" t="str">
            <v>-65.3672</v>
          </cell>
          <cell r="N759" t="str">
            <v>Urbano</v>
          </cell>
          <cell r="O759" t="str">
            <v>2533</v>
          </cell>
          <cell r="P759" t="str">
            <v>POINT (-65.3672 -17.9808)</v>
          </cell>
          <cell r="Q759">
            <v>4</v>
          </cell>
          <cell r="R759">
            <v>0.92816552860236889</v>
          </cell>
        </row>
        <row r="760">
          <cell r="A760">
            <v>2534</v>
          </cell>
          <cell r="B760" t="str">
            <v>Unidad Educativa Uchhama AltaMizque</v>
          </cell>
          <cell r="C760" t="str">
            <v>Cochabamba</v>
          </cell>
          <cell r="D760" t="str">
            <v>Mizque</v>
          </cell>
          <cell r="E760" t="str">
            <v>Mizque</v>
          </cell>
          <cell r="F760" t="str">
            <v>Uchhama Alta</v>
          </cell>
          <cell r="G760" t="str">
            <v>Unidad Educativa Uchhama Alta</v>
          </cell>
          <cell r="H760" t="str">
            <v>Zona 4589</v>
          </cell>
          <cell r="I760" t="str">
            <v>Sindicato Uchhama Alta</v>
          </cell>
          <cell r="J760" t="str">
            <v>25</v>
          </cell>
          <cell r="K760" t="str">
            <v>Uninominal</v>
          </cell>
          <cell r="L760" t="str">
            <v>-17.9533</v>
          </cell>
          <cell r="M760" t="str">
            <v>-65.5037</v>
          </cell>
          <cell r="N760" t="str">
            <v>Urbano</v>
          </cell>
          <cell r="O760" t="str">
            <v>2534</v>
          </cell>
          <cell r="P760" t="str">
            <v>POINT (-65.5037 -17.9533)</v>
          </cell>
          <cell r="Q760">
            <v>1</v>
          </cell>
          <cell r="R760">
            <v>0.97350993377483441</v>
          </cell>
        </row>
        <row r="761">
          <cell r="A761">
            <v>2535</v>
          </cell>
          <cell r="B761" t="str">
            <v>Sede Sindical De Chahuarani ChicoMizque</v>
          </cell>
          <cell r="C761" t="str">
            <v>Cochabamba</v>
          </cell>
          <cell r="D761" t="str">
            <v>Mizque</v>
          </cell>
          <cell r="E761" t="str">
            <v>Mizque</v>
          </cell>
          <cell r="F761" t="str">
            <v>Chahuarani Chico</v>
          </cell>
          <cell r="G761" t="str">
            <v>Sede Sindical De Chahuarani Chico</v>
          </cell>
          <cell r="H761" t="str">
            <v>Zona 4589</v>
          </cell>
          <cell r="I761" t="str">
            <v>En la Sede de Chahuarani Chico</v>
          </cell>
          <cell r="J761" t="str">
            <v>25</v>
          </cell>
          <cell r="K761" t="str">
            <v>Uninominal</v>
          </cell>
          <cell r="L761" t="str">
            <v>-18.0599</v>
          </cell>
          <cell r="M761" t="str">
            <v>-65.5235</v>
          </cell>
          <cell r="N761" t="str">
            <v>Urbano</v>
          </cell>
          <cell r="O761" t="str">
            <v>2535</v>
          </cell>
          <cell r="P761" t="str">
            <v>POINT (-65.5235 -18.0599)</v>
          </cell>
          <cell r="Q761">
            <v>1</v>
          </cell>
          <cell r="R761">
            <v>0.93721973094170408</v>
          </cell>
        </row>
        <row r="762">
          <cell r="A762">
            <v>2536</v>
          </cell>
          <cell r="B762" t="str">
            <v>Escuela Humberto NogalesVila Vila</v>
          </cell>
          <cell r="C762" t="str">
            <v>Cochabamba</v>
          </cell>
          <cell r="D762" t="str">
            <v>Mizque</v>
          </cell>
          <cell r="E762" t="str">
            <v>Vila Vila</v>
          </cell>
          <cell r="F762" t="str">
            <v>Vila Vila</v>
          </cell>
          <cell r="G762" t="str">
            <v>Escuela Humberto Nogales</v>
          </cell>
          <cell r="H762" t="str">
            <v>Zona 4595</v>
          </cell>
          <cell r="I762" t="str">
            <v>Vila Vila</v>
          </cell>
          <cell r="J762" t="str">
            <v>25</v>
          </cell>
          <cell r="K762" t="str">
            <v>Uninominal</v>
          </cell>
          <cell r="L762" t="str">
            <v>-17.9863</v>
          </cell>
          <cell r="M762" t="str">
            <v>-65.6284</v>
          </cell>
          <cell r="N762" t="str">
            <v>Urbano</v>
          </cell>
          <cell r="O762" t="str">
            <v>2536</v>
          </cell>
          <cell r="P762" t="str">
            <v>POINT (-65.6284 -17.9863)</v>
          </cell>
          <cell r="Q762">
            <v>4</v>
          </cell>
          <cell r="R762">
            <v>0.92245139261124165</v>
          </cell>
        </row>
        <row r="763">
          <cell r="A763">
            <v>2537</v>
          </cell>
          <cell r="B763" t="str">
            <v>Nucleo Escolar SiquimiraVila Vila</v>
          </cell>
          <cell r="C763" t="str">
            <v>Cochabamba</v>
          </cell>
          <cell r="D763" t="str">
            <v>Mizque</v>
          </cell>
          <cell r="E763" t="str">
            <v>Vila Vila</v>
          </cell>
          <cell r="F763" t="str">
            <v>Siquimira</v>
          </cell>
          <cell r="G763" t="str">
            <v>Nucleo Escolar Siquimira</v>
          </cell>
          <cell r="H763" t="str">
            <v>Zona 4594</v>
          </cell>
          <cell r="I763" t="str">
            <v>Siquimira</v>
          </cell>
          <cell r="J763" t="str">
            <v>25</v>
          </cell>
          <cell r="K763" t="str">
            <v>Uninominal</v>
          </cell>
          <cell r="L763" t="str">
            <v>-18.0184</v>
          </cell>
          <cell r="M763" t="str">
            <v>-65.7336</v>
          </cell>
          <cell r="N763" t="str">
            <v>Urbano</v>
          </cell>
          <cell r="O763" t="str">
            <v>2537</v>
          </cell>
          <cell r="P763" t="str">
            <v>POINT (-65.7336 -18.0184)</v>
          </cell>
          <cell r="Q763">
            <v>3</v>
          </cell>
          <cell r="R763">
            <v>0.98896177809729213</v>
          </cell>
        </row>
        <row r="764">
          <cell r="A764">
            <v>2538</v>
          </cell>
          <cell r="B764" t="str">
            <v>Nucleo Escolar SivinganiVila Vila</v>
          </cell>
          <cell r="C764" t="str">
            <v>Cochabamba</v>
          </cell>
          <cell r="D764" t="str">
            <v>Mizque</v>
          </cell>
          <cell r="E764" t="str">
            <v>Vila Vila</v>
          </cell>
          <cell r="F764" t="str">
            <v>Sivingani</v>
          </cell>
          <cell r="G764" t="str">
            <v>Nucleo Escolar Sivingani</v>
          </cell>
          <cell r="H764" t="str">
            <v>Zona 4595</v>
          </cell>
          <cell r="I764" t="str">
            <v>Sivingani</v>
          </cell>
          <cell r="J764" t="str">
            <v>25</v>
          </cell>
          <cell r="K764" t="str">
            <v>Uninominal</v>
          </cell>
          <cell r="L764" t="str">
            <v>-17.9151</v>
          </cell>
          <cell r="M764" t="str">
            <v>-65.6872</v>
          </cell>
          <cell r="N764" t="str">
            <v>Urbano</v>
          </cell>
          <cell r="O764" t="str">
            <v>2538</v>
          </cell>
          <cell r="P764" t="str">
            <v>POINT (-65.6872 -17.9151)</v>
          </cell>
          <cell r="Q764">
            <v>2</v>
          </cell>
          <cell r="R764">
            <v>0.88777406168710515</v>
          </cell>
        </row>
        <row r="765">
          <cell r="A765">
            <v>2539</v>
          </cell>
          <cell r="B765" t="str">
            <v>Unidad Educativa PocotaicaVila Vila</v>
          </cell>
          <cell r="C765" t="str">
            <v>Cochabamba</v>
          </cell>
          <cell r="D765" t="str">
            <v>Mizque</v>
          </cell>
          <cell r="E765" t="str">
            <v>Vila Vila</v>
          </cell>
          <cell r="F765" t="str">
            <v>20 de Mayo</v>
          </cell>
          <cell r="G765" t="str">
            <v>Unidad Educativa Pocotaica</v>
          </cell>
          <cell r="H765" t="str">
            <v>Zona 4595</v>
          </cell>
          <cell r="I765" t="str">
            <v>Comunidad Potocaita - 20 de Mayo</v>
          </cell>
          <cell r="J765" t="str">
            <v>25</v>
          </cell>
          <cell r="K765" t="str">
            <v>Uninominal</v>
          </cell>
          <cell r="L765" t="str">
            <v>-17.9313</v>
          </cell>
          <cell r="M765" t="str">
            <v>-65.7867</v>
          </cell>
          <cell r="N765" t="str">
            <v>Urbano</v>
          </cell>
          <cell r="O765" t="str">
            <v>2539</v>
          </cell>
          <cell r="P765" t="str">
            <v>POINT (-65.7867 -17.9313)</v>
          </cell>
          <cell r="Q765">
            <v>1</v>
          </cell>
          <cell r="R765">
            <v>0.98765432098765427</v>
          </cell>
        </row>
        <row r="766">
          <cell r="A766">
            <v>2540</v>
          </cell>
          <cell r="B766" t="str">
            <v>U. E. Abraham Flores VelasquezAlalay</v>
          </cell>
          <cell r="C766" t="str">
            <v>Cochabamba</v>
          </cell>
          <cell r="D766" t="str">
            <v>Mizque</v>
          </cell>
          <cell r="E766" t="str">
            <v>Alalay</v>
          </cell>
          <cell r="F766" t="str">
            <v>Alalay</v>
          </cell>
          <cell r="G766" t="str">
            <v>U. E. Abraham Flores Velasquez</v>
          </cell>
          <cell r="H766" t="str">
            <v>Zona 4596</v>
          </cell>
          <cell r="I766" t="str">
            <v>Alalay</v>
          </cell>
          <cell r="J766" t="str">
            <v>25</v>
          </cell>
          <cell r="K766" t="str">
            <v>Uninominal</v>
          </cell>
          <cell r="L766" t="str">
            <v>-17.7207</v>
          </cell>
          <cell r="M766" t="str">
            <v>-65.6918</v>
          </cell>
          <cell r="N766" t="str">
            <v>Urbano</v>
          </cell>
          <cell r="O766" t="str">
            <v>2540</v>
          </cell>
          <cell r="P766" t="str">
            <v>POINT (-65.6918 -17.7207)</v>
          </cell>
          <cell r="Q766">
            <v>2</v>
          </cell>
          <cell r="R766">
            <v>0.93755635186683617</v>
          </cell>
        </row>
        <row r="767">
          <cell r="A767">
            <v>2541</v>
          </cell>
          <cell r="B767" t="str">
            <v>Unidad Educativa Yana KhakhaAlalay</v>
          </cell>
          <cell r="C767" t="str">
            <v>Cochabamba</v>
          </cell>
          <cell r="D767" t="str">
            <v>Mizque</v>
          </cell>
          <cell r="E767" t="str">
            <v>Alalay</v>
          </cell>
          <cell r="F767" t="str">
            <v>Yana Khakha</v>
          </cell>
          <cell r="G767" t="str">
            <v>Unidad Educativa Yana Khakha</v>
          </cell>
          <cell r="H767" t="str">
            <v>Zona 4596</v>
          </cell>
          <cell r="I767" t="str">
            <v>Yana Khakha</v>
          </cell>
          <cell r="J767" t="str">
            <v>25</v>
          </cell>
          <cell r="K767" t="str">
            <v>Uninominal</v>
          </cell>
          <cell r="L767" t="str">
            <v>-17.8554</v>
          </cell>
          <cell r="M767" t="str">
            <v>-65.6088</v>
          </cell>
          <cell r="N767" t="str">
            <v>Urbano</v>
          </cell>
          <cell r="O767" t="str">
            <v>2541</v>
          </cell>
          <cell r="P767" t="str">
            <v>POINT (-65.6088 -17.8554)</v>
          </cell>
          <cell r="Q767">
            <v>2</v>
          </cell>
          <cell r="R767">
            <v>0.94165640394088668</v>
          </cell>
        </row>
        <row r="768">
          <cell r="A768">
            <v>2542</v>
          </cell>
          <cell r="B768" t="str">
            <v>Escuela Dr. Demetrio CanelasAlalay</v>
          </cell>
          <cell r="C768" t="str">
            <v>Cochabamba</v>
          </cell>
          <cell r="D768" t="str">
            <v>Mizque</v>
          </cell>
          <cell r="E768" t="str">
            <v>Alalay</v>
          </cell>
          <cell r="F768" t="str">
            <v>Ayapampa</v>
          </cell>
          <cell r="G768" t="str">
            <v>Escuela Dr. Demetrio Canelas</v>
          </cell>
          <cell r="H768" t="str">
            <v>Zona 4596</v>
          </cell>
          <cell r="I768" t="str">
            <v>Ayapampa</v>
          </cell>
          <cell r="J768" t="str">
            <v>25</v>
          </cell>
          <cell r="K768" t="str">
            <v>Uninominal</v>
          </cell>
          <cell r="L768" t="str">
            <v>-17.7665</v>
          </cell>
          <cell r="M768" t="str">
            <v>-65.6088</v>
          </cell>
          <cell r="N768" t="str">
            <v>Urbano</v>
          </cell>
          <cell r="O768" t="str">
            <v>2542</v>
          </cell>
          <cell r="P768" t="str">
            <v>POINT (-65.6088 -17.7665)</v>
          </cell>
          <cell r="Q768">
            <v>2</v>
          </cell>
          <cell r="R768">
            <v>0.89704106280193241</v>
          </cell>
        </row>
        <row r="769">
          <cell r="A769">
            <v>2543</v>
          </cell>
          <cell r="B769" t="str">
            <v>Unidad Educativa QuturiAlalay</v>
          </cell>
          <cell r="C769" t="str">
            <v>Cochabamba</v>
          </cell>
          <cell r="D769" t="str">
            <v>Mizque</v>
          </cell>
          <cell r="E769" t="str">
            <v>Alalay</v>
          </cell>
          <cell r="F769" t="str">
            <v>Quturi</v>
          </cell>
          <cell r="G769" t="str">
            <v>Unidad Educativa Quturi</v>
          </cell>
          <cell r="H769" t="str">
            <v>Zona 4596</v>
          </cell>
          <cell r="I769" t="str">
            <v>Quturi</v>
          </cell>
          <cell r="J769" t="str">
            <v>25</v>
          </cell>
          <cell r="K769" t="str">
            <v>Uninominal</v>
          </cell>
          <cell r="L769" t="str">
            <v>-17.7631</v>
          </cell>
          <cell r="M769" t="str">
            <v>-65.5357</v>
          </cell>
          <cell r="N769" t="str">
            <v>Rural</v>
          </cell>
          <cell r="O769" t="str">
            <v>2543</v>
          </cell>
          <cell r="P769" t="str">
            <v>POINT (-65.5357 -17.7631)</v>
          </cell>
          <cell r="Q769">
            <v>1</v>
          </cell>
          <cell r="R769">
            <v>0.98536585365853657</v>
          </cell>
        </row>
        <row r="770">
          <cell r="A770">
            <v>2544</v>
          </cell>
          <cell r="B770" t="str">
            <v>Unidad Educativa MolineroTIOC Raqaypampa</v>
          </cell>
          <cell r="C770" t="str">
            <v>Cochabamba</v>
          </cell>
          <cell r="D770" t="str">
            <v>Mizque</v>
          </cell>
          <cell r="E770" t="str">
            <v>TIOC Raqaypampa</v>
          </cell>
          <cell r="F770" t="str">
            <v>Molinero</v>
          </cell>
          <cell r="G770" t="str">
            <v>Unidad Educativa Molinero</v>
          </cell>
          <cell r="H770" t="str">
            <v>Zona 4600</v>
          </cell>
          <cell r="I770" t="str">
            <v>Molinero</v>
          </cell>
          <cell r="J770" t="str">
            <v>25</v>
          </cell>
          <cell r="K770" t="str">
            <v>Uninominal</v>
          </cell>
          <cell r="L770" t="str">
            <v>-18.2621</v>
          </cell>
          <cell r="M770" t="str">
            <v>-65.3881</v>
          </cell>
          <cell r="N770" t="str">
            <v>Rural</v>
          </cell>
          <cell r="O770" t="str">
            <v>2544</v>
          </cell>
          <cell r="P770" t="str">
            <v>POINT (-65.3881 -18.2621)</v>
          </cell>
          <cell r="Q770">
            <v>2</v>
          </cell>
          <cell r="R770" t="str">
            <v>Sin Info</v>
          </cell>
        </row>
        <row r="771">
          <cell r="A771">
            <v>2545</v>
          </cell>
          <cell r="B771" t="str">
            <v>Nucleo Escolar Laguna GrandeTIOC Raqaypampa</v>
          </cell>
          <cell r="C771" t="str">
            <v>Cochabamba</v>
          </cell>
          <cell r="D771" t="str">
            <v>Mizque</v>
          </cell>
          <cell r="E771" t="str">
            <v>TIOC Raqaypampa</v>
          </cell>
          <cell r="F771" t="str">
            <v>Laguna Grande</v>
          </cell>
          <cell r="G771" t="str">
            <v>Nucleo Escolar Laguna Grande</v>
          </cell>
          <cell r="H771" t="str">
            <v>Zona 4600</v>
          </cell>
          <cell r="I771" t="str">
            <v>Laguna Grande</v>
          </cell>
          <cell r="J771" t="str">
            <v>25</v>
          </cell>
          <cell r="K771" t="str">
            <v>Uninominal</v>
          </cell>
          <cell r="L771" t="str">
            <v>-18.3018</v>
          </cell>
          <cell r="M771" t="str">
            <v>-65.3749</v>
          </cell>
          <cell r="N771" t="str">
            <v>Rural</v>
          </cell>
          <cell r="O771" t="str">
            <v>2545</v>
          </cell>
          <cell r="P771" t="str">
            <v>POINT (-65.3749 -18.3018)</v>
          </cell>
          <cell r="Q771">
            <v>5</v>
          </cell>
          <cell r="R771" t="str">
            <v>Sin Info</v>
          </cell>
        </row>
        <row r="772">
          <cell r="A772">
            <v>2546</v>
          </cell>
          <cell r="B772" t="str">
            <v>Nucleo Escolar Beta Raqay PampaTIOC Raqaypampa</v>
          </cell>
          <cell r="C772" t="str">
            <v>Cochabamba</v>
          </cell>
          <cell r="D772" t="str">
            <v>Mizque</v>
          </cell>
          <cell r="E772" t="str">
            <v>TIOC Raqaypampa</v>
          </cell>
          <cell r="F772" t="str">
            <v>Raqay Pampa</v>
          </cell>
          <cell r="G772" t="str">
            <v>Nucleo Escolar Beta Raqay Pampa</v>
          </cell>
          <cell r="H772" t="str">
            <v>Zona 4600</v>
          </cell>
          <cell r="I772" t="str">
            <v>Raqay Pampa</v>
          </cell>
          <cell r="J772" t="str">
            <v>25</v>
          </cell>
          <cell r="K772" t="str">
            <v>Uninominal</v>
          </cell>
          <cell r="L772" t="str">
            <v>-18.1912</v>
          </cell>
          <cell r="M772" t="str">
            <v>-65.3826</v>
          </cell>
          <cell r="N772" t="str">
            <v>Urbano</v>
          </cell>
          <cell r="O772" t="str">
            <v>2546</v>
          </cell>
          <cell r="P772" t="str">
            <v>POINT (-65.3826 -18.1912)</v>
          </cell>
          <cell r="Q772">
            <v>6</v>
          </cell>
          <cell r="R772" t="str">
            <v>Sin Info</v>
          </cell>
        </row>
        <row r="773">
          <cell r="A773">
            <v>2547</v>
          </cell>
          <cell r="B773" t="str">
            <v>Nucleo Centro SalviaTIOC Raqaypampa</v>
          </cell>
          <cell r="C773" t="str">
            <v>Cochabamba</v>
          </cell>
          <cell r="D773" t="str">
            <v>Mizque</v>
          </cell>
          <cell r="E773" t="str">
            <v>TIOC Raqaypampa</v>
          </cell>
          <cell r="F773" t="str">
            <v>Salvia</v>
          </cell>
          <cell r="G773" t="str">
            <v>Nucleo Centro Salvia</v>
          </cell>
          <cell r="H773" t="str">
            <v>Zona 4600</v>
          </cell>
          <cell r="I773" t="str">
            <v>Salvia</v>
          </cell>
          <cell r="J773" t="str">
            <v>25</v>
          </cell>
          <cell r="K773" t="str">
            <v>Uninominal</v>
          </cell>
          <cell r="L773" t="str">
            <v>-18.1497</v>
          </cell>
          <cell r="M773" t="str">
            <v>-65.3353</v>
          </cell>
          <cell r="N773" t="str">
            <v>Urbano</v>
          </cell>
          <cell r="O773" t="str">
            <v>2547</v>
          </cell>
          <cell r="P773" t="str">
            <v>POINT (-65.3353 -18.1497)</v>
          </cell>
          <cell r="Q773">
            <v>1</v>
          </cell>
          <cell r="R773" t="str">
            <v>Sin Info</v>
          </cell>
        </row>
        <row r="774">
          <cell r="A774">
            <v>2548</v>
          </cell>
          <cell r="B774" t="str">
            <v>Unidad Educativa SantiagoTIOC Raqaypampa</v>
          </cell>
          <cell r="C774" t="str">
            <v>Cochabamba</v>
          </cell>
          <cell r="D774" t="str">
            <v>Mizque</v>
          </cell>
          <cell r="E774" t="str">
            <v>TIOC Raqaypampa</v>
          </cell>
          <cell r="F774" t="str">
            <v>Santiago</v>
          </cell>
          <cell r="G774" t="str">
            <v>Unidad Educativa Santiago</v>
          </cell>
          <cell r="H774" t="str">
            <v>Zona 4600</v>
          </cell>
          <cell r="I774" t="str">
            <v>Santiago</v>
          </cell>
          <cell r="J774" t="str">
            <v>25</v>
          </cell>
          <cell r="K774" t="str">
            <v>Uninominal</v>
          </cell>
          <cell r="L774" t="str">
            <v>-18.2038</v>
          </cell>
          <cell r="M774" t="str">
            <v>-65.3252</v>
          </cell>
          <cell r="N774" t="str">
            <v>Urbano</v>
          </cell>
          <cell r="O774" t="str">
            <v>2548</v>
          </cell>
          <cell r="P774" t="str">
            <v>POINT (-65.3252 -18.2038)</v>
          </cell>
          <cell r="Q774">
            <v>2</v>
          </cell>
          <cell r="R774" t="str">
            <v>Sin Info</v>
          </cell>
        </row>
        <row r="775">
          <cell r="A775">
            <v>2549</v>
          </cell>
          <cell r="B775" t="str">
            <v>Escuela Adela ZamudioPunata</v>
          </cell>
          <cell r="C775" t="str">
            <v>Cochabamba</v>
          </cell>
          <cell r="D775" t="str">
            <v>Punata</v>
          </cell>
          <cell r="E775" t="str">
            <v>Punata</v>
          </cell>
          <cell r="F775" t="str">
            <v>Punata</v>
          </cell>
          <cell r="G775" t="str">
            <v>Escuela Adela Zamudio</v>
          </cell>
          <cell r="H775" t="str">
            <v>Zona 4601</v>
          </cell>
          <cell r="I775" t="str">
            <v>Calee Antofagasta</v>
          </cell>
          <cell r="J775" t="str">
            <v>26</v>
          </cell>
          <cell r="K775" t="str">
            <v>Uninominal</v>
          </cell>
          <cell r="L775" t="str">
            <v>-17.5425</v>
          </cell>
          <cell r="M775" t="str">
            <v>-65.8355</v>
          </cell>
          <cell r="N775" t="str">
            <v>Urbano</v>
          </cell>
          <cell r="O775" t="str">
            <v>2549</v>
          </cell>
          <cell r="P775" t="str">
            <v>POINT (-65.8355 -17.5425)</v>
          </cell>
          <cell r="Q775">
            <v>27</v>
          </cell>
          <cell r="R775">
            <v>0.66048268539133492</v>
          </cell>
        </row>
        <row r="776">
          <cell r="A776">
            <v>2550</v>
          </cell>
          <cell r="B776" t="str">
            <v>Escuela Andres Maria TorricoPunata</v>
          </cell>
          <cell r="C776" t="str">
            <v>Cochabamba</v>
          </cell>
          <cell r="D776" t="str">
            <v>Punata</v>
          </cell>
          <cell r="E776" t="str">
            <v>Punata</v>
          </cell>
          <cell r="F776" t="str">
            <v>Punata</v>
          </cell>
          <cell r="G776" t="str">
            <v>Escuela Andres Maria Torrico</v>
          </cell>
          <cell r="H776" t="str">
            <v>Zona 4601</v>
          </cell>
          <cell r="I776" t="str">
            <v>Calle Espectador Rivas</v>
          </cell>
          <cell r="J776" t="str">
            <v>26</v>
          </cell>
          <cell r="K776" t="str">
            <v>Uninominal</v>
          </cell>
          <cell r="L776" t="str">
            <v>-17.5441</v>
          </cell>
          <cell r="M776" t="str">
            <v>-65.8344</v>
          </cell>
          <cell r="N776" t="str">
            <v>Urbano</v>
          </cell>
          <cell r="O776" t="str">
            <v>2550</v>
          </cell>
          <cell r="P776" t="str">
            <v>POINT (-65.8344 -17.5441)</v>
          </cell>
          <cell r="Q776">
            <v>21</v>
          </cell>
          <cell r="R776">
            <v>0.70317966190060266</v>
          </cell>
        </row>
        <row r="777">
          <cell r="A777">
            <v>2551</v>
          </cell>
          <cell r="B777" t="str">
            <v>U. E. Manuel A. Villarroel (Ex Bolivar)Punata</v>
          </cell>
          <cell r="C777" t="str">
            <v>Cochabamba</v>
          </cell>
          <cell r="D777" t="str">
            <v>Punata</v>
          </cell>
          <cell r="E777" t="str">
            <v>Punata</v>
          </cell>
          <cell r="F777" t="str">
            <v>Punata</v>
          </cell>
          <cell r="G777" t="str">
            <v>U. E. Manuel A. Villarroel (Ex Bolivar)</v>
          </cell>
          <cell r="H777" t="str">
            <v>Zona 4601</v>
          </cell>
          <cell r="I777" t="str">
            <v>Av. Hinojosa</v>
          </cell>
          <cell r="J777" t="str">
            <v>26</v>
          </cell>
          <cell r="K777" t="str">
            <v>Uninominal</v>
          </cell>
          <cell r="L777" t="str">
            <v>-17.5443</v>
          </cell>
          <cell r="M777" t="str">
            <v>-65.8346</v>
          </cell>
          <cell r="N777" t="str">
            <v>Rural</v>
          </cell>
          <cell r="O777" t="str">
            <v>2551</v>
          </cell>
          <cell r="P777" t="str">
            <v>POINT (-65.8346 -17.5443)</v>
          </cell>
          <cell r="Q777">
            <v>22</v>
          </cell>
          <cell r="R777">
            <v>0.63748247056258223</v>
          </cell>
        </row>
        <row r="778">
          <cell r="A778">
            <v>2552</v>
          </cell>
          <cell r="B778" t="str">
            <v>U. E. Ruben Ferrufino (Camacho Rancho)Punata</v>
          </cell>
          <cell r="C778" t="str">
            <v>Cochabamba</v>
          </cell>
          <cell r="D778" t="str">
            <v>Punata</v>
          </cell>
          <cell r="E778" t="str">
            <v>Punata</v>
          </cell>
          <cell r="F778" t="str">
            <v>Punata</v>
          </cell>
          <cell r="G778" t="str">
            <v>U. E. Ruben Ferrufino (Camacho Rancho)</v>
          </cell>
          <cell r="H778" t="str">
            <v>Zona 4601</v>
          </cell>
          <cell r="I778" t="str">
            <v>Camacho Rancho</v>
          </cell>
          <cell r="J778" t="str">
            <v>26</v>
          </cell>
          <cell r="K778" t="str">
            <v>Uninominal</v>
          </cell>
          <cell r="L778" t="str">
            <v>-17.5643</v>
          </cell>
          <cell r="M778" t="str">
            <v>-65.8418</v>
          </cell>
          <cell r="N778" t="str">
            <v>Urbano</v>
          </cell>
          <cell r="O778" t="str">
            <v>2552</v>
          </cell>
          <cell r="P778" t="str">
            <v>POINT (-65.8418 -17.5643)</v>
          </cell>
          <cell r="Q778">
            <v>5</v>
          </cell>
          <cell r="R778">
            <v>0.77661888217670749</v>
          </cell>
        </row>
        <row r="779">
          <cell r="A779">
            <v>2553</v>
          </cell>
          <cell r="B779" t="str">
            <v>Unidad Educativa TajamarPunata</v>
          </cell>
          <cell r="C779" t="str">
            <v>Cochabamba</v>
          </cell>
          <cell r="D779" t="str">
            <v>Punata</v>
          </cell>
          <cell r="E779" t="str">
            <v>Punata</v>
          </cell>
          <cell r="F779" t="str">
            <v>Punata</v>
          </cell>
          <cell r="G779" t="str">
            <v>Unidad Educativa Tajamar</v>
          </cell>
          <cell r="H779" t="str">
            <v>Zona 4602</v>
          </cell>
          <cell r="I779" t="str">
            <v>Centro de Salud Tajamar</v>
          </cell>
          <cell r="J779" t="str">
            <v>26</v>
          </cell>
          <cell r="K779" t="str">
            <v>Uninominal</v>
          </cell>
          <cell r="L779" t="str">
            <v>-17.5614</v>
          </cell>
          <cell r="M779" t="str">
            <v>-65.8743</v>
          </cell>
          <cell r="N779" t="str">
            <v>Urbano</v>
          </cell>
          <cell r="O779" t="str">
            <v>2553</v>
          </cell>
          <cell r="P779" t="str">
            <v>POINT (-65.8743 -17.5614)</v>
          </cell>
          <cell r="Q779">
            <v>5</v>
          </cell>
          <cell r="R779">
            <v>0.63886967171029019</v>
          </cell>
        </row>
        <row r="780">
          <cell r="A780">
            <v>2554</v>
          </cell>
          <cell r="B780" t="str">
            <v>Unidad Educativa Mayor Rocha (YacanahuyoPunata</v>
          </cell>
          <cell r="C780" t="str">
            <v>Cochabamba</v>
          </cell>
          <cell r="D780" t="str">
            <v>Punata</v>
          </cell>
          <cell r="E780" t="str">
            <v>Punata</v>
          </cell>
          <cell r="F780" t="str">
            <v>Punata</v>
          </cell>
          <cell r="G780" t="str">
            <v>Unidad Educativa Mayor Rocha (Yacanahuyo</v>
          </cell>
          <cell r="H780" t="str">
            <v>Zona 4601</v>
          </cell>
          <cell r="I780" t="str">
            <v>Mayor Rocha</v>
          </cell>
          <cell r="J780" t="str">
            <v>26</v>
          </cell>
          <cell r="K780" t="str">
            <v>Uninominal</v>
          </cell>
          <cell r="L780" t="str">
            <v>-17.5517</v>
          </cell>
          <cell r="M780" t="str">
            <v>-65.8471</v>
          </cell>
          <cell r="N780" t="str">
            <v>Urbano</v>
          </cell>
          <cell r="O780" t="str">
            <v>2554</v>
          </cell>
          <cell r="P780" t="str">
            <v>POINT (-65.8471 -17.5517)</v>
          </cell>
          <cell r="Q780">
            <v>5</v>
          </cell>
          <cell r="R780">
            <v>0.72823436938309016</v>
          </cell>
        </row>
        <row r="781">
          <cell r="A781">
            <v>2555</v>
          </cell>
          <cell r="B781" t="str">
            <v>Sede Sindical ThacoPunata</v>
          </cell>
          <cell r="C781" t="str">
            <v>Cochabamba</v>
          </cell>
          <cell r="D781" t="str">
            <v>Punata</v>
          </cell>
          <cell r="E781" t="str">
            <v>Punata</v>
          </cell>
          <cell r="F781" t="str">
            <v>Punata</v>
          </cell>
          <cell r="G781" t="str">
            <v>Sede Sindical Thaco</v>
          </cell>
          <cell r="H781" t="str">
            <v>Zona 4602</v>
          </cell>
          <cell r="I781" t="str">
            <v>Thago</v>
          </cell>
          <cell r="J781" t="str">
            <v>26</v>
          </cell>
          <cell r="K781" t="str">
            <v>Uninominal</v>
          </cell>
          <cell r="L781" t="str">
            <v>-17.5531</v>
          </cell>
          <cell r="M781" t="str">
            <v>-65.8209</v>
          </cell>
          <cell r="N781" t="str">
            <v>Rural</v>
          </cell>
          <cell r="O781" t="str">
            <v>2555</v>
          </cell>
          <cell r="P781" t="str">
            <v>POINT (-65.8209 -17.5531)</v>
          </cell>
          <cell r="Q781">
            <v>4</v>
          </cell>
          <cell r="R781">
            <v>0.7976078043442234</v>
          </cell>
        </row>
        <row r="782">
          <cell r="A782">
            <v>2556</v>
          </cell>
          <cell r="B782" t="str">
            <v>Liceo Josefa M. Gandarillas (Ex Sucre)Punata</v>
          </cell>
          <cell r="C782" t="str">
            <v>Cochabamba</v>
          </cell>
          <cell r="D782" t="str">
            <v>Punata</v>
          </cell>
          <cell r="E782" t="str">
            <v>Punata</v>
          </cell>
          <cell r="F782" t="str">
            <v>Punata</v>
          </cell>
          <cell r="G782" t="str">
            <v>Liceo Josefa M. Gandarillas (Ex Sucre)</v>
          </cell>
          <cell r="H782" t="str">
            <v>Zona 4601</v>
          </cell>
          <cell r="I782" t="str">
            <v>Calle Aroma</v>
          </cell>
          <cell r="J782" t="str">
            <v>26</v>
          </cell>
          <cell r="K782" t="str">
            <v>Uninominal</v>
          </cell>
          <cell r="L782" t="str">
            <v>-17.5479</v>
          </cell>
          <cell r="M782" t="str">
            <v>-65.8379</v>
          </cell>
          <cell r="N782" t="str">
            <v>Rural</v>
          </cell>
          <cell r="O782" t="str">
            <v>2556</v>
          </cell>
          <cell r="P782" t="str">
            <v>POINT (-65.8379 -17.5479)</v>
          </cell>
          <cell r="Q782">
            <v>22</v>
          </cell>
          <cell r="R782">
            <v>0.64837450067060032</v>
          </cell>
        </row>
        <row r="783">
          <cell r="A783">
            <v>2557</v>
          </cell>
          <cell r="B783" t="str">
            <v>Unidad Educativa Tambillo ChicoPunata</v>
          </cell>
          <cell r="C783" t="str">
            <v>Cochabamba</v>
          </cell>
          <cell r="D783" t="str">
            <v>Punata</v>
          </cell>
          <cell r="E783" t="str">
            <v>Punata</v>
          </cell>
          <cell r="F783" t="str">
            <v>Punata</v>
          </cell>
          <cell r="G783" t="str">
            <v>Unidad Educativa Tambillo Chico</v>
          </cell>
          <cell r="H783" t="str">
            <v>Zona 4601</v>
          </cell>
          <cell r="I783" t="str">
            <v>Punata</v>
          </cell>
          <cell r="J783" t="str">
            <v>26</v>
          </cell>
          <cell r="K783" t="str">
            <v>Uninominal</v>
          </cell>
          <cell r="L783" t="str">
            <v>-17.5658</v>
          </cell>
          <cell r="M783" t="str">
            <v>-65.8311</v>
          </cell>
          <cell r="N783" t="str">
            <v>Rural</v>
          </cell>
          <cell r="O783" t="str">
            <v>2557</v>
          </cell>
          <cell r="P783" t="str">
            <v>POINT (-65.8311 -17.5658)</v>
          </cell>
          <cell r="Q783">
            <v>3</v>
          </cell>
          <cell r="R783">
            <v>0.81828471702817251</v>
          </cell>
        </row>
        <row r="784">
          <cell r="A784">
            <v>2558</v>
          </cell>
          <cell r="B784" t="str">
            <v>U. E. 18 de MayoPunata</v>
          </cell>
          <cell r="C784" t="str">
            <v>Cochabamba</v>
          </cell>
          <cell r="D784" t="str">
            <v>Punata</v>
          </cell>
          <cell r="E784" t="str">
            <v>Punata</v>
          </cell>
          <cell r="F784" t="str">
            <v>Punata</v>
          </cell>
          <cell r="G784" t="str">
            <v>U. E. 18 de Mayo</v>
          </cell>
          <cell r="H784" t="str">
            <v>Zona 4601</v>
          </cell>
          <cell r="I784" t="str">
            <v>Av. Dr. Andres Maria Torrico entre C. Expectador Rivas y C. Antofagasta</v>
          </cell>
          <cell r="J784" t="str">
            <v>26</v>
          </cell>
          <cell r="K784" t="str">
            <v>Uninominal</v>
          </cell>
          <cell r="L784" t="str">
            <v>-17.543317</v>
          </cell>
          <cell r="M784" t="str">
            <v>-65.8354</v>
          </cell>
          <cell r="N784" t="str">
            <v>Rural</v>
          </cell>
          <cell r="O784" t="str">
            <v>2558</v>
          </cell>
          <cell r="P784" t="str">
            <v>POINT (-65.8354 -17.543317)</v>
          </cell>
          <cell r="Q784">
            <v>4</v>
          </cell>
          <cell r="R784" t="str">
            <v>Sin Info</v>
          </cell>
        </row>
        <row r="785">
          <cell r="A785">
            <v>2559</v>
          </cell>
          <cell r="B785" t="str">
            <v>U. E. Libertador Simón BolívarPunata</v>
          </cell>
          <cell r="C785" t="str">
            <v>Cochabamba</v>
          </cell>
          <cell r="D785" t="str">
            <v>Punata</v>
          </cell>
          <cell r="E785" t="str">
            <v>Punata</v>
          </cell>
          <cell r="F785" t="str">
            <v>Punata</v>
          </cell>
          <cell r="G785" t="str">
            <v>U. E. Libertador Simón Bolívar</v>
          </cell>
          <cell r="H785" t="str">
            <v>Zona 4601</v>
          </cell>
          <cell r="I785" t="str">
            <v>C. Calama esq. C. Espectador Rivas</v>
          </cell>
          <cell r="J785" t="str">
            <v>26</v>
          </cell>
          <cell r="K785" t="str">
            <v>Uninominal</v>
          </cell>
          <cell r="L785" t="str">
            <v>-17.544358</v>
          </cell>
          <cell r="M785" t="str">
            <v>-65.83471</v>
          </cell>
          <cell r="N785" t="str">
            <v>Rural</v>
          </cell>
          <cell r="O785" t="str">
            <v>2559</v>
          </cell>
          <cell r="P785" t="str">
            <v>POINT (-65.83471 -17.544358)</v>
          </cell>
          <cell r="Q785">
            <v>1</v>
          </cell>
          <cell r="R785" t="str">
            <v>Sin Info</v>
          </cell>
        </row>
        <row r="786">
          <cell r="A786">
            <v>2560</v>
          </cell>
          <cell r="B786" t="str">
            <v>U. E. Rene Barrientos O.   La VillaPunata</v>
          </cell>
          <cell r="C786" t="str">
            <v>Cochabamba</v>
          </cell>
          <cell r="D786" t="str">
            <v>Punata</v>
          </cell>
          <cell r="E786" t="str">
            <v>Punata</v>
          </cell>
          <cell r="F786" t="str">
            <v>La Villa</v>
          </cell>
          <cell r="G786" t="str">
            <v>U. E. Rene Barrientos O.   La Villa</v>
          </cell>
          <cell r="H786" t="str">
            <v>Zona 4602</v>
          </cell>
          <cell r="I786" t="str">
            <v>La Villa</v>
          </cell>
          <cell r="J786" t="str">
            <v>26</v>
          </cell>
          <cell r="K786" t="str">
            <v>Uninominal</v>
          </cell>
          <cell r="L786" t="str">
            <v>-17.5096</v>
          </cell>
          <cell r="M786" t="str">
            <v>-65.8072</v>
          </cell>
          <cell r="N786" t="str">
            <v>Rural</v>
          </cell>
          <cell r="O786" t="str">
            <v>2560</v>
          </cell>
          <cell r="P786" t="str">
            <v>POINT (-65.8072 -17.5096)</v>
          </cell>
          <cell r="Q786">
            <v>3</v>
          </cell>
          <cell r="R786" t="str">
            <v>Sin Info</v>
          </cell>
        </row>
        <row r="787">
          <cell r="A787">
            <v>2561</v>
          </cell>
          <cell r="B787" t="str">
            <v>Unidad Educativa Molle HumaPunata</v>
          </cell>
          <cell r="C787" t="str">
            <v>Cochabamba</v>
          </cell>
          <cell r="D787" t="str">
            <v>Punata</v>
          </cell>
          <cell r="E787" t="str">
            <v>Punata</v>
          </cell>
          <cell r="F787" t="str">
            <v>La Villa</v>
          </cell>
          <cell r="G787" t="str">
            <v>Unidad Educativa Molle Huma</v>
          </cell>
          <cell r="H787" t="str">
            <v>Zona 4602</v>
          </cell>
          <cell r="I787" t="str">
            <v>La Villa</v>
          </cell>
          <cell r="J787" t="str">
            <v>26</v>
          </cell>
          <cell r="K787" t="str">
            <v>Uninominal</v>
          </cell>
          <cell r="L787" t="str">
            <v>-17.5216</v>
          </cell>
          <cell r="M787" t="str">
            <v>-65.8113</v>
          </cell>
          <cell r="N787" t="str">
            <v>Rural</v>
          </cell>
          <cell r="O787" t="str">
            <v>2561</v>
          </cell>
          <cell r="P787" t="str">
            <v>POINT (-65.8113 -17.5216)</v>
          </cell>
          <cell r="Q787">
            <v>4</v>
          </cell>
          <cell r="R787">
            <v>0.89447005398328183</v>
          </cell>
        </row>
        <row r="788">
          <cell r="A788">
            <v>2562</v>
          </cell>
          <cell r="B788" t="str">
            <v>Escuela Gualberto Villarroel (V. Rivero)Villa Rivero</v>
          </cell>
          <cell r="C788" t="str">
            <v>Cochabamba</v>
          </cell>
          <cell r="D788" t="str">
            <v>Punata</v>
          </cell>
          <cell r="E788" t="str">
            <v>Villa Rivero</v>
          </cell>
          <cell r="F788" t="str">
            <v>Villa Rivero</v>
          </cell>
          <cell r="G788" t="str">
            <v>Escuela Gualberto Villarroel (V. Rivero)</v>
          </cell>
          <cell r="H788" t="str">
            <v>Zona 4603</v>
          </cell>
          <cell r="I788" t="str">
            <v>Villa Rivero</v>
          </cell>
          <cell r="J788" t="str">
            <v>26</v>
          </cell>
          <cell r="K788" t="str">
            <v>Uninominal</v>
          </cell>
          <cell r="L788" t="str">
            <v>-17.6148</v>
          </cell>
          <cell r="M788" t="str">
            <v>-65.817</v>
          </cell>
          <cell r="N788" t="str">
            <v>Rural</v>
          </cell>
          <cell r="O788" t="str">
            <v>2562</v>
          </cell>
          <cell r="P788" t="str">
            <v>POINT (-65.817 -17.6148)</v>
          </cell>
          <cell r="Q788">
            <v>10</v>
          </cell>
          <cell r="R788">
            <v>0.69501281544324045</v>
          </cell>
        </row>
        <row r="789">
          <cell r="A789">
            <v>2563</v>
          </cell>
          <cell r="B789" t="str">
            <v>Col. Tec. Ind. Comunitario Marcelo QuirogaVilla Rivero</v>
          </cell>
          <cell r="C789" t="str">
            <v>Cochabamba</v>
          </cell>
          <cell r="D789" t="str">
            <v>Punata</v>
          </cell>
          <cell r="E789" t="str">
            <v>Villa Rivero</v>
          </cell>
          <cell r="F789" t="str">
            <v>Aramasi</v>
          </cell>
          <cell r="G789" t="str">
            <v>Col. Tec. Ind. Comunitario Marcelo Quiroga</v>
          </cell>
          <cell r="H789" t="str">
            <v>Zona 4604</v>
          </cell>
          <cell r="I789" t="str">
            <v>Aramasi</v>
          </cell>
          <cell r="J789" t="str">
            <v>26</v>
          </cell>
          <cell r="K789" t="str">
            <v>Uninominal</v>
          </cell>
          <cell r="L789" t="str">
            <v>-17.605</v>
          </cell>
          <cell r="M789" t="str">
            <v>-65.8789</v>
          </cell>
          <cell r="N789" t="str">
            <v>Rural</v>
          </cell>
          <cell r="O789" t="str">
            <v>2563</v>
          </cell>
          <cell r="P789" t="str">
            <v>POINT (-65.8789 -17.605)</v>
          </cell>
          <cell r="Q789">
            <v>12</v>
          </cell>
          <cell r="R789">
            <v>0.92857145578049094</v>
          </cell>
        </row>
        <row r="790">
          <cell r="A790">
            <v>2564</v>
          </cell>
          <cell r="B790" t="str">
            <v>Unidad Educativa Martín Cárdenas HermosoVilla Rivero</v>
          </cell>
          <cell r="C790" t="str">
            <v>Cochabamba</v>
          </cell>
          <cell r="D790" t="str">
            <v>Punata</v>
          </cell>
          <cell r="E790" t="str">
            <v>Villa Rivero</v>
          </cell>
          <cell r="F790" t="str">
            <v>Aramasi</v>
          </cell>
          <cell r="G790" t="str">
            <v>Unidad Educativa Martín Cárdenas Hermoso</v>
          </cell>
          <cell r="H790" t="str">
            <v>Zona 4603</v>
          </cell>
          <cell r="I790" t="str">
            <v>Aramasi</v>
          </cell>
          <cell r="J790" t="str">
            <v>26</v>
          </cell>
          <cell r="K790" t="str">
            <v>Uninominal</v>
          </cell>
          <cell r="L790" t="str">
            <v>-17.6257</v>
          </cell>
          <cell r="M790" t="str">
            <v>-65.8646</v>
          </cell>
          <cell r="N790" t="str">
            <v>Rural</v>
          </cell>
          <cell r="O790" t="str">
            <v>2564</v>
          </cell>
          <cell r="P790" t="str">
            <v>POINT (-65.8646 -17.6257)</v>
          </cell>
          <cell r="Q790">
            <v>3</v>
          </cell>
          <cell r="R790">
            <v>0.925853511437562</v>
          </cell>
        </row>
        <row r="791">
          <cell r="A791">
            <v>2565</v>
          </cell>
          <cell r="B791" t="str">
            <v>U. E. 27 de Mayo (Ex Jose B. Pereira)San Benito</v>
          </cell>
          <cell r="C791" t="str">
            <v>Cochabamba</v>
          </cell>
          <cell r="D791" t="str">
            <v>Punata</v>
          </cell>
          <cell r="E791" t="str">
            <v>San Benito</v>
          </cell>
          <cell r="F791" t="str">
            <v>Villa Quintín Mendoza (San Benito)</v>
          </cell>
          <cell r="G791" t="str">
            <v>U. E. 27 de Mayo (Ex Jose B. Pereira)</v>
          </cell>
          <cell r="H791" t="str">
            <v>Zona 4607</v>
          </cell>
          <cell r="I791" t="str">
            <v>Villa Quintín Mendoza (San Benito)</v>
          </cell>
          <cell r="J791" t="str">
            <v>26</v>
          </cell>
          <cell r="K791" t="str">
            <v>Uninominal</v>
          </cell>
          <cell r="L791" t="str">
            <v>-17.5232</v>
          </cell>
          <cell r="M791" t="str">
            <v>-65.8971</v>
          </cell>
          <cell r="N791" t="str">
            <v>Rural</v>
          </cell>
          <cell r="O791" t="str">
            <v>2565</v>
          </cell>
          <cell r="P791" t="str">
            <v>POINT (-65.8971 -17.5232)</v>
          </cell>
          <cell r="Q791">
            <v>10</v>
          </cell>
          <cell r="R791" t="str">
            <v>Sin Info</v>
          </cell>
        </row>
        <row r="792">
          <cell r="A792">
            <v>2566</v>
          </cell>
          <cell r="B792" t="str">
            <v>U. E. José Braulio PereiraSan Benito</v>
          </cell>
          <cell r="C792" t="str">
            <v>Cochabamba</v>
          </cell>
          <cell r="D792" t="str">
            <v>Punata</v>
          </cell>
          <cell r="E792" t="str">
            <v>San Benito</v>
          </cell>
          <cell r="F792" t="str">
            <v>Villa Quintín Mendoza (San Benito)</v>
          </cell>
          <cell r="G792" t="str">
            <v>U. E. José Braulio Pereira</v>
          </cell>
          <cell r="H792" t="str">
            <v>Zona 4607</v>
          </cell>
          <cell r="I792" t="str">
            <v>C. Eliodoro Camacho esq. C. Eufronio Viscarra</v>
          </cell>
          <cell r="J792" t="str">
            <v>26</v>
          </cell>
          <cell r="K792" t="str">
            <v>Uninominal</v>
          </cell>
          <cell r="L792" t="str">
            <v>-17.522334</v>
          </cell>
          <cell r="M792" t="str">
            <v>-65.89397</v>
          </cell>
          <cell r="N792" t="str">
            <v>Rural</v>
          </cell>
          <cell r="O792" t="str">
            <v>2566</v>
          </cell>
          <cell r="P792" t="str">
            <v>POINT (-65.89397 -17.522334)</v>
          </cell>
          <cell r="Q792">
            <v>8</v>
          </cell>
          <cell r="R792" t="str">
            <v>Sin Info</v>
          </cell>
        </row>
        <row r="793">
          <cell r="A793">
            <v>2567</v>
          </cell>
          <cell r="B793" t="str">
            <v>Colegio Simon Bolivar (Huaricaya)San Benito</v>
          </cell>
          <cell r="C793" t="str">
            <v>Cochabamba</v>
          </cell>
          <cell r="D793" t="str">
            <v>Punata</v>
          </cell>
          <cell r="E793" t="str">
            <v>San Benito</v>
          </cell>
          <cell r="F793" t="str">
            <v>Huaricaya</v>
          </cell>
          <cell r="G793" t="str">
            <v>Colegio Simon Bolivar (Huaricaya)</v>
          </cell>
          <cell r="H793" t="str">
            <v>Zona 4606</v>
          </cell>
          <cell r="I793" t="str">
            <v>Huaricaya</v>
          </cell>
          <cell r="J793" t="str">
            <v>26</v>
          </cell>
          <cell r="K793" t="str">
            <v>Uninominal</v>
          </cell>
          <cell r="L793" t="str">
            <v>-17.5258</v>
          </cell>
          <cell r="M793" t="str">
            <v>-65.9228</v>
          </cell>
          <cell r="N793" t="str">
            <v>Rural</v>
          </cell>
          <cell r="O793" t="str">
            <v>2567</v>
          </cell>
          <cell r="P793" t="str">
            <v>POINT (-65.9228 -17.5258)</v>
          </cell>
          <cell r="Q793">
            <v>5</v>
          </cell>
          <cell r="R793" t="str">
            <v>Sin Info</v>
          </cell>
        </row>
        <row r="794">
          <cell r="A794">
            <v>2568</v>
          </cell>
          <cell r="B794" t="str">
            <v>Unidad Educativa Sunchu PampaSan Benito</v>
          </cell>
          <cell r="C794" t="str">
            <v>Cochabamba</v>
          </cell>
          <cell r="D794" t="str">
            <v>Punata</v>
          </cell>
          <cell r="E794" t="str">
            <v>San Benito</v>
          </cell>
          <cell r="F794" t="str">
            <v>Sunchu Pampa</v>
          </cell>
          <cell r="G794" t="str">
            <v>Unidad Educativa Sunchu Pampa</v>
          </cell>
          <cell r="H794" t="str">
            <v>Zona 4605</v>
          </cell>
          <cell r="I794" t="str">
            <v>Sunchu Pampa</v>
          </cell>
          <cell r="J794" t="str">
            <v>26</v>
          </cell>
          <cell r="K794" t="str">
            <v>Uninominal</v>
          </cell>
          <cell r="L794" t="str">
            <v>-17.5587</v>
          </cell>
          <cell r="M794" t="str">
            <v>-65.9196</v>
          </cell>
          <cell r="N794" t="str">
            <v>Rural</v>
          </cell>
          <cell r="O794" t="str">
            <v>2568</v>
          </cell>
          <cell r="P794" t="str">
            <v>POINT (-65.9196 -17.5587)</v>
          </cell>
          <cell r="Q794">
            <v>4</v>
          </cell>
          <cell r="R794" t="str">
            <v>Sin Info</v>
          </cell>
        </row>
        <row r="795">
          <cell r="A795">
            <v>2569</v>
          </cell>
          <cell r="B795" t="str">
            <v>Escuela Experimental ParacayaSan Benito</v>
          </cell>
          <cell r="C795" t="str">
            <v>Cochabamba</v>
          </cell>
          <cell r="D795" t="str">
            <v>Punata</v>
          </cell>
          <cell r="E795" t="str">
            <v>San Benito</v>
          </cell>
          <cell r="F795" t="str">
            <v>Paracaya</v>
          </cell>
          <cell r="G795" t="str">
            <v>Escuela Experimental Paracaya</v>
          </cell>
          <cell r="H795" t="str">
            <v>Zona 4608</v>
          </cell>
          <cell r="I795" t="str">
            <v>Paracaya</v>
          </cell>
          <cell r="J795" t="str">
            <v>26</v>
          </cell>
          <cell r="K795" t="str">
            <v>Uninominal</v>
          </cell>
          <cell r="L795" t="str">
            <v>-17.5135</v>
          </cell>
          <cell r="M795" t="str">
            <v>-65.857</v>
          </cell>
          <cell r="N795" t="str">
            <v>Urbano</v>
          </cell>
          <cell r="O795" t="str">
            <v>2569</v>
          </cell>
          <cell r="P795" t="str">
            <v>POINT (-65.857 -17.5135)</v>
          </cell>
          <cell r="Q795">
            <v>14</v>
          </cell>
          <cell r="R795" t="str">
            <v>Sin Info</v>
          </cell>
        </row>
        <row r="796">
          <cell r="A796">
            <v>2570</v>
          </cell>
          <cell r="B796" t="str">
            <v>Unidad Educativa WañakahuaSan Benito</v>
          </cell>
          <cell r="C796" t="str">
            <v>Cochabamba</v>
          </cell>
          <cell r="D796" t="str">
            <v>Punata</v>
          </cell>
          <cell r="E796" t="str">
            <v>San Benito</v>
          </cell>
          <cell r="F796" t="str">
            <v>Paracaya</v>
          </cell>
          <cell r="G796" t="str">
            <v>Unidad Educativa Wañakahua</v>
          </cell>
          <cell r="H796" t="str">
            <v>Zona 4608</v>
          </cell>
          <cell r="I796" t="str">
            <v>Paracaya</v>
          </cell>
          <cell r="J796" t="str">
            <v>26</v>
          </cell>
          <cell r="K796" t="str">
            <v>Uninominal</v>
          </cell>
          <cell r="L796" t="str">
            <v>-17.5141</v>
          </cell>
          <cell r="M796" t="str">
            <v>-65.8343</v>
          </cell>
          <cell r="N796" t="str">
            <v>Urbano</v>
          </cell>
          <cell r="O796" t="str">
            <v>2570</v>
          </cell>
          <cell r="P796" t="str">
            <v>POINT (-65.8343 -17.5141)</v>
          </cell>
          <cell r="Q796">
            <v>2</v>
          </cell>
          <cell r="R796" t="str">
            <v>Sin Info</v>
          </cell>
        </row>
        <row r="797">
          <cell r="A797">
            <v>2571</v>
          </cell>
          <cell r="B797" t="str">
            <v>U.E. Tolata ChicoSan Benito</v>
          </cell>
          <cell r="C797" t="str">
            <v>Cochabamba</v>
          </cell>
          <cell r="D797" t="str">
            <v>Punata</v>
          </cell>
          <cell r="E797" t="str">
            <v>San Benito</v>
          </cell>
          <cell r="F797" t="str">
            <v>Tolata Chico</v>
          </cell>
          <cell r="G797" t="str">
            <v>U.E. Tolata Chico</v>
          </cell>
          <cell r="H797" t="str">
            <v>Zona 4606</v>
          </cell>
          <cell r="I797" t="str">
            <v>Carretera Antigua Cochabamba-Santa Cruz, Km 35, Comunidad de Tolata Chico</v>
          </cell>
          <cell r="J797" t="str">
            <v>26</v>
          </cell>
          <cell r="K797" t="str">
            <v>Uninominal</v>
          </cell>
          <cell r="L797" t="str">
            <v>-17.532756</v>
          </cell>
          <cell r="M797" t="str">
            <v>-65.941041</v>
          </cell>
          <cell r="N797" t="str">
            <v>Rural</v>
          </cell>
          <cell r="O797" t="str">
            <v>2571</v>
          </cell>
          <cell r="P797" t="str">
            <v>POINT (-65.941041 -17.532756)</v>
          </cell>
          <cell r="Q797">
            <v>2</v>
          </cell>
          <cell r="R797" t="str">
            <v>Sin Info</v>
          </cell>
        </row>
        <row r="798">
          <cell r="A798">
            <v>2572</v>
          </cell>
          <cell r="B798" t="str">
            <v>Unidad Educativa TacachiTacachi</v>
          </cell>
          <cell r="C798" t="str">
            <v>Cochabamba</v>
          </cell>
          <cell r="D798" t="str">
            <v>Punata</v>
          </cell>
          <cell r="E798" t="str">
            <v>Tacachi</v>
          </cell>
          <cell r="F798" t="str">
            <v>Tacachi</v>
          </cell>
          <cell r="G798" t="str">
            <v>Unidad Educativa Tacachi</v>
          </cell>
          <cell r="H798" t="str">
            <v>Zona 4609</v>
          </cell>
          <cell r="I798" t="str">
            <v>Tacachi</v>
          </cell>
          <cell r="J798" t="str">
            <v>26</v>
          </cell>
          <cell r="K798" t="str">
            <v>Uninominal</v>
          </cell>
          <cell r="L798" t="str">
            <v>-17.6395</v>
          </cell>
          <cell r="M798" t="str">
            <v>-65.8031</v>
          </cell>
          <cell r="N798" t="str">
            <v>Rural</v>
          </cell>
          <cell r="O798" t="str">
            <v>2572</v>
          </cell>
          <cell r="P798" t="str">
            <v>POINT (-65.8031 -17.6395)</v>
          </cell>
          <cell r="Q798">
            <v>4</v>
          </cell>
          <cell r="R798">
            <v>0.71015151515151509</v>
          </cell>
        </row>
        <row r="799">
          <cell r="A799">
            <v>2573</v>
          </cell>
          <cell r="B799" t="str">
            <v>Escuela Cuchu MuelaVilla Gualberto Villarroel</v>
          </cell>
          <cell r="C799" t="str">
            <v>Cochabamba</v>
          </cell>
          <cell r="D799" t="str">
            <v>Punata</v>
          </cell>
          <cell r="E799" t="str">
            <v>Villa Gualberto Villarroel</v>
          </cell>
          <cell r="F799" t="str">
            <v>Villa Gualberto Villarroel (Cuchumuela)</v>
          </cell>
          <cell r="G799" t="str">
            <v>Escuela Cuchu Muela</v>
          </cell>
          <cell r="H799" t="str">
            <v>Zona 4612</v>
          </cell>
          <cell r="I799" t="str">
            <v>Villa Gualberto Villarroel (Cuchumuela)</v>
          </cell>
          <cell r="J799" t="str">
            <v>26</v>
          </cell>
          <cell r="K799" t="str">
            <v>Uninominal</v>
          </cell>
          <cell r="L799" t="str">
            <v>-17.652</v>
          </cell>
          <cell r="M799" t="str">
            <v>-65.7949</v>
          </cell>
          <cell r="N799" t="str">
            <v>Rural</v>
          </cell>
          <cell r="O799" t="str">
            <v>2573</v>
          </cell>
          <cell r="P799" t="str">
            <v>POINT (-65.7949 -17.652)</v>
          </cell>
          <cell r="Q799">
            <v>3</v>
          </cell>
          <cell r="R799">
            <v>0.75701892610854138</v>
          </cell>
        </row>
        <row r="800">
          <cell r="A800">
            <v>2574</v>
          </cell>
          <cell r="B800" t="str">
            <v>Nucleo Escolar Yana RumiVilla Gualberto Villarroel</v>
          </cell>
          <cell r="C800" t="str">
            <v>Cochabamba</v>
          </cell>
          <cell r="D800" t="str">
            <v>Punata</v>
          </cell>
          <cell r="E800" t="str">
            <v>Villa Gualberto Villarroel</v>
          </cell>
          <cell r="F800" t="str">
            <v>Yana Rumi</v>
          </cell>
          <cell r="G800" t="str">
            <v>Nucleo Escolar Yana Rumi</v>
          </cell>
          <cell r="H800" t="str">
            <v>Zona 4610</v>
          </cell>
          <cell r="I800" t="str">
            <v>Yana Rumi</v>
          </cell>
          <cell r="J800" t="str">
            <v>26</v>
          </cell>
          <cell r="K800" t="str">
            <v>Uninominal</v>
          </cell>
          <cell r="L800" t="str">
            <v>-17.7019</v>
          </cell>
          <cell r="M800" t="str">
            <v>-65.7485</v>
          </cell>
          <cell r="N800" t="str">
            <v>Rural</v>
          </cell>
          <cell r="O800" t="str">
            <v>2574</v>
          </cell>
          <cell r="P800" t="str">
            <v>POINT (-65.7485 -17.7019)</v>
          </cell>
          <cell r="Q800">
            <v>2</v>
          </cell>
          <cell r="R800">
            <v>0.94683257918552033</v>
          </cell>
        </row>
        <row r="801">
          <cell r="A801">
            <v>2575</v>
          </cell>
          <cell r="B801" t="str">
            <v>U.E. Simón BolivarBolivar</v>
          </cell>
          <cell r="C801" t="str">
            <v>Cochabamba</v>
          </cell>
          <cell r="D801" t="str">
            <v>Bolivar</v>
          </cell>
          <cell r="E801" t="str">
            <v>Bolivar</v>
          </cell>
          <cell r="F801" t="str">
            <v>Bolivar</v>
          </cell>
          <cell r="G801" t="str">
            <v>U.E. Simón Bolivar</v>
          </cell>
          <cell r="H801" t="str">
            <v>Zona 4615</v>
          </cell>
          <cell r="I801" t="str">
            <v>Bolivar</v>
          </cell>
          <cell r="J801" t="str">
            <v>27</v>
          </cell>
          <cell r="K801" t="str">
            <v>Uninominal</v>
          </cell>
          <cell r="L801" t="str">
            <v>-17.968</v>
          </cell>
          <cell r="M801" t="str">
            <v>-66.5379</v>
          </cell>
          <cell r="N801" t="str">
            <v>Rural</v>
          </cell>
          <cell r="O801" t="str">
            <v>2575</v>
          </cell>
          <cell r="P801" t="str">
            <v>POINT (-66.5379 -17.968)</v>
          </cell>
          <cell r="Q801">
            <v>1</v>
          </cell>
          <cell r="R801" t="str">
            <v>Sin Info</v>
          </cell>
        </row>
        <row r="802">
          <cell r="A802">
            <v>2576</v>
          </cell>
          <cell r="B802" t="str">
            <v>U.E. San Juan de La ComunaBolivar</v>
          </cell>
          <cell r="C802" t="str">
            <v>Cochabamba</v>
          </cell>
          <cell r="D802" t="str">
            <v>Bolivar</v>
          </cell>
          <cell r="E802" t="str">
            <v>Bolivar</v>
          </cell>
          <cell r="F802" t="str">
            <v>Comuna</v>
          </cell>
          <cell r="G802" t="str">
            <v>U.E. San Juan de La Comuna</v>
          </cell>
          <cell r="H802" t="str">
            <v>Zona 4621</v>
          </cell>
          <cell r="I802" t="str">
            <v>Comuna</v>
          </cell>
          <cell r="J802" t="str">
            <v>27</v>
          </cell>
          <cell r="K802" t="str">
            <v>Uninominal</v>
          </cell>
          <cell r="L802" t="str">
            <v>-17.906116</v>
          </cell>
          <cell r="M802" t="str">
            <v>-66.478479</v>
          </cell>
          <cell r="N802" t="str">
            <v>Rural</v>
          </cell>
          <cell r="O802" t="str">
            <v>2576</v>
          </cell>
          <cell r="P802" t="str">
            <v>POINT (-66.478479 -17.906116)</v>
          </cell>
          <cell r="Q802">
            <v>1</v>
          </cell>
          <cell r="R802" t="str">
            <v>Sin Info</v>
          </cell>
        </row>
        <row r="803">
          <cell r="A803">
            <v>2577</v>
          </cell>
          <cell r="B803" t="str">
            <v>U.E. ChallomaBolivar</v>
          </cell>
          <cell r="C803" t="str">
            <v>Cochabamba</v>
          </cell>
          <cell r="D803" t="str">
            <v>Bolivar</v>
          </cell>
          <cell r="E803" t="str">
            <v>Bolivar</v>
          </cell>
          <cell r="F803" t="str">
            <v>Challoma</v>
          </cell>
          <cell r="G803" t="str">
            <v>U.E. Challoma</v>
          </cell>
          <cell r="H803" t="str">
            <v>Zona 4622</v>
          </cell>
          <cell r="I803" t="str">
            <v>Challoma</v>
          </cell>
          <cell r="J803" t="str">
            <v>27</v>
          </cell>
          <cell r="K803" t="str">
            <v>Uninominal</v>
          </cell>
          <cell r="L803" t="str">
            <v>-17.8999</v>
          </cell>
          <cell r="M803" t="str">
            <v>-66.5458</v>
          </cell>
          <cell r="N803" t="str">
            <v>Rural</v>
          </cell>
          <cell r="O803" t="str">
            <v>2577</v>
          </cell>
          <cell r="P803" t="str">
            <v>POINT (-66.5458 -17.8999)</v>
          </cell>
          <cell r="Q803">
            <v>1</v>
          </cell>
          <cell r="R803" t="str">
            <v>Sin Info</v>
          </cell>
        </row>
        <row r="804">
          <cell r="A804">
            <v>2578</v>
          </cell>
          <cell r="B804" t="str">
            <v>Escuela VilacaymaBolivar</v>
          </cell>
          <cell r="C804" t="str">
            <v>Cochabamba</v>
          </cell>
          <cell r="D804" t="str">
            <v>Bolivar</v>
          </cell>
          <cell r="E804" t="str">
            <v>Bolivar</v>
          </cell>
          <cell r="F804" t="str">
            <v>Vilacayma</v>
          </cell>
          <cell r="G804" t="str">
            <v>Escuela Vilacayma</v>
          </cell>
          <cell r="H804" t="str">
            <v>Zona 4616</v>
          </cell>
          <cell r="I804" t="str">
            <v>Vilacayma</v>
          </cell>
          <cell r="J804" t="str">
            <v>27</v>
          </cell>
          <cell r="K804" t="str">
            <v>Uninominal</v>
          </cell>
          <cell r="L804" t="str">
            <v>-17.9696</v>
          </cell>
          <cell r="M804" t="str">
            <v>-66.5761</v>
          </cell>
          <cell r="N804" t="str">
            <v>Rural</v>
          </cell>
          <cell r="O804" t="str">
            <v>2578</v>
          </cell>
          <cell r="P804" t="str">
            <v>POINT (-66.5761 -17.9696)</v>
          </cell>
          <cell r="Q804">
            <v>2</v>
          </cell>
          <cell r="R804">
            <v>0.91869284309747501</v>
          </cell>
        </row>
        <row r="805">
          <cell r="A805">
            <v>2579</v>
          </cell>
          <cell r="B805" t="str">
            <v>Escuela CoyumaBolivar</v>
          </cell>
          <cell r="C805" t="str">
            <v>Cochabamba</v>
          </cell>
          <cell r="D805" t="str">
            <v>Bolivar</v>
          </cell>
          <cell r="E805" t="str">
            <v>Bolivar</v>
          </cell>
          <cell r="F805" t="str">
            <v>Coyuma</v>
          </cell>
          <cell r="G805" t="str">
            <v>Escuela Coyuma</v>
          </cell>
          <cell r="H805" t="str">
            <v>Zona 4617</v>
          </cell>
          <cell r="I805" t="str">
            <v>Coyuma</v>
          </cell>
          <cell r="J805" t="str">
            <v>27</v>
          </cell>
          <cell r="K805" t="str">
            <v>Uninominal</v>
          </cell>
          <cell r="L805" t="str">
            <v>-18.0853</v>
          </cell>
          <cell r="M805" t="str">
            <v>-66.7405</v>
          </cell>
          <cell r="N805" t="str">
            <v>Rural</v>
          </cell>
          <cell r="O805" t="str">
            <v>2579</v>
          </cell>
          <cell r="P805" t="str">
            <v>POINT (-66.7405 -18.0853)</v>
          </cell>
          <cell r="Q805">
            <v>1</v>
          </cell>
          <cell r="R805">
            <v>0.86315789473684212</v>
          </cell>
        </row>
        <row r="806">
          <cell r="A806">
            <v>2580</v>
          </cell>
          <cell r="B806" t="str">
            <v>U.E. Mejillones de Villa VictoriaBolivar</v>
          </cell>
          <cell r="C806" t="str">
            <v>Cochabamba</v>
          </cell>
          <cell r="D806" t="str">
            <v>Bolivar</v>
          </cell>
          <cell r="E806" t="str">
            <v>Bolivar</v>
          </cell>
          <cell r="F806" t="str">
            <v>Villa Victoria</v>
          </cell>
          <cell r="G806" t="str">
            <v>U.E. Mejillones de Villa Victoria</v>
          </cell>
          <cell r="H806" t="str">
            <v>Zona 4613</v>
          </cell>
          <cell r="I806" t="str">
            <v>Villa Victoria</v>
          </cell>
          <cell r="J806" t="str">
            <v>27</v>
          </cell>
          <cell r="K806" t="str">
            <v>Uninominal</v>
          </cell>
          <cell r="L806" t="str">
            <v>-18.0841</v>
          </cell>
          <cell r="M806" t="str">
            <v>-66.6871</v>
          </cell>
          <cell r="N806" t="str">
            <v>Rural</v>
          </cell>
          <cell r="O806" t="str">
            <v>2580</v>
          </cell>
          <cell r="P806" t="str">
            <v>POINT (-66.6871 -18.0841)</v>
          </cell>
          <cell r="Q806">
            <v>2</v>
          </cell>
          <cell r="R806" t="str">
            <v>Sin Info</v>
          </cell>
        </row>
        <row r="807">
          <cell r="A807">
            <v>2581</v>
          </cell>
          <cell r="B807" t="str">
            <v>U.E. CarpaniBolivar</v>
          </cell>
          <cell r="C807" t="str">
            <v>Cochabamba</v>
          </cell>
          <cell r="D807" t="str">
            <v>Bolivar</v>
          </cell>
          <cell r="E807" t="str">
            <v>Bolivar</v>
          </cell>
          <cell r="F807" t="str">
            <v>Carpani</v>
          </cell>
          <cell r="G807" t="str">
            <v>U.E. Carpani</v>
          </cell>
          <cell r="H807" t="str">
            <v>Zona 4619</v>
          </cell>
          <cell r="I807" t="str">
            <v>Carpani</v>
          </cell>
          <cell r="J807" t="str">
            <v>27</v>
          </cell>
          <cell r="K807" t="str">
            <v>Uninominal</v>
          </cell>
          <cell r="L807" t="str">
            <v>-17.9336</v>
          </cell>
          <cell r="M807" t="str">
            <v>-66.6145</v>
          </cell>
          <cell r="N807" t="str">
            <v>Urbano</v>
          </cell>
          <cell r="O807" t="str">
            <v>2581</v>
          </cell>
          <cell r="P807" t="str">
            <v>POINT (-66.6145 -17.9336)</v>
          </cell>
          <cell r="Q807">
            <v>2</v>
          </cell>
          <cell r="R807" t="str">
            <v>Sin Info</v>
          </cell>
        </row>
        <row r="808">
          <cell r="A808">
            <v>2582</v>
          </cell>
          <cell r="B808" t="str">
            <v>U.E. YarvicoyaBolivar</v>
          </cell>
          <cell r="C808" t="str">
            <v>Cochabamba</v>
          </cell>
          <cell r="D808" t="str">
            <v>Bolivar</v>
          </cell>
          <cell r="E808" t="str">
            <v>Bolivar</v>
          </cell>
          <cell r="F808" t="str">
            <v>Yarvicoya</v>
          </cell>
          <cell r="G808" t="str">
            <v>U.E. Yarvicoya</v>
          </cell>
          <cell r="H808" t="str">
            <v>Zona 4614</v>
          </cell>
          <cell r="I808" t="str">
            <v>Yarvicoya</v>
          </cell>
          <cell r="J808" t="str">
            <v>27</v>
          </cell>
          <cell r="K808" t="str">
            <v>Uninominal</v>
          </cell>
          <cell r="L808" t="str">
            <v>-18.013</v>
          </cell>
          <cell r="M808" t="str">
            <v>-66.5168</v>
          </cell>
          <cell r="N808" t="str">
            <v>Urbano</v>
          </cell>
          <cell r="O808" t="str">
            <v>2582</v>
          </cell>
          <cell r="P808" t="str">
            <v>POINT (-66.5168 -18.013)</v>
          </cell>
          <cell r="Q808">
            <v>2</v>
          </cell>
          <cell r="R808" t="str">
            <v>Sin Info</v>
          </cell>
        </row>
        <row r="809">
          <cell r="A809">
            <v>2583</v>
          </cell>
          <cell r="B809" t="str">
            <v>U.E. TangalequeBolivar</v>
          </cell>
          <cell r="C809" t="str">
            <v>Cochabamba</v>
          </cell>
          <cell r="D809" t="str">
            <v>Bolivar</v>
          </cell>
          <cell r="E809" t="str">
            <v>Bolivar</v>
          </cell>
          <cell r="F809" t="str">
            <v>Tangaleque</v>
          </cell>
          <cell r="G809" t="str">
            <v>U.E. Tangaleque</v>
          </cell>
          <cell r="H809" t="str">
            <v>Zona 4620</v>
          </cell>
          <cell r="I809" t="str">
            <v>Tangaleque</v>
          </cell>
          <cell r="J809" t="str">
            <v>27</v>
          </cell>
          <cell r="K809" t="str">
            <v>Uninominal</v>
          </cell>
          <cell r="L809" t="str">
            <v>-18.0226</v>
          </cell>
          <cell r="M809" t="str">
            <v>-66.5484</v>
          </cell>
          <cell r="N809" t="str">
            <v>Urbano</v>
          </cell>
          <cell r="O809" t="str">
            <v>2583</v>
          </cell>
          <cell r="P809" t="str">
            <v>POINT (-66.5484 -18.0226)</v>
          </cell>
          <cell r="Q809">
            <v>1</v>
          </cell>
          <cell r="R809" t="str">
            <v>Sin Info</v>
          </cell>
        </row>
        <row r="810">
          <cell r="A810">
            <v>2584</v>
          </cell>
          <cell r="B810" t="str">
            <v>U.E. VilapampaBolivar</v>
          </cell>
          <cell r="C810" t="str">
            <v>Cochabamba</v>
          </cell>
          <cell r="D810" t="str">
            <v>Bolivar</v>
          </cell>
          <cell r="E810" t="str">
            <v>Bolivar</v>
          </cell>
          <cell r="F810" t="str">
            <v>Vilapampa</v>
          </cell>
          <cell r="G810" t="str">
            <v>U.E. Vilapampa</v>
          </cell>
          <cell r="H810" t="str">
            <v>Zona 4613</v>
          </cell>
          <cell r="I810" t="str">
            <v>Vilapampa</v>
          </cell>
          <cell r="J810" t="str">
            <v>27</v>
          </cell>
          <cell r="K810" t="str">
            <v>Uninominal</v>
          </cell>
          <cell r="L810" t="str">
            <v>-18.048823</v>
          </cell>
          <cell r="M810" t="str">
            <v>-66.696073</v>
          </cell>
          <cell r="N810" t="str">
            <v>Urbano</v>
          </cell>
          <cell r="O810" t="str">
            <v>2584</v>
          </cell>
          <cell r="P810" t="str">
            <v>POINT (-66.696073 -18.048823)</v>
          </cell>
          <cell r="Q810">
            <v>1</v>
          </cell>
          <cell r="R810" t="str">
            <v>Sin Info</v>
          </cell>
        </row>
        <row r="811">
          <cell r="A811">
            <v>2585</v>
          </cell>
          <cell r="B811" t="str">
            <v>Escuela Jorenko Villa VerdeBolivar</v>
          </cell>
          <cell r="C811" t="str">
            <v>Cochabamba</v>
          </cell>
          <cell r="D811" t="str">
            <v>Bolivar</v>
          </cell>
          <cell r="E811" t="str">
            <v>Bolivar</v>
          </cell>
          <cell r="F811" t="str">
            <v>Jorenko Villa Verde</v>
          </cell>
          <cell r="G811" t="str">
            <v>Escuela Jorenko Villa Verde</v>
          </cell>
          <cell r="H811" t="str">
            <v>Zona 4618</v>
          </cell>
          <cell r="I811" t="str">
            <v>Jorenko-Villa Verde</v>
          </cell>
          <cell r="J811" t="str">
            <v>27</v>
          </cell>
          <cell r="K811" t="str">
            <v>Uninominal</v>
          </cell>
          <cell r="L811" t="str">
            <v>-17.9849</v>
          </cell>
          <cell r="M811" t="str">
            <v>-66.6675</v>
          </cell>
          <cell r="N811" t="str">
            <v>Urbano</v>
          </cell>
          <cell r="O811" t="str">
            <v>2585</v>
          </cell>
          <cell r="P811" t="str">
            <v>POINT (-66.6675 -17.9849)</v>
          </cell>
          <cell r="Q811">
            <v>2</v>
          </cell>
          <cell r="R811">
            <v>0.92227953074433655</v>
          </cell>
        </row>
        <row r="812">
          <cell r="A812">
            <v>2586</v>
          </cell>
          <cell r="B812" t="str">
            <v>Colegio Juan Jose CarrascoTiraque</v>
          </cell>
          <cell r="C812" t="str">
            <v>Cochabamba</v>
          </cell>
          <cell r="D812" t="str">
            <v>Tiraque</v>
          </cell>
          <cell r="E812" t="str">
            <v>Tiraque</v>
          </cell>
          <cell r="F812" t="str">
            <v>Tiraque</v>
          </cell>
          <cell r="G812" t="str">
            <v>Colegio Juan Jose Carrasco</v>
          </cell>
          <cell r="H812" t="str">
            <v>Zona 4624</v>
          </cell>
          <cell r="I812" t="str">
            <v>Tiraque</v>
          </cell>
          <cell r="J812" t="str">
            <v>25</v>
          </cell>
          <cell r="K812" t="str">
            <v>Uninominal</v>
          </cell>
          <cell r="L812" t="str">
            <v>-17.4239</v>
          </cell>
          <cell r="M812" t="str">
            <v>-65.7215</v>
          </cell>
          <cell r="N812" t="str">
            <v>Urbano</v>
          </cell>
          <cell r="O812" t="str">
            <v>2586</v>
          </cell>
          <cell r="P812" t="str">
            <v>POINT (-65.7215 -17.4239)</v>
          </cell>
          <cell r="Q812">
            <v>22</v>
          </cell>
          <cell r="R812">
            <v>0.907472978903058</v>
          </cell>
        </row>
        <row r="813">
          <cell r="A813">
            <v>2587</v>
          </cell>
          <cell r="B813" t="str">
            <v>U. E. Isabel Torrico ArnezTiraque</v>
          </cell>
          <cell r="C813" t="str">
            <v>Cochabamba</v>
          </cell>
          <cell r="D813" t="str">
            <v>Tiraque</v>
          </cell>
          <cell r="E813" t="str">
            <v>Tiraque</v>
          </cell>
          <cell r="F813" t="str">
            <v>Tiraque</v>
          </cell>
          <cell r="G813" t="str">
            <v>U. E. Isabel Torrico Arnez</v>
          </cell>
          <cell r="H813" t="str">
            <v>Zona 4624</v>
          </cell>
          <cell r="I813" t="str">
            <v>Calle Bolivar</v>
          </cell>
          <cell r="J813" t="str">
            <v>25</v>
          </cell>
          <cell r="K813" t="str">
            <v>Uninominal</v>
          </cell>
          <cell r="L813" t="str">
            <v>-17.42454</v>
          </cell>
          <cell r="M813" t="str">
            <v>-65.72481</v>
          </cell>
          <cell r="N813" t="str">
            <v>Rural</v>
          </cell>
          <cell r="O813" t="str">
            <v>2587</v>
          </cell>
          <cell r="P813" t="str">
            <v>POINT (-65.72481 -17.42454)</v>
          </cell>
          <cell r="Q813">
            <v>8</v>
          </cell>
          <cell r="R813" t="str">
            <v>Sin Info</v>
          </cell>
        </row>
        <row r="814">
          <cell r="A814">
            <v>2588</v>
          </cell>
          <cell r="B814" t="str">
            <v>Escuela Koari (Nucleo Esc. S. Bolivar)Tiraque</v>
          </cell>
          <cell r="C814" t="str">
            <v>Cochabamba</v>
          </cell>
          <cell r="D814" t="str">
            <v>Tiraque</v>
          </cell>
          <cell r="E814" t="str">
            <v>Tiraque</v>
          </cell>
          <cell r="F814" t="str">
            <v>Koari</v>
          </cell>
          <cell r="G814" t="str">
            <v>Escuela Koari (Nucleo Esc. S. Bolivar)</v>
          </cell>
          <cell r="H814" t="str">
            <v>Zona 4626</v>
          </cell>
          <cell r="I814" t="str">
            <v>Koari</v>
          </cell>
          <cell r="J814" t="str">
            <v>25</v>
          </cell>
          <cell r="K814" t="str">
            <v>Uninominal</v>
          </cell>
          <cell r="L814" t="str">
            <v>-17.4792</v>
          </cell>
          <cell r="M814" t="str">
            <v>-65.5763</v>
          </cell>
          <cell r="N814" t="str">
            <v>Urbano</v>
          </cell>
          <cell r="O814" t="str">
            <v>2588</v>
          </cell>
          <cell r="P814" t="str">
            <v>POINT (-65.5763 -17.4792)</v>
          </cell>
          <cell r="Q814">
            <v>5</v>
          </cell>
          <cell r="R814">
            <v>0.97784732099472649</v>
          </cell>
        </row>
        <row r="815">
          <cell r="A815">
            <v>2589</v>
          </cell>
          <cell r="B815" t="str">
            <v>Escuela Seccional SacabambillaTiraque</v>
          </cell>
          <cell r="C815" t="str">
            <v>Cochabamba</v>
          </cell>
          <cell r="D815" t="str">
            <v>Tiraque</v>
          </cell>
          <cell r="E815" t="str">
            <v>Tiraque</v>
          </cell>
          <cell r="F815" t="str">
            <v>Sacabambilla</v>
          </cell>
          <cell r="G815" t="str">
            <v>Escuela Seccional Sacabambilla</v>
          </cell>
          <cell r="H815" t="str">
            <v>Zona 4625</v>
          </cell>
          <cell r="I815" t="str">
            <v>Sacabambilla</v>
          </cell>
          <cell r="J815" t="str">
            <v>25</v>
          </cell>
          <cell r="K815" t="str">
            <v>Uninominal</v>
          </cell>
          <cell r="L815" t="str">
            <v>-17.4787</v>
          </cell>
          <cell r="M815" t="str">
            <v>-65.7649</v>
          </cell>
          <cell r="N815" t="str">
            <v>Urbano</v>
          </cell>
          <cell r="O815" t="str">
            <v>2589</v>
          </cell>
          <cell r="P815" t="str">
            <v>POINT (-65.7649 -17.4787)</v>
          </cell>
          <cell r="Q815">
            <v>2</v>
          </cell>
          <cell r="R815">
            <v>0.94582216755260728</v>
          </cell>
        </row>
        <row r="816">
          <cell r="A816">
            <v>2590</v>
          </cell>
          <cell r="B816" t="str">
            <v>Unidad Educativa Palca TTiraque</v>
          </cell>
          <cell r="C816" t="str">
            <v>Cochabamba</v>
          </cell>
          <cell r="D816" t="str">
            <v>Tiraque</v>
          </cell>
          <cell r="E816" t="str">
            <v>Tiraque</v>
          </cell>
          <cell r="F816" t="str">
            <v>Palca  T</v>
          </cell>
          <cell r="G816" t="str">
            <v>Unidad Educativa Palca T</v>
          </cell>
          <cell r="H816" t="str">
            <v>Zona 4625</v>
          </cell>
          <cell r="I816" t="str">
            <v>Palca T</v>
          </cell>
          <cell r="J816" t="str">
            <v>25</v>
          </cell>
          <cell r="K816" t="str">
            <v>Uninominal</v>
          </cell>
          <cell r="L816" t="str">
            <v>-17.4107</v>
          </cell>
          <cell r="M816" t="str">
            <v>-65.779</v>
          </cell>
          <cell r="N816" t="str">
            <v>Rural</v>
          </cell>
          <cell r="O816" t="str">
            <v>2590</v>
          </cell>
          <cell r="P816" t="str">
            <v>POINT (-65.779 -17.4107)</v>
          </cell>
          <cell r="Q816">
            <v>1</v>
          </cell>
          <cell r="R816">
            <v>0.79130434782608694</v>
          </cell>
        </row>
        <row r="817">
          <cell r="A817">
            <v>2591</v>
          </cell>
          <cell r="B817" t="str">
            <v>Nucleo Escolar Iluri GrandeTiraque</v>
          </cell>
          <cell r="C817" t="str">
            <v>Cochabamba</v>
          </cell>
          <cell r="D817" t="str">
            <v>Tiraque</v>
          </cell>
          <cell r="E817" t="str">
            <v>Tiraque</v>
          </cell>
          <cell r="F817" t="str">
            <v>Iluri Grande</v>
          </cell>
          <cell r="G817" t="str">
            <v>Nucleo Escolar Iluri Grande</v>
          </cell>
          <cell r="H817" t="str">
            <v>Zona 4625</v>
          </cell>
          <cell r="I817" t="str">
            <v>Iluri Grande</v>
          </cell>
          <cell r="J817" t="str">
            <v>25</v>
          </cell>
          <cell r="K817" t="str">
            <v>Uninominal</v>
          </cell>
          <cell r="L817" t="str">
            <v>-17.3967</v>
          </cell>
          <cell r="M817" t="str">
            <v>-65.8259</v>
          </cell>
          <cell r="N817" t="str">
            <v>Rural</v>
          </cell>
          <cell r="O817" t="str">
            <v>2591</v>
          </cell>
          <cell r="P817" t="str">
            <v>POINT (-65.8259 -17.3967)</v>
          </cell>
          <cell r="Q817">
            <v>3</v>
          </cell>
          <cell r="R817">
            <v>0.96033805031446529</v>
          </cell>
        </row>
        <row r="818">
          <cell r="A818">
            <v>2592</v>
          </cell>
          <cell r="B818" t="str">
            <v>Escuela Seccional PairumaniTiraque</v>
          </cell>
          <cell r="C818" t="str">
            <v>Cochabamba</v>
          </cell>
          <cell r="D818" t="str">
            <v>Tiraque</v>
          </cell>
          <cell r="E818" t="str">
            <v>Tiraque</v>
          </cell>
          <cell r="F818" t="str">
            <v>Pairumani</v>
          </cell>
          <cell r="G818" t="str">
            <v>Escuela Seccional Pairumani</v>
          </cell>
          <cell r="H818" t="str">
            <v>Zona 4626</v>
          </cell>
          <cell r="I818" t="str">
            <v>Pairumani</v>
          </cell>
          <cell r="J818" t="str">
            <v>25</v>
          </cell>
          <cell r="K818" t="str">
            <v>Uninominal</v>
          </cell>
          <cell r="L818" t="str">
            <v>-17.4773</v>
          </cell>
          <cell r="M818" t="str">
            <v>-65.4874</v>
          </cell>
          <cell r="N818" t="str">
            <v>Rural</v>
          </cell>
          <cell r="O818" t="str">
            <v>2592</v>
          </cell>
          <cell r="P818" t="str">
            <v>POINT (-65.4874 -17.4773)</v>
          </cell>
          <cell r="Q818">
            <v>4</v>
          </cell>
          <cell r="R818">
            <v>0.96088371227758085</v>
          </cell>
        </row>
        <row r="819">
          <cell r="A819">
            <v>2593</v>
          </cell>
          <cell r="B819" t="str">
            <v>Escuela Cotani BajoTiraque</v>
          </cell>
          <cell r="C819" t="str">
            <v>Cochabamba</v>
          </cell>
          <cell r="D819" t="str">
            <v>Tiraque</v>
          </cell>
          <cell r="E819" t="str">
            <v>Tiraque</v>
          </cell>
          <cell r="F819" t="str">
            <v>Cotani</v>
          </cell>
          <cell r="G819" t="str">
            <v>Escuela Cotani Bajo</v>
          </cell>
          <cell r="H819" t="str">
            <v>Zona 4625</v>
          </cell>
          <cell r="I819" t="str">
            <v>Cotani</v>
          </cell>
          <cell r="J819" t="str">
            <v>25</v>
          </cell>
          <cell r="K819" t="str">
            <v>Uninominal</v>
          </cell>
          <cell r="L819" t="str">
            <v>-17.381</v>
          </cell>
          <cell r="M819" t="str">
            <v>-65.7866</v>
          </cell>
          <cell r="N819" t="str">
            <v>Urbano</v>
          </cell>
          <cell r="O819" t="str">
            <v>2593</v>
          </cell>
          <cell r="P819" t="str">
            <v>POINT (-65.7866 -17.381)</v>
          </cell>
          <cell r="Q819">
            <v>5</v>
          </cell>
          <cell r="R819">
            <v>0.97520945202392451</v>
          </cell>
        </row>
        <row r="820">
          <cell r="A820">
            <v>2594</v>
          </cell>
          <cell r="B820" t="str">
            <v>U.E. 4 de AgostoTiraque</v>
          </cell>
          <cell r="C820" t="str">
            <v>Cochabamba</v>
          </cell>
          <cell r="D820" t="str">
            <v>Tiraque</v>
          </cell>
          <cell r="E820" t="str">
            <v>Tiraque</v>
          </cell>
          <cell r="F820" t="str">
            <v>Miska Mayu</v>
          </cell>
          <cell r="G820" t="str">
            <v>U.E. 4 de Agosto</v>
          </cell>
          <cell r="H820" t="str">
            <v>Zona 4436</v>
          </cell>
          <cell r="I820" t="str">
            <v>Miska Mayu</v>
          </cell>
          <cell r="J820" t="str">
            <v>25</v>
          </cell>
          <cell r="K820" t="str">
            <v>Uninominal</v>
          </cell>
          <cell r="L820" t="str">
            <v>-17.5426</v>
          </cell>
          <cell r="M820" t="str">
            <v>-65.465</v>
          </cell>
          <cell r="N820" t="str">
            <v>Urbano</v>
          </cell>
          <cell r="O820" t="str">
            <v>2594</v>
          </cell>
          <cell r="P820" t="str">
            <v>POINT (-65.465 -17.5426)</v>
          </cell>
          <cell r="Q820">
            <v>2</v>
          </cell>
          <cell r="R820" t="str">
            <v>Sin Info</v>
          </cell>
        </row>
        <row r="821">
          <cell r="A821">
            <v>2595</v>
          </cell>
          <cell r="B821" t="str">
            <v>Unidad Educativa RodeoTiraque</v>
          </cell>
          <cell r="C821" t="str">
            <v>Cochabamba</v>
          </cell>
          <cell r="D821" t="str">
            <v>Tiraque</v>
          </cell>
          <cell r="E821" t="str">
            <v>Tiraque</v>
          </cell>
          <cell r="F821" t="str">
            <v>Rodeo Bajo</v>
          </cell>
          <cell r="G821" t="str">
            <v>Unidad Educativa Rodeo</v>
          </cell>
          <cell r="H821" t="str">
            <v>Zona 4625</v>
          </cell>
          <cell r="I821" t="str">
            <v>En la Comunidad Rodeo Bajo</v>
          </cell>
          <cell r="J821" t="str">
            <v>25</v>
          </cell>
          <cell r="K821" t="str">
            <v>Uninominal</v>
          </cell>
          <cell r="L821" t="str">
            <v>-17.3928</v>
          </cell>
          <cell r="M821" t="str">
            <v>-65.7618</v>
          </cell>
          <cell r="N821" t="str">
            <v>Urbano</v>
          </cell>
          <cell r="O821" t="str">
            <v>2595</v>
          </cell>
          <cell r="P821" t="str">
            <v>POINT (-65.7618 -17.3928)</v>
          </cell>
          <cell r="Q821">
            <v>2</v>
          </cell>
          <cell r="R821">
            <v>0.90875679130712683</v>
          </cell>
        </row>
        <row r="822">
          <cell r="A822">
            <v>2596</v>
          </cell>
          <cell r="B822" t="str">
            <v>U.E. Boqueron K`AsaTiraque</v>
          </cell>
          <cell r="C822" t="str">
            <v>Cochabamba</v>
          </cell>
          <cell r="D822" t="str">
            <v>Tiraque</v>
          </cell>
          <cell r="E822" t="str">
            <v>Tiraque</v>
          </cell>
          <cell r="F822" t="str">
            <v>Boqueron K`asa</v>
          </cell>
          <cell r="G822" t="str">
            <v>U.E. Boqueron K`Asa</v>
          </cell>
          <cell r="H822" t="str">
            <v>Zona 4626</v>
          </cell>
          <cell r="I822" t="str">
            <v>Central Boqueron</v>
          </cell>
          <cell r="J822" t="str">
            <v>25</v>
          </cell>
          <cell r="K822" t="str">
            <v>Uninominal</v>
          </cell>
          <cell r="L822" t="str">
            <v>-17.4957</v>
          </cell>
          <cell r="M822" t="str">
            <v>-65.6173</v>
          </cell>
          <cell r="N822" t="str">
            <v>Rural</v>
          </cell>
          <cell r="O822" t="str">
            <v>2596</v>
          </cell>
          <cell r="P822" t="str">
            <v>POINT (-65.6173 -17.4957)</v>
          </cell>
          <cell r="Q822">
            <v>4</v>
          </cell>
          <cell r="R822">
            <v>0.9514545409733659</v>
          </cell>
        </row>
        <row r="823">
          <cell r="A823">
            <v>2597</v>
          </cell>
          <cell r="B823" t="str">
            <v>U. E. Luis Espinal CampsTiraque</v>
          </cell>
          <cell r="C823" t="str">
            <v>Cochabamba</v>
          </cell>
          <cell r="D823" t="str">
            <v>Tiraque</v>
          </cell>
          <cell r="E823" t="str">
            <v>Tiraque</v>
          </cell>
          <cell r="F823" t="str">
            <v>Toralapa Alta</v>
          </cell>
          <cell r="G823" t="str">
            <v>U. E. Luis Espinal Camps</v>
          </cell>
          <cell r="H823" t="str">
            <v>Zona 4626</v>
          </cell>
          <cell r="I823" t="str">
            <v>Toralapa Alta</v>
          </cell>
          <cell r="J823" t="str">
            <v>25</v>
          </cell>
          <cell r="K823" t="str">
            <v>Uninominal</v>
          </cell>
          <cell r="L823" t="str">
            <v>-17.472702</v>
          </cell>
          <cell r="M823" t="str">
            <v>-65.704214</v>
          </cell>
          <cell r="N823" t="str">
            <v>Rural</v>
          </cell>
          <cell r="O823" t="str">
            <v>2597</v>
          </cell>
          <cell r="P823" t="str">
            <v>POINT (-65.704214 -17.472702)</v>
          </cell>
          <cell r="Q823">
            <v>2</v>
          </cell>
          <cell r="R823">
            <v>0.97368421052631571</v>
          </cell>
        </row>
        <row r="824">
          <cell r="A824">
            <v>2598</v>
          </cell>
          <cell r="B824" t="str">
            <v>U.E. German Busch AShinahota</v>
          </cell>
          <cell r="C824" t="str">
            <v>Cochabamba</v>
          </cell>
          <cell r="D824" t="str">
            <v>Tiraque</v>
          </cell>
          <cell r="E824" t="str">
            <v>Shinahota</v>
          </cell>
          <cell r="F824" t="str">
            <v>Shinahota</v>
          </cell>
          <cell r="G824" t="str">
            <v>U.E. German Busch A</v>
          </cell>
          <cell r="H824" t="str">
            <v>Zona 4627</v>
          </cell>
          <cell r="I824" t="str">
            <v>Shinahota</v>
          </cell>
          <cell r="J824" t="str">
            <v>24</v>
          </cell>
          <cell r="K824" t="str">
            <v>Uninominal</v>
          </cell>
          <cell r="L824" t="str">
            <v>-16.9952</v>
          </cell>
          <cell r="M824" t="str">
            <v>-65.2477</v>
          </cell>
          <cell r="N824" t="str">
            <v>Urbano</v>
          </cell>
          <cell r="O824" t="str">
            <v>2598</v>
          </cell>
          <cell r="P824" t="str">
            <v>POINT (-65.2477 -16.9952)</v>
          </cell>
          <cell r="Q824">
            <v>20</v>
          </cell>
          <cell r="R824" t="str">
            <v>Sin Info</v>
          </cell>
        </row>
        <row r="825">
          <cell r="A825">
            <v>2599</v>
          </cell>
          <cell r="B825" t="str">
            <v>U.E. Mcal.SucreShinahota</v>
          </cell>
          <cell r="C825" t="str">
            <v>Cochabamba</v>
          </cell>
          <cell r="D825" t="str">
            <v>Tiraque</v>
          </cell>
          <cell r="E825" t="str">
            <v>Shinahota</v>
          </cell>
          <cell r="F825" t="str">
            <v>Shinahota</v>
          </cell>
          <cell r="G825" t="str">
            <v>U.E. Mcal.Sucre</v>
          </cell>
          <cell r="H825" t="str">
            <v>Zona 4627</v>
          </cell>
          <cell r="I825" t="str">
            <v>Shinahota</v>
          </cell>
          <cell r="J825" t="str">
            <v>24</v>
          </cell>
          <cell r="K825" t="str">
            <v>Uninominal</v>
          </cell>
          <cell r="L825" t="str">
            <v>-16.995779</v>
          </cell>
          <cell r="M825" t="str">
            <v>-65.255285</v>
          </cell>
          <cell r="N825" t="str">
            <v>Urbano</v>
          </cell>
          <cell r="O825" t="str">
            <v>2599</v>
          </cell>
          <cell r="P825" t="str">
            <v>POINT (-65.255285 -16.995779)</v>
          </cell>
          <cell r="Q825">
            <v>6</v>
          </cell>
          <cell r="R825" t="str">
            <v>Sin Info</v>
          </cell>
        </row>
        <row r="826">
          <cell r="A826">
            <v>2600</v>
          </cell>
          <cell r="B826" t="str">
            <v>U. E. Evo Morales AymaShinahota</v>
          </cell>
          <cell r="C826" t="str">
            <v>Cochabamba</v>
          </cell>
          <cell r="D826" t="str">
            <v>Tiraque</v>
          </cell>
          <cell r="E826" t="str">
            <v>Shinahota</v>
          </cell>
          <cell r="F826" t="str">
            <v>Shinahota</v>
          </cell>
          <cell r="G826" t="str">
            <v>U. E. Evo Morales Ayma</v>
          </cell>
          <cell r="H826" t="str">
            <v>Zona 4627</v>
          </cell>
          <cell r="I826" t="str">
            <v>OTB Palmeras, calle innominada, carretera a Villa Victoria</v>
          </cell>
          <cell r="J826" t="str">
            <v>24</v>
          </cell>
          <cell r="K826" t="str">
            <v>Uninominal</v>
          </cell>
          <cell r="L826" t="str">
            <v>-16.988214</v>
          </cell>
          <cell r="M826" t="str">
            <v>-65.246566</v>
          </cell>
          <cell r="N826" t="str">
            <v>Urbano</v>
          </cell>
          <cell r="O826" t="str">
            <v>2600</v>
          </cell>
          <cell r="P826" t="str">
            <v>POINT (-65.246566 -16.988214)</v>
          </cell>
          <cell r="Q826">
            <v>9</v>
          </cell>
          <cell r="R826" t="str">
            <v>Sin Info</v>
          </cell>
        </row>
        <row r="827">
          <cell r="A827">
            <v>2601</v>
          </cell>
          <cell r="B827" t="str">
            <v>U. E. German Busch BShinahota</v>
          </cell>
          <cell r="C827" t="str">
            <v>Cochabamba</v>
          </cell>
          <cell r="D827" t="str">
            <v>Tiraque</v>
          </cell>
          <cell r="E827" t="str">
            <v>Shinahota</v>
          </cell>
          <cell r="F827" t="str">
            <v>Shinahota</v>
          </cell>
          <cell r="G827" t="str">
            <v>U. E. German Busch B</v>
          </cell>
          <cell r="H827" t="str">
            <v>Zona 4627</v>
          </cell>
          <cell r="I827" t="str">
            <v>Shinahota - OTB Campo Ferial</v>
          </cell>
          <cell r="J827" t="str">
            <v>24</v>
          </cell>
          <cell r="K827" t="str">
            <v>Uninominal</v>
          </cell>
          <cell r="L827" t="str">
            <v>-16.994887</v>
          </cell>
          <cell r="M827" t="str">
            <v>-65.24119</v>
          </cell>
          <cell r="N827" t="str">
            <v>Urbano</v>
          </cell>
          <cell r="O827" t="str">
            <v>2601</v>
          </cell>
          <cell r="P827" t="str">
            <v>POINT (-65.24119 -16.994887)</v>
          </cell>
          <cell r="Q827">
            <v>6</v>
          </cell>
          <cell r="R827" t="str">
            <v>Sin Info</v>
          </cell>
        </row>
        <row r="828">
          <cell r="A828">
            <v>2602</v>
          </cell>
          <cell r="B828" t="str">
            <v>U.E. IbueloShinahota</v>
          </cell>
          <cell r="C828" t="str">
            <v>Cochabamba</v>
          </cell>
          <cell r="D828" t="str">
            <v>Tiraque</v>
          </cell>
          <cell r="E828" t="str">
            <v>Shinahota</v>
          </cell>
          <cell r="F828" t="str">
            <v>Ibuelo</v>
          </cell>
          <cell r="G828" t="str">
            <v>U.E. Ibuelo</v>
          </cell>
          <cell r="H828" t="str">
            <v>Zona 4629</v>
          </cell>
          <cell r="I828" t="str">
            <v>Ibuelo</v>
          </cell>
          <cell r="J828" t="str">
            <v>24</v>
          </cell>
          <cell r="K828" t="str">
            <v>Uninominal</v>
          </cell>
          <cell r="L828" t="str">
            <v>-16.969733</v>
          </cell>
          <cell r="M828" t="str">
            <v>-65.339625</v>
          </cell>
          <cell r="N828" t="str">
            <v>Urbano</v>
          </cell>
          <cell r="O828" t="str">
            <v>2602</v>
          </cell>
          <cell r="P828" t="str">
            <v>POINT (-65.339625 -16.969733)</v>
          </cell>
          <cell r="Q828">
            <v>12</v>
          </cell>
          <cell r="R828" t="str">
            <v>Sin Info</v>
          </cell>
        </row>
        <row r="829">
          <cell r="A829">
            <v>2603</v>
          </cell>
          <cell r="B829" t="str">
            <v>U. E. Marcelo Quiroga Santa CruzShinahota</v>
          </cell>
          <cell r="C829" t="str">
            <v>Cochabamba</v>
          </cell>
          <cell r="D829" t="str">
            <v>Tiraque</v>
          </cell>
          <cell r="E829" t="str">
            <v>Shinahota</v>
          </cell>
          <cell r="F829" t="str">
            <v>Santa Rosa  Ñ</v>
          </cell>
          <cell r="G829" t="str">
            <v>U. E. Marcelo Quiroga Santa Cruz</v>
          </cell>
          <cell r="H829" t="str">
            <v>Zona 4632</v>
          </cell>
          <cell r="I829" t="str">
            <v>Santa Rosa Ñ</v>
          </cell>
          <cell r="J829" t="str">
            <v>24</v>
          </cell>
          <cell r="K829" t="str">
            <v>Uninominal</v>
          </cell>
          <cell r="L829" t="str">
            <v>-17.0787</v>
          </cell>
          <cell r="M829" t="str">
            <v>-65.2233</v>
          </cell>
          <cell r="N829" t="str">
            <v>Urbano</v>
          </cell>
          <cell r="O829" t="str">
            <v>2603</v>
          </cell>
          <cell r="P829" t="str">
            <v>POINT (-65.2233 -17.0787)</v>
          </cell>
          <cell r="Q829">
            <v>5</v>
          </cell>
          <cell r="R829" t="str">
            <v>Sin Info</v>
          </cell>
        </row>
        <row r="830">
          <cell r="A830">
            <v>2604</v>
          </cell>
          <cell r="B830" t="str">
            <v>U.E. IvirizuShinahota</v>
          </cell>
          <cell r="C830" t="str">
            <v>Cochabamba</v>
          </cell>
          <cell r="D830" t="str">
            <v>Tiraque</v>
          </cell>
          <cell r="E830" t="str">
            <v>Shinahota</v>
          </cell>
          <cell r="F830" t="str">
            <v>Ivirizu Vandiola</v>
          </cell>
          <cell r="G830" t="str">
            <v>U.E. Ivirizu</v>
          </cell>
          <cell r="H830" t="str">
            <v>Zona 4637</v>
          </cell>
          <cell r="I830" t="str">
            <v>Ivirizu Vandiola</v>
          </cell>
          <cell r="J830" t="str">
            <v>24</v>
          </cell>
          <cell r="K830" t="str">
            <v>Uninominal</v>
          </cell>
          <cell r="L830" t="str">
            <v>-17.0594</v>
          </cell>
          <cell r="M830" t="str">
            <v>-65.4613</v>
          </cell>
          <cell r="N830" t="str">
            <v>Rural</v>
          </cell>
          <cell r="O830" t="str">
            <v>2604</v>
          </cell>
          <cell r="P830" t="str">
            <v>POINT (-65.4613 -17.0594)</v>
          </cell>
          <cell r="Q830">
            <v>3</v>
          </cell>
          <cell r="R830" t="str">
            <v>Sin Info</v>
          </cell>
        </row>
        <row r="831">
          <cell r="A831">
            <v>2605</v>
          </cell>
          <cell r="B831" t="str">
            <v>U.E. San IsidroShinahota</v>
          </cell>
          <cell r="C831" t="str">
            <v>Cochabamba</v>
          </cell>
          <cell r="D831" t="str">
            <v>Tiraque</v>
          </cell>
          <cell r="E831" t="str">
            <v>Shinahota</v>
          </cell>
          <cell r="F831" t="str">
            <v>San Isidro(Shinahota)</v>
          </cell>
          <cell r="G831" t="str">
            <v>U.E. San Isidro</v>
          </cell>
          <cell r="H831" t="str">
            <v>Zona 4635</v>
          </cell>
          <cell r="I831" t="str">
            <v>San Isidro, Calle 21 de Septiembre</v>
          </cell>
          <cell r="J831" t="str">
            <v>24</v>
          </cell>
          <cell r="K831" t="str">
            <v>Uninominal</v>
          </cell>
          <cell r="L831" t="str">
            <v>-16.9991</v>
          </cell>
          <cell r="M831" t="str">
            <v>-65.3202</v>
          </cell>
          <cell r="N831" t="str">
            <v>Urbano</v>
          </cell>
          <cell r="O831" t="str">
            <v>2605</v>
          </cell>
          <cell r="P831" t="str">
            <v>POINT (-65.3202 -16.9991)</v>
          </cell>
          <cell r="Q831">
            <v>6</v>
          </cell>
          <cell r="R831" t="str">
            <v>Sin Info</v>
          </cell>
        </row>
        <row r="832">
          <cell r="A832">
            <v>2606</v>
          </cell>
          <cell r="B832" t="str">
            <v>U.E. 4 de AbrilShinahota</v>
          </cell>
          <cell r="C832" t="str">
            <v>Cochabamba</v>
          </cell>
          <cell r="D832" t="str">
            <v>Tiraque</v>
          </cell>
          <cell r="E832" t="str">
            <v>Shinahota</v>
          </cell>
          <cell r="F832" t="str">
            <v>4 de Abril</v>
          </cell>
          <cell r="G832" t="str">
            <v>U.E. 4 de Abril</v>
          </cell>
          <cell r="H832" t="str">
            <v>Zona 4634</v>
          </cell>
          <cell r="I832" t="str">
            <v>4 de Abril</v>
          </cell>
          <cell r="J832" t="str">
            <v>24</v>
          </cell>
          <cell r="K832" t="str">
            <v>Uninominal</v>
          </cell>
          <cell r="L832" t="str">
            <v>-17.038186</v>
          </cell>
          <cell r="M832" t="str">
            <v>-65.271129</v>
          </cell>
          <cell r="N832" t="str">
            <v>Urbano</v>
          </cell>
          <cell r="O832" t="str">
            <v>2606</v>
          </cell>
          <cell r="P832" t="str">
            <v>POINT (-65.271129 -17.038186)</v>
          </cell>
          <cell r="Q832">
            <v>2</v>
          </cell>
          <cell r="R832" t="str">
            <v>Sin Info</v>
          </cell>
        </row>
        <row r="833">
          <cell r="A833">
            <v>2607</v>
          </cell>
          <cell r="B833" t="str">
            <v>U.E. Churo GrandeShinahota</v>
          </cell>
          <cell r="C833" t="str">
            <v>Cochabamba</v>
          </cell>
          <cell r="D833" t="str">
            <v>Tiraque</v>
          </cell>
          <cell r="E833" t="str">
            <v>Shinahota</v>
          </cell>
          <cell r="F833" t="str">
            <v>12 de Agosto</v>
          </cell>
          <cell r="G833" t="str">
            <v>U.E. Churo Grande</v>
          </cell>
          <cell r="H833" t="str">
            <v>Zona 4637</v>
          </cell>
          <cell r="I833" t="str">
            <v>12 de Agosto</v>
          </cell>
          <cell r="J833" t="str">
            <v>24</v>
          </cell>
          <cell r="K833" t="str">
            <v>Uninominal</v>
          </cell>
          <cell r="L833" t="str">
            <v>-17.051899</v>
          </cell>
          <cell r="M833" t="str">
            <v>-65.333443</v>
          </cell>
          <cell r="N833" t="str">
            <v>Rural</v>
          </cell>
          <cell r="O833" t="str">
            <v>2607</v>
          </cell>
          <cell r="P833" t="str">
            <v>POINT (-65.333443 -17.051899)</v>
          </cell>
          <cell r="Q833">
            <v>2</v>
          </cell>
          <cell r="R833" t="str">
            <v>Sin Info</v>
          </cell>
        </row>
        <row r="834">
          <cell r="A834">
            <v>2608</v>
          </cell>
          <cell r="B834" t="str">
            <v>U.E. Majo PampaShinahota</v>
          </cell>
          <cell r="C834" t="str">
            <v>Cochabamba</v>
          </cell>
          <cell r="D834" t="str">
            <v>Tiraque</v>
          </cell>
          <cell r="E834" t="str">
            <v>Shinahota</v>
          </cell>
          <cell r="F834" t="str">
            <v>Majo Pampa</v>
          </cell>
          <cell r="G834" t="str">
            <v>U.E. Majo Pampa</v>
          </cell>
          <cell r="H834" t="str">
            <v>Zona 4637</v>
          </cell>
          <cell r="I834" t="str">
            <v>Majo Pampa</v>
          </cell>
          <cell r="J834" t="str">
            <v>24</v>
          </cell>
          <cell r="K834" t="str">
            <v>Uninominal</v>
          </cell>
          <cell r="L834" t="str">
            <v>-17.0324</v>
          </cell>
          <cell r="M834" t="str">
            <v>-65.3629</v>
          </cell>
          <cell r="N834" t="str">
            <v>Rural</v>
          </cell>
          <cell r="O834" t="str">
            <v>2608</v>
          </cell>
          <cell r="P834" t="str">
            <v>POINT (-65.3629 -17.0324)</v>
          </cell>
          <cell r="Q834">
            <v>2</v>
          </cell>
          <cell r="R834" t="str">
            <v>Sin Info</v>
          </cell>
        </row>
        <row r="835">
          <cell r="A835">
            <v>2609</v>
          </cell>
          <cell r="B835" t="str">
            <v>U.E. Puerto AromaShinahota</v>
          </cell>
          <cell r="C835" t="str">
            <v>Cochabamba</v>
          </cell>
          <cell r="D835" t="str">
            <v>Tiraque</v>
          </cell>
          <cell r="E835" t="str">
            <v>Shinahota</v>
          </cell>
          <cell r="F835" t="str">
            <v>Nueva Alianza</v>
          </cell>
          <cell r="G835" t="str">
            <v>U.E. Puerto Aroma</v>
          </cell>
          <cell r="H835" t="str">
            <v>Zona 4637</v>
          </cell>
          <cell r="I835" t="str">
            <v>Nueva Alianza</v>
          </cell>
          <cell r="J835" t="str">
            <v>24</v>
          </cell>
          <cell r="K835" t="str">
            <v>Uninominal</v>
          </cell>
          <cell r="L835" t="str">
            <v>-17.129</v>
          </cell>
          <cell r="M835" t="str">
            <v>-65.1772</v>
          </cell>
          <cell r="N835" t="str">
            <v>Rural</v>
          </cell>
          <cell r="O835" t="str">
            <v>2609</v>
          </cell>
          <cell r="P835" t="str">
            <v>POINT (-65.1772 -17.129)</v>
          </cell>
          <cell r="Q835">
            <v>1</v>
          </cell>
          <cell r="R835" t="str">
            <v>Sin Info</v>
          </cell>
        </row>
        <row r="836">
          <cell r="A836">
            <v>2610</v>
          </cell>
          <cell r="B836" t="str">
            <v>U.E. San LuisShinahota</v>
          </cell>
          <cell r="C836" t="str">
            <v>Cochabamba</v>
          </cell>
          <cell r="D836" t="str">
            <v>Tiraque</v>
          </cell>
          <cell r="E836" t="str">
            <v>Shinahota</v>
          </cell>
          <cell r="F836" t="str">
            <v>San Luis</v>
          </cell>
          <cell r="G836" t="str">
            <v>U.E. San Luis</v>
          </cell>
          <cell r="H836" t="str">
            <v>Zona 4630</v>
          </cell>
          <cell r="I836" t="str">
            <v>San Luis</v>
          </cell>
          <cell r="J836" t="str">
            <v>24</v>
          </cell>
          <cell r="K836" t="str">
            <v>Uninominal</v>
          </cell>
          <cell r="L836" t="str">
            <v>-16.9597</v>
          </cell>
          <cell r="M836" t="str">
            <v>-65.2814</v>
          </cell>
          <cell r="N836" t="str">
            <v>Urbano</v>
          </cell>
          <cell r="O836" t="str">
            <v>2610</v>
          </cell>
          <cell r="P836" t="str">
            <v>POINT (-65.2814 -16.9597)</v>
          </cell>
          <cell r="Q836">
            <v>4</v>
          </cell>
          <cell r="R836" t="str">
            <v>Sin Info</v>
          </cell>
        </row>
        <row r="837">
          <cell r="A837">
            <v>2611</v>
          </cell>
          <cell r="B837" t="str">
            <v>U.E. Demetrio CanelasShinahota</v>
          </cell>
          <cell r="C837" t="str">
            <v>Cochabamba</v>
          </cell>
          <cell r="D837" t="str">
            <v>Tiraque</v>
          </cell>
          <cell r="E837" t="str">
            <v>Shinahota</v>
          </cell>
          <cell r="F837" t="str">
            <v>Lauca Eñe</v>
          </cell>
          <cell r="G837" t="str">
            <v>U.E. Demetrio Canelas</v>
          </cell>
          <cell r="H837" t="str">
            <v>Zona 4627</v>
          </cell>
          <cell r="I837" t="str">
            <v>Lauca Eñe</v>
          </cell>
          <cell r="J837" t="str">
            <v>24</v>
          </cell>
          <cell r="K837" t="str">
            <v>Uninominal</v>
          </cell>
          <cell r="L837" t="str">
            <v>-16.9947</v>
          </cell>
          <cell r="M837" t="str">
            <v>-65.226</v>
          </cell>
          <cell r="N837" t="str">
            <v>Urbano</v>
          </cell>
          <cell r="O837" t="str">
            <v>2611</v>
          </cell>
          <cell r="P837" t="str">
            <v>POINT (-65.226 -16.9947)</v>
          </cell>
          <cell r="Q837">
            <v>4</v>
          </cell>
          <cell r="R837" t="str">
            <v>Sin Info</v>
          </cell>
        </row>
        <row r="838">
          <cell r="A838">
            <v>2612</v>
          </cell>
          <cell r="B838" t="str">
            <v>U.E. Agrigento BShinahota</v>
          </cell>
          <cell r="C838" t="str">
            <v>Cochabamba</v>
          </cell>
          <cell r="D838" t="str">
            <v>Tiraque</v>
          </cell>
          <cell r="E838" t="str">
            <v>Shinahota</v>
          </cell>
          <cell r="F838" t="str">
            <v>Agrigento B</v>
          </cell>
          <cell r="G838" t="str">
            <v>U.E. Agrigento B</v>
          </cell>
          <cell r="H838" t="str">
            <v>Zona 4636</v>
          </cell>
          <cell r="I838" t="str">
            <v>Agrigento B - Camino a Mojo Pampa</v>
          </cell>
          <cell r="J838" t="str">
            <v>24</v>
          </cell>
          <cell r="K838" t="str">
            <v>Uninominal</v>
          </cell>
          <cell r="L838" t="str">
            <v>-16.992884</v>
          </cell>
          <cell r="M838" t="str">
            <v>-65.410503</v>
          </cell>
          <cell r="N838" t="str">
            <v>Urbano</v>
          </cell>
          <cell r="O838" t="str">
            <v>2612</v>
          </cell>
          <cell r="P838" t="str">
            <v>POINT (-65.410503 -16.992884)</v>
          </cell>
          <cell r="Q838">
            <v>2</v>
          </cell>
          <cell r="R838" t="str">
            <v>Sin Info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601E-1AA2-4249-A501-D299C27523D7}">
  <dimension ref="A1:U838"/>
  <sheetViews>
    <sheetView tabSelected="1" workbookViewId="0">
      <selection activeCell="A132" sqref="A132"/>
    </sheetView>
  </sheetViews>
  <sheetFormatPr baseColWidth="10" defaultColWidth="9.140625" defaultRowHeight="15" x14ac:dyDescent="0.25"/>
  <cols>
    <col min="2" max="2" width="12.28515625" bestFit="1" customWidth="1"/>
    <col min="3" max="3" width="14.28515625" bestFit="1" customWidth="1"/>
    <col min="4" max="4" width="23.28515625" bestFit="1" customWidth="1"/>
    <col min="5" max="5" width="48.28515625" bestFit="1" customWidth="1"/>
    <col min="6" max="6" width="64.85546875" bestFit="1" customWidth="1"/>
    <col min="7" max="7" width="30.28515625" bestFit="1" customWidth="1"/>
    <col min="8" max="8" width="55.28515625" customWidth="1"/>
    <col min="10" max="17" width="9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1776</v>
      </c>
      <c r="B2" s="2" t="s">
        <v>19</v>
      </c>
      <c r="C2" s="2" t="s">
        <v>20</v>
      </c>
      <c r="D2" s="2" t="s">
        <v>19</v>
      </c>
      <c r="E2" s="2" t="s">
        <v>19</v>
      </c>
      <c r="F2" s="2" t="s">
        <v>21</v>
      </c>
      <c r="G2" s="2" t="s">
        <v>22</v>
      </c>
      <c r="H2" s="2" t="s">
        <v>23</v>
      </c>
      <c r="I2" s="2">
        <v>20</v>
      </c>
      <c r="J2" s="2" t="s">
        <v>24</v>
      </c>
      <c r="K2" s="2">
        <v>-17.355</v>
      </c>
      <c r="L2" s="2">
        <v>-66.189899999999994</v>
      </c>
      <c r="M2" s="2" t="s">
        <v>25</v>
      </c>
      <c r="N2" s="2">
        <v>1776</v>
      </c>
      <c r="O2" s="2" t="s">
        <v>26</v>
      </c>
      <c r="P2" s="2">
        <v>23</v>
      </c>
      <c r="Q2" s="2">
        <v>3</v>
      </c>
      <c r="R2" s="2">
        <f>IFERROR(VLOOKUP(A2,'[1]Recintos Cochabamba'!A$1:R$838,17,FALSE),0)</f>
        <v>24</v>
      </c>
      <c r="S2" s="3">
        <f>IFERROR(VLOOKUP(A2,'[1]Recintos Cochabamba'!A$1:T$838,18,FALSE),0)</f>
        <v>0.36242942710599108</v>
      </c>
    </row>
    <row r="3" spans="1:19" x14ac:dyDescent="0.25">
      <c r="A3" s="2">
        <v>1777</v>
      </c>
      <c r="B3" s="2" t="s">
        <v>19</v>
      </c>
      <c r="C3" s="2" t="s">
        <v>20</v>
      </c>
      <c r="D3" s="2" t="s">
        <v>19</v>
      </c>
      <c r="E3" s="2" t="s">
        <v>19</v>
      </c>
      <c r="F3" s="2" t="s">
        <v>27</v>
      </c>
      <c r="G3" s="2" t="s">
        <v>28</v>
      </c>
      <c r="H3" s="2" t="s">
        <v>29</v>
      </c>
      <c r="I3" s="2">
        <v>20</v>
      </c>
      <c r="J3" s="2" t="s">
        <v>24</v>
      </c>
      <c r="K3" s="2">
        <v>-17.342700000000001</v>
      </c>
      <c r="L3" s="2">
        <v>-66.178600000000003</v>
      </c>
      <c r="M3" s="2" t="s">
        <v>25</v>
      </c>
      <c r="N3" s="2">
        <v>1777</v>
      </c>
      <c r="O3" s="2" t="s">
        <v>30</v>
      </c>
      <c r="P3" s="2">
        <v>19</v>
      </c>
      <c r="Q3" s="2">
        <v>2</v>
      </c>
      <c r="R3" s="2">
        <f>IFERROR(VLOOKUP(A3,'[1]Recintos Cochabamba'!A$1:R$838,17,FALSE),0)</f>
        <v>35</v>
      </c>
      <c r="S3" s="3">
        <f>IFERROR(VLOOKUP(A3,'[1]Recintos Cochabamba'!A$1:T$838,18,FALSE),0)</f>
        <v>0.49450334793269834</v>
      </c>
    </row>
    <row r="4" spans="1:19" x14ac:dyDescent="0.25">
      <c r="A4" s="2">
        <v>1778</v>
      </c>
      <c r="B4" s="2" t="s">
        <v>19</v>
      </c>
      <c r="C4" s="2" t="s">
        <v>20</v>
      </c>
      <c r="D4" s="2" t="s">
        <v>19</v>
      </c>
      <c r="E4" s="2" t="s">
        <v>19</v>
      </c>
      <c r="F4" s="2" t="s">
        <v>31</v>
      </c>
      <c r="G4" s="2" t="s">
        <v>32</v>
      </c>
      <c r="H4" s="2" t="s">
        <v>33</v>
      </c>
      <c r="I4" s="2">
        <v>20</v>
      </c>
      <c r="J4" s="2" t="s">
        <v>24</v>
      </c>
      <c r="K4" s="2">
        <v>-17.354700000000001</v>
      </c>
      <c r="L4" s="2">
        <v>-66.167500000000004</v>
      </c>
      <c r="M4" s="2" t="s">
        <v>25</v>
      </c>
      <c r="N4" s="2">
        <v>1778</v>
      </c>
      <c r="O4" s="2" t="s">
        <v>34</v>
      </c>
      <c r="P4" s="2">
        <v>19</v>
      </c>
      <c r="Q4" s="2">
        <v>2</v>
      </c>
      <c r="R4" s="2">
        <f>IFERROR(VLOOKUP(A4,'[1]Recintos Cochabamba'!A$1:R$838,17,FALSE),0)</f>
        <v>26</v>
      </c>
      <c r="S4" s="3">
        <f>IFERROR(VLOOKUP(A4,'[1]Recintos Cochabamba'!A$1:T$838,18,FALSE),0)</f>
        <v>0.39547091680691765</v>
      </c>
    </row>
    <row r="5" spans="1:19" x14ac:dyDescent="0.25">
      <c r="A5" s="2">
        <v>1779</v>
      </c>
      <c r="B5" s="2" t="s">
        <v>19</v>
      </c>
      <c r="C5" s="2" t="s">
        <v>20</v>
      </c>
      <c r="D5" s="2" t="s">
        <v>19</v>
      </c>
      <c r="E5" s="2" t="s">
        <v>19</v>
      </c>
      <c r="F5" s="2" t="s">
        <v>35</v>
      </c>
      <c r="G5" s="2" t="s">
        <v>36</v>
      </c>
      <c r="H5" s="2" t="s">
        <v>37</v>
      </c>
      <c r="I5" s="2">
        <v>20</v>
      </c>
      <c r="J5" s="2" t="s">
        <v>24</v>
      </c>
      <c r="K5" s="2">
        <v>-17.362400000000001</v>
      </c>
      <c r="L5" s="2">
        <v>-66.189300000000003</v>
      </c>
      <c r="M5" s="2" t="s">
        <v>25</v>
      </c>
      <c r="N5" s="2">
        <v>1779</v>
      </c>
      <c r="O5" s="2" t="s">
        <v>38</v>
      </c>
      <c r="P5" s="2">
        <v>23</v>
      </c>
      <c r="Q5" s="2">
        <v>3</v>
      </c>
      <c r="R5" s="2">
        <f>IFERROR(VLOOKUP(A5,'[1]Recintos Cochabamba'!A$1:R$838,17,FALSE),0)</f>
        <v>22</v>
      </c>
      <c r="S5" s="3">
        <f>IFERROR(VLOOKUP(A5,'[1]Recintos Cochabamba'!A$1:T$838,18,FALSE),0)</f>
        <v>0.31354512557425618</v>
      </c>
    </row>
    <row r="6" spans="1:19" x14ac:dyDescent="0.25">
      <c r="A6" s="2">
        <v>1780</v>
      </c>
      <c r="B6" s="2" t="s">
        <v>19</v>
      </c>
      <c r="C6" s="2" t="s">
        <v>20</v>
      </c>
      <c r="D6" s="2" t="s">
        <v>19</v>
      </c>
      <c r="E6" s="2" t="s">
        <v>19</v>
      </c>
      <c r="F6" s="2" t="s">
        <v>39</v>
      </c>
      <c r="G6" s="2" t="s">
        <v>40</v>
      </c>
      <c r="H6" s="2" t="s">
        <v>41</v>
      </c>
      <c r="I6" s="2">
        <v>21</v>
      </c>
      <c r="J6" s="2" t="s">
        <v>24</v>
      </c>
      <c r="K6" s="2">
        <v>-17.3977</v>
      </c>
      <c r="L6" s="2">
        <v>-66.151799999999994</v>
      </c>
      <c r="M6" s="2" t="s">
        <v>25</v>
      </c>
      <c r="N6" s="2">
        <v>1780</v>
      </c>
      <c r="O6" s="2" t="s">
        <v>42</v>
      </c>
      <c r="P6" s="2">
        <v>17</v>
      </c>
      <c r="Q6" s="2">
        <v>10</v>
      </c>
      <c r="R6" s="2">
        <f>IFERROR(VLOOKUP(A6,'[1]Recintos Cochabamba'!A$1:R$838,17,FALSE),0)</f>
        <v>14</v>
      </c>
      <c r="S6" s="3">
        <f>IFERROR(VLOOKUP(A6,'[1]Recintos Cochabamba'!A$1:T$838,18,FALSE),0)</f>
        <v>0.26058292161101171</v>
      </c>
    </row>
    <row r="7" spans="1:19" x14ac:dyDescent="0.25">
      <c r="A7" s="2">
        <v>1781</v>
      </c>
      <c r="B7" s="2" t="s">
        <v>19</v>
      </c>
      <c r="C7" s="2" t="s">
        <v>20</v>
      </c>
      <c r="D7" s="2" t="s">
        <v>19</v>
      </c>
      <c r="E7" s="2" t="s">
        <v>19</v>
      </c>
      <c r="F7" s="2" t="s">
        <v>43</v>
      </c>
      <c r="G7" s="2" t="s">
        <v>44</v>
      </c>
      <c r="H7" s="2" t="s">
        <v>45</v>
      </c>
      <c r="I7" s="2">
        <v>20</v>
      </c>
      <c r="J7" s="2" t="s">
        <v>24</v>
      </c>
      <c r="K7" s="2">
        <v>-17.363800000000001</v>
      </c>
      <c r="L7" s="2">
        <v>-66.176400000000001</v>
      </c>
      <c r="M7" s="2" t="s">
        <v>25</v>
      </c>
      <c r="N7" s="2">
        <v>1781</v>
      </c>
      <c r="O7" s="2" t="s">
        <v>46</v>
      </c>
      <c r="P7" s="2">
        <v>19</v>
      </c>
      <c r="Q7" s="2">
        <v>2</v>
      </c>
      <c r="R7" s="2">
        <f>IFERROR(VLOOKUP(A7,'[1]Recintos Cochabamba'!A$1:R$838,17,FALSE),0)</f>
        <v>27</v>
      </c>
      <c r="S7" s="3">
        <f>IFERROR(VLOOKUP(A7,'[1]Recintos Cochabamba'!A$1:T$838,18,FALSE),0)</f>
        <v>0.27600068727169008</v>
      </c>
    </row>
    <row r="8" spans="1:19" x14ac:dyDescent="0.25">
      <c r="A8" s="2">
        <v>1782</v>
      </c>
      <c r="B8" s="2" t="s">
        <v>19</v>
      </c>
      <c r="C8" s="2" t="s">
        <v>20</v>
      </c>
      <c r="D8" s="2" t="s">
        <v>19</v>
      </c>
      <c r="E8" s="2" t="s">
        <v>19</v>
      </c>
      <c r="F8" s="2" t="s">
        <v>47</v>
      </c>
      <c r="G8" s="2" t="s">
        <v>48</v>
      </c>
      <c r="H8" s="2" t="s">
        <v>49</v>
      </c>
      <c r="I8" s="2">
        <v>20</v>
      </c>
      <c r="J8" s="2" t="s">
        <v>24</v>
      </c>
      <c r="K8" s="2">
        <v>-17.364599999999999</v>
      </c>
      <c r="L8" s="2">
        <v>-66.165300000000002</v>
      </c>
      <c r="M8" s="2" t="s">
        <v>25</v>
      </c>
      <c r="N8" s="2">
        <v>1782</v>
      </c>
      <c r="O8" s="2" t="s">
        <v>50</v>
      </c>
      <c r="P8" s="2">
        <v>19</v>
      </c>
      <c r="Q8" s="2">
        <v>2</v>
      </c>
      <c r="R8" s="2">
        <f>IFERROR(VLOOKUP(A8,'[1]Recintos Cochabamba'!A$1:R$838,17,FALSE),0)</f>
        <v>16</v>
      </c>
      <c r="S8" s="3">
        <f>IFERROR(VLOOKUP(A8,'[1]Recintos Cochabamba'!A$1:T$838,18,FALSE),0)</f>
        <v>0.24604281059056765</v>
      </c>
    </row>
    <row r="9" spans="1:19" x14ac:dyDescent="0.25">
      <c r="A9" s="2">
        <v>1783</v>
      </c>
      <c r="B9" s="2" t="s">
        <v>19</v>
      </c>
      <c r="C9" s="2" t="s">
        <v>20</v>
      </c>
      <c r="D9" s="2" t="s">
        <v>19</v>
      </c>
      <c r="E9" s="2" t="s">
        <v>19</v>
      </c>
      <c r="F9" s="2" t="s">
        <v>51</v>
      </c>
      <c r="G9" s="2" t="s">
        <v>52</v>
      </c>
      <c r="H9" s="2" t="s">
        <v>53</v>
      </c>
      <c r="I9" s="2">
        <v>20</v>
      </c>
      <c r="J9" s="2" t="s">
        <v>24</v>
      </c>
      <c r="K9" s="2">
        <v>-17.3614</v>
      </c>
      <c r="L9" s="2">
        <v>-66.158799999999999</v>
      </c>
      <c r="M9" s="2" t="s">
        <v>25</v>
      </c>
      <c r="N9" s="2">
        <v>1783</v>
      </c>
      <c r="O9" s="2" t="s">
        <v>54</v>
      </c>
      <c r="P9" s="2">
        <v>19</v>
      </c>
      <c r="Q9" s="2">
        <v>2</v>
      </c>
      <c r="R9" s="2">
        <f>IFERROR(VLOOKUP(A9,'[1]Recintos Cochabamba'!A$1:R$838,17,FALSE),0)</f>
        <v>20</v>
      </c>
      <c r="S9" s="3">
        <f>IFERROR(VLOOKUP(A9,'[1]Recintos Cochabamba'!A$1:T$838,18,FALSE),0)</f>
        <v>0.33780701750679604</v>
      </c>
    </row>
    <row r="10" spans="1:19" x14ac:dyDescent="0.25">
      <c r="A10" s="2">
        <v>1784</v>
      </c>
      <c r="B10" s="2" t="s">
        <v>19</v>
      </c>
      <c r="C10" s="2" t="s">
        <v>20</v>
      </c>
      <c r="D10" s="2" t="s">
        <v>19</v>
      </c>
      <c r="E10" s="2" t="s">
        <v>19</v>
      </c>
      <c r="F10" s="2" t="s">
        <v>55</v>
      </c>
      <c r="G10" s="2" t="s">
        <v>56</v>
      </c>
      <c r="H10" s="2" t="s">
        <v>57</v>
      </c>
      <c r="I10" s="2">
        <v>20</v>
      </c>
      <c r="J10" s="2" t="s">
        <v>24</v>
      </c>
      <c r="K10" s="2">
        <v>-17.361899999999999</v>
      </c>
      <c r="L10" s="2">
        <v>-66.162000000000006</v>
      </c>
      <c r="M10" s="2" t="s">
        <v>25</v>
      </c>
      <c r="N10" s="2">
        <v>1784</v>
      </c>
      <c r="O10" s="2" t="s">
        <v>58</v>
      </c>
      <c r="P10" s="2">
        <v>19</v>
      </c>
      <c r="Q10" s="2">
        <v>2</v>
      </c>
      <c r="R10" s="2">
        <f>IFERROR(VLOOKUP(A10,'[1]Recintos Cochabamba'!A$1:R$838,17,FALSE),0)</f>
        <v>27</v>
      </c>
      <c r="S10" s="3">
        <f>IFERROR(VLOOKUP(A10,'[1]Recintos Cochabamba'!A$1:T$838,18,FALSE),0)</f>
        <v>0.2206668901404005</v>
      </c>
    </row>
    <row r="11" spans="1:19" x14ac:dyDescent="0.25">
      <c r="A11" s="2">
        <v>1785</v>
      </c>
      <c r="B11" s="2" t="s">
        <v>19</v>
      </c>
      <c r="C11" s="2" t="s">
        <v>20</v>
      </c>
      <c r="D11" s="2" t="s">
        <v>19</v>
      </c>
      <c r="E11" s="2" t="s">
        <v>19</v>
      </c>
      <c r="F11" s="2" t="s">
        <v>59</v>
      </c>
      <c r="G11" s="2" t="s">
        <v>60</v>
      </c>
      <c r="H11" s="2" t="s">
        <v>61</v>
      </c>
      <c r="I11" s="2">
        <v>20</v>
      </c>
      <c r="J11" s="2" t="s">
        <v>24</v>
      </c>
      <c r="K11" s="2">
        <v>-17.361799999999999</v>
      </c>
      <c r="L11" s="2">
        <v>-66.147300000000001</v>
      </c>
      <c r="M11" s="2" t="s">
        <v>25</v>
      </c>
      <c r="N11" s="2">
        <v>1785</v>
      </c>
      <c r="O11" s="2" t="s">
        <v>62</v>
      </c>
      <c r="P11" s="2">
        <v>41</v>
      </c>
      <c r="Q11" s="2">
        <v>1</v>
      </c>
      <c r="R11" s="2">
        <f>IFERROR(VLOOKUP(A11,'[1]Recintos Cochabamba'!A$1:R$838,17,FALSE),0)</f>
        <v>20</v>
      </c>
      <c r="S11" s="3">
        <f>IFERROR(VLOOKUP(A11,'[1]Recintos Cochabamba'!A$1:T$838,18,FALSE),0)</f>
        <v>0.24768250203765424</v>
      </c>
    </row>
    <row r="12" spans="1:19" x14ac:dyDescent="0.25">
      <c r="A12" s="2">
        <v>1786</v>
      </c>
      <c r="B12" s="2" t="s">
        <v>19</v>
      </c>
      <c r="C12" s="2" t="s">
        <v>20</v>
      </c>
      <c r="D12" s="2" t="s">
        <v>19</v>
      </c>
      <c r="E12" s="2" t="s">
        <v>19</v>
      </c>
      <c r="F12" s="2" t="s">
        <v>63</v>
      </c>
      <c r="G12" s="2" t="s">
        <v>64</v>
      </c>
      <c r="H12" s="2" t="s">
        <v>65</v>
      </c>
      <c r="I12" s="2">
        <v>21</v>
      </c>
      <c r="J12" s="2" t="s">
        <v>24</v>
      </c>
      <c r="K12" s="2">
        <v>-17.381</v>
      </c>
      <c r="L12" s="2">
        <v>-66.152600000000007</v>
      </c>
      <c r="M12" s="2" t="s">
        <v>25</v>
      </c>
      <c r="N12" s="2">
        <v>1786</v>
      </c>
      <c r="O12" s="2" t="s">
        <v>66</v>
      </c>
      <c r="P12" s="2">
        <v>17</v>
      </c>
      <c r="Q12" s="2">
        <v>10</v>
      </c>
      <c r="R12" s="2">
        <f>IFERROR(VLOOKUP(A12,'[1]Recintos Cochabamba'!A$1:R$838,17,FALSE),0)</f>
        <v>13</v>
      </c>
      <c r="S12" s="3">
        <f>IFERROR(VLOOKUP(A12,'[1]Recintos Cochabamba'!A$1:T$838,18,FALSE),0)</f>
        <v>0.15601703250487484</v>
      </c>
    </row>
    <row r="13" spans="1:19" x14ac:dyDescent="0.25">
      <c r="A13" s="2">
        <v>1787</v>
      </c>
      <c r="B13" s="2" t="s">
        <v>19</v>
      </c>
      <c r="C13" s="2" t="s">
        <v>20</v>
      </c>
      <c r="D13" s="2" t="s">
        <v>19</v>
      </c>
      <c r="E13" s="2" t="s">
        <v>19</v>
      </c>
      <c r="F13" s="2" t="s">
        <v>67</v>
      </c>
      <c r="G13" s="2" t="s">
        <v>68</v>
      </c>
      <c r="H13" s="2" t="s">
        <v>69</v>
      </c>
      <c r="I13" s="2">
        <v>20</v>
      </c>
      <c r="J13" s="2" t="s">
        <v>24</v>
      </c>
      <c r="K13" s="2">
        <v>-17.3689</v>
      </c>
      <c r="L13" s="2">
        <v>-66.154300000000006</v>
      </c>
      <c r="M13" s="2" t="s">
        <v>25</v>
      </c>
      <c r="N13" s="2">
        <v>1787</v>
      </c>
      <c r="O13" s="2" t="s">
        <v>70</v>
      </c>
      <c r="P13" s="2">
        <v>13</v>
      </c>
      <c r="Q13" s="2">
        <v>12</v>
      </c>
      <c r="R13" s="2">
        <f>IFERROR(VLOOKUP(A13,'[1]Recintos Cochabamba'!A$1:R$838,17,FALSE),0)</f>
        <v>35</v>
      </c>
      <c r="S13" s="3">
        <f>IFERROR(VLOOKUP(A13,'[1]Recintos Cochabamba'!A$1:T$838,18,FALSE),0)</f>
        <v>0.17903330588139477</v>
      </c>
    </row>
    <row r="14" spans="1:19" x14ac:dyDescent="0.25">
      <c r="A14" s="2">
        <v>1788</v>
      </c>
      <c r="B14" s="2" t="s">
        <v>19</v>
      </c>
      <c r="C14" s="2" t="s">
        <v>20</v>
      </c>
      <c r="D14" s="2" t="s">
        <v>19</v>
      </c>
      <c r="E14" s="2" t="s">
        <v>19</v>
      </c>
      <c r="F14" s="2" t="s">
        <v>71</v>
      </c>
      <c r="G14" s="2" t="s">
        <v>72</v>
      </c>
      <c r="H14" s="2" t="s">
        <v>73</v>
      </c>
      <c r="I14" s="2">
        <v>20</v>
      </c>
      <c r="J14" s="2" t="s">
        <v>24</v>
      </c>
      <c r="K14" s="2">
        <v>-17.367999999999999</v>
      </c>
      <c r="L14" s="2">
        <v>-66.158100000000005</v>
      </c>
      <c r="M14" s="2" t="s">
        <v>25</v>
      </c>
      <c r="N14" s="2">
        <v>1788</v>
      </c>
      <c r="O14" s="2" t="s">
        <v>74</v>
      </c>
      <c r="P14" s="2">
        <v>13</v>
      </c>
      <c r="Q14" s="2">
        <v>12</v>
      </c>
      <c r="R14" s="2">
        <f>IFERROR(VLOOKUP(A14,'[1]Recintos Cochabamba'!A$1:R$838,17,FALSE),0)</f>
        <v>7</v>
      </c>
      <c r="S14" s="3">
        <f>IFERROR(VLOOKUP(A14,'[1]Recintos Cochabamba'!A$1:T$838,18,FALSE),0)</f>
        <v>0.14382907254198832</v>
      </c>
    </row>
    <row r="15" spans="1:19" x14ac:dyDescent="0.25">
      <c r="A15" s="2">
        <v>1789</v>
      </c>
      <c r="B15" s="2" t="s">
        <v>19</v>
      </c>
      <c r="C15" s="2" t="s">
        <v>20</v>
      </c>
      <c r="D15" s="2" t="s">
        <v>19</v>
      </c>
      <c r="E15" s="2" t="s">
        <v>19</v>
      </c>
      <c r="F15" s="2" t="s">
        <v>75</v>
      </c>
      <c r="G15" s="2" t="s">
        <v>76</v>
      </c>
      <c r="H15" s="2" t="s">
        <v>77</v>
      </c>
      <c r="I15" s="2">
        <v>20</v>
      </c>
      <c r="J15" s="2" t="s">
        <v>24</v>
      </c>
      <c r="K15" s="2">
        <v>-17.376999999999999</v>
      </c>
      <c r="L15" s="2">
        <v>-66.157700000000006</v>
      </c>
      <c r="M15" s="2" t="s">
        <v>25</v>
      </c>
      <c r="N15" s="2">
        <v>1789</v>
      </c>
      <c r="O15" s="2" t="s">
        <v>78</v>
      </c>
      <c r="P15" s="2">
        <v>13</v>
      </c>
      <c r="Q15" s="2">
        <v>12</v>
      </c>
      <c r="R15" s="2">
        <f>IFERROR(VLOOKUP(A15,'[1]Recintos Cochabamba'!A$1:R$838,17,FALSE),0)</f>
        <v>11</v>
      </c>
      <c r="S15" s="3">
        <f>IFERROR(VLOOKUP(A15,'[1]Recintos Cochabamba'!A$1:T$838,18,FALSE),0)</f>
        <v>9.5292860412861322E-2</v>
      </c>
    </row>
    <row r="16" spans="1:19" x14ac:dyDescent="0.25">
      <c r="A16" s="2">
        <v>1790</v>
      </c>
      <c r="B16" s="2" t="s">
        <v>19</v>
      </c>
      <c r="C16" s="2" t="s">
        <v>20</v>
      </c>
      <c r="D16" s="2" t="s">
        <v>19</v>
      </c>
      <c r="E16" s="2" t="s">
        <v>19</v>
      </c>
      <c r="F16" s="2" t="s">
        <v>79</v>
      </c>
      <c r="G16" s="2" t="s">
        <v>72</v>
      </c>
      <c r="H16" s="2" t="s">
        <v>80</v>
      </c>
      <c r="I16" s="2">
        <v>20</v>
      </c>
      <c r="J16" s="2" t="s">
        <v>24</v>
      </c>
      <c r="K16" s="2">
        <v>-17.371300000000002</v>
      </c>
      <c r="L16" s="2">
        <v>-66.161500000000004</v>
      </c>
      <c r="M16" s="2" t="s">
        <v>25</v>
      </c>
      <c r="N16" s="2">
        <v>1790</v>
      </c>
      <c r="O16" s="2" t="s">
        <v>81</v>
      </c>
      <c r="P16" s="2">
        <v>13</v>
      </c>
      <c r="Q16" s="2">
        <v>12</v>
      </c>
      <c r="R16" s="2">
        <f>IFERROR(VLOOKUP(A16,'[1]Recintos Cochabamba'!A$1:R$838,17,FALSE),0)</f>
        <v>8</v>
      </c>
      <c r="S16" s="3">
        <f>IFERROR(VLOOKUP(A16,'[1]Recintos Cochabamba'!A$1:T$838,18,FALSE),0)</f>
        <v>9.1432084115305692E-2</v>
      </c>
    </row>
    <row r="17" spans="1:19" x14ac:dyDescent="0.25">
      <c r="A17" s="2">
        <v>1791</v>
      </c>
      <c r="B17" s="2" t="s">
        <v>19</v>
      </c>
      <c r="C17" s="2" t="s">
        <v>20</v>
      </c>
      <c r="D17" s="2" t="s">
        <v>19</v>
      </c>
      <c r="E17" s="2" t="s">
        <v>19</v>
      </c>
      <c r="F17" s="2" t="s">
        <v>82</v>
      </c>
      <c r="G17" s="2" t="s">
        <v>83</v>
      </c>
      <c r="H17" s="2" t="s">
        <v>84</v>
      </c>
      <c r="I17" s="2">
        <v>20</v>
      </c>
      <c r="J17" s="2" t="s">
        <v>24</v>
      </c>
      <c r="K17" s="2">
        <v>-17.369399999999999</v>
      </c>
      <c r="L17" s="2">
        <v>-66.174800000000005</v>
      </c>
      <c r="M17" s="2" t="s">
        <v>25</v>
      </c>
      <c r="N17" s="2">
        <v>1791</v>
      </c>
      <c r="O17" s="2" t="s">
        <v>85</v>
      </c>
      <c r="P17" s="2">
        <v>13</v>
      </c>
      <c r="Q17" s="2">
        <v>12</v>
      </c>
      <c r="R17" s="2">
        <f>IFERROR(VLOOKUP(A17,'[1]Recintos Cochabamba'!A$1:R$838,17,FALSE),0)</f>
        <v>20</v>
      </c>
      <c r="S17" s="3">
        <f>IFERROR(VLOOKUP(A17,'[1]Recintos Cochabamba'!A$1:T$838,18,FALSE),0)</f>
        <v>0.14424830994772331</v>
      </c>
    </row>
    <row r="18" spans="1:19" x14ac:dyDescent="0.25">
      <c r="A18" s="2">
        <v>1792</v>
      </c>
      <c r="B18" s="2" t="s">
        <v>19</v>
      </c>
      <c r="C18" s="2" t="s">
        <v>20</v>
      </c>
      <c r="D18" s="2" t="s">
        <v>19</v>
      </c>
      <c r="E18" s="2" t="s">
        <v>19</v>
      </c>
      <c r="F18" s="2" t="s">
        <v>86</v>
      </c>
      <c r="G18" s="2" t="s">
        <v>87</v>
      </c>
      <c r="H18" s="2" t="s">
        <v>88</v>
      </c>
      <c r="I18" s="2">
        <v>20</v>
      </c>
      <c r="J18" s="2" t="s">
        <v>24</v>
      </c>
      <c r="K18" s="2">
        <v>-17.377700000000001</v>
      </c>
      <c r="L18" s="2">
        <v>-66.167500000000004</v>
      </c>
      <c r="M18" s="2" t="s">
        <v>25</v>
      </c>
      <c r="N18" s="2">
        <v>1792</v>
      </c>
      <c r="O18" s="2" t="s">
        <v>89</v>
      </c>
      <c r="P18" s="2">
        <v>13</v>
      </c>
      <c r="Q18" s="2">
        <v>12</v>
      </c>
      <c r="R18" s="2">
        <f>IFERROR(VLOOKUP(A18,'[1]Recintos Cochabamba'!A$1:R$838,17,FALSE),0)</f>
        <v>25</v>
      </c>
      <c r="S18" s="3">
        <f>IFERROR(VLOOKUP(A18,'[1]Recintos Cochabamba'!A$1:T$838,18,FALSE),0)</f>
        <v>0.10628601247710817</v>
      </c>
    </row>
    <row r="19" spans="1:19" x14ac:dyDescent="0.25">
      <c r="A19" s="2">
        <v>1793</v>
      </c>
      <c r="B19" s="2" t="s">
        <v>19</v>
      </c>
      <c r="C19" s="2" t="s">
        <v>20</v>
      </c>
      <c r="D19" s="2" t="s">
        <v>19</v>
      </c>
      <c r="E19" s="2" t="s">
        <v>19</v>
      </c>
      <c r="F19" s="2" t="s">
        <v>90</v>
      </c>
      <c r="G19" s="2" t="s">
        <v>87</v>
      </c>
      <c r="H19" s="2" t="s">
        <v>91</v>
      </c>
      <c r="I19" s="2">
        <v>20</v>
      </c>
      <c r="J19" s="2" t="s">
        <v>24</v>
      </c>
      <c r="K19" s="2">
        <v>-17.3811</v>
      </c>
      <c r="L19" s="2">
        <v>-66.166300000000007</v>
      </c>
      <c r="M19" s="2" t="s">
        <v>25</v>
      </c>
      <c r="N19" s="2">
        <v>1793</v>
      </c>
      <c r="O19" s="2" t="s">
        <v>92</v>
      </c>
      <c r="P19" s="2">
        <v>13</v>
      </c>
      <c r="Q19" s="2">
        <v>12</v>
      </c>
      <c r="R19" s="2">
        <f>IFERROR(VLOOKUP(A19,'[1]Recintos Cochabamba'!A$1:R$838,17,FALSE),0)</f>
        <v>9</v>
      </c>
      <c r="S19" s="3">
        <f>IFERROR(VLOOKUP(A19,'[1]Recintos Cochabamba'!A$1:T$838,18,FALSE),0)</f>
        <v>0.11889815716320734</v>
      </c>
    </row>
    <row r="20" spans="1:19" x14ac:dyDescent="0.25">
      <c r="A20" s="2">
        <v>1794</v>
      </c>
      <c r="B20" s="2" t="s">
        <v>19</v>
      </c>
      <c r="C20" s="2" t="s">
        <v>20</v>
      </c>
      <c r="D20" s="2" t="s">
        <v>19</v>
      </c>
      <c r="E20" s="2" t="s">
        <v>19</v>
      </c>
      <c r="F20" s="2" t="s">
        <v>93</v>
      </c>
      <c r="G20" s="2" t="s">
        <v>94</v>
      </c>
      <c r="H20" s="2" t="s">
        <v>95</v>
      </c>
      <c r="I20" s="2">
        <v>20</v>
      </c>
      <c r="J20" s="2" t="s">
        <v>24</v>
      </c>
      <c r="K20" s="2">
        <v>-17.38</v>
      </c>
      <c r="L20" s="2">
        <v>-66.174300000000002</v>
      </c>
      <c r="M20" s="2" t="s">
        <v>25</v>
      </c>
      <c r="N20" s="2">
        <v>1794</v>
      </c>
      <c r="O20" s="2" t="s">
        <v>96</v>
      </c>
      <c r="P20" s="2">
        <v>13</v>
      </c>
      <c r="Q20" s="2">
        <v>12</v>
      </c>
      <c r="R20" s="2">
        <f>IFERROR(VLOOKUP(A20,'[1]Recintos Cochabamba'!A$1:R$838,17,FALSE),0)</f>
        <v>14</v>
      </c>
      <c r="S20" s="3">
        <f>IFERROR(VLOOKUP(A20,'[1]Recintos Cochabamba'!A$1:T$838,18,FALSE),0)</f>
        <v>0.16022306066787056</v>
      </c>
    </row>
    <row r="21" spans="1:19" x14ac:dyDescent="0.25">
      <c r="A21" s="2">
        <v>1795</v>
      </c>
      <c r="B21" s="2" t="s">
        <v>19</v>
      </c>
      <c r="C21" s="2" t="s">
        <v>20</v>
      </c>
      <c r="D21" s="2" t="s">
        <v>19</v>
      </c>
      <c r="E21" s="2" t="s">
        <v>19</v>
      </c>
      <c r="F21" s="2" t="s">
        <v>97</v>
      </c>
      <c r="G21" s="2" t="s">
        <v>98</v>
      </c>
      <c r="H21" s="2" t="s">
        <v>99</v>
      </c>
      <c r="I21" s="2">
        <v>20</v>
      </c>
      <c r="J21" s="2" t="s">
        <v>24</v>
      </c>
      <c r="K21" s="2">
        <v>-17.378399999999999</v>
      </c>
      <c r="L21" s="2">
        <v>-66.181799999999996</v>
      </c>
      <c r="M21" s="2" t="s">
        <v>25</v>
      </c>
      <c r="N21" s="2">
        <v>1795</v>
      </c>
      <c r="O21" s="2" t="s">
        <v>100</v>
      </c>
      <c r="P21" s="2">
        <v>23</v>
      </c>
      <c r="Q21" s="2">
        <v>3</v>
      </c>
      <c r="R21" s="2">
        <f>IFERROR(VLOOKUP(A21,'[1]Recintos Cochabamba'!A$1:R$838,17,FALSE),0)</f>
        <v>14</v>
      </c>
      <c r="S21" s="3">
        <f>IFERROR(VLOOKUP(A21,'[1]Recintos Cochabamba'!A$1:T$838,18,FALSE),0)</f>
        <v>0.16838114151456124</v>
      </c>
    </row>
    <row r="22" spans="1:19" x14ac:dyDescent="0.25">
      <c r="A22" s="2">
        <v>1796</v>
      </c>
      <c r="B22" s="2" t="s">
        <v>19</v>
      </c>
      <c r="C22" s="2" t="s">
        <v>20</v>
      </c>
      <c r="D22" s="2" t="s">
        <v>19</v>
      </c>
      <c r="E22" s="2" t="s">
        <v>19</v>
      </c>
      <c r="F22" s="2" t="s">
        <v>101</v>
      </c>
      <c r="G22" s="2" t="s">
        <v>102</v>
      </c>
      <c r="H22" s="2" t="s">
        <v>103</v>
      </c>
      <c r="I22" s="2">
        <v>20</v>
      </c>
      <c r="J22" s="2" t="s">
        <v>24</v>
      </c>
      <c r="K22" s="2">
        <v>-17.373699999999999</v>
      </c>
      <c r="L22" s="2">
        <v>-66.187799999999996</v>
      </c>
      <c r="M22" s="2" t="s">
        <v>25</v>
      </c>
      <c r="N22" s="2">
        <v>1796</v>
      </c>
      <c r="O22" s="2" t="s">
        <v>104</v>
      </c>
      <c r="P22" s="2">
        <v>23</v>
      </c>
      <c r="Q22" s="2">
        <v>3</v>
      </c>
      <c r="R22" s="2">
        <f>IFERROR(VLOOKUP(A22,'[1]Recintos Cochabamba'!A$1:R$838,17,FALSE),0)</f>
        <v>32</v>
      </c>
      <c r="S22" s="3">
        <f>IFERROR(VLOOKUP(A22,'[1]Recintos Cochabamba'!A$1:T$838,18,FALSE),0)</f>
        <v>0.24034490659918031</v>
      </c>
    </row>
    <row r="23" spans="1:19" x14ac:dyDescent="0.25">
      <c r="A23" s="2">
        <v>1797</v>
      </c>
      <c r="B23" s="2" t="s">
        <v>19</v>
      </c>
      <c r="C23" s="2" t="s">
        <v>20</v>
      </c>
      <c r="D23" s="2" t="s">
        <v>19</v>
      </c>
      <c r="E23" s="2" t="s">
        <v>19</v>
      </c>
      <c r="F23" s="2" t="s">
        <v>105</v>
      </c>
      <c r="G23" s="2" t="s">
        <v>106</v>
      </c>
      <c r="H23" s="2" t="s">
        <v>107</v>
      </c>
      <c r="I23" s="2">
        <v>20</v>
      </c>
      <c r="J23" s="2" t="s">
        <v>24</v>
      </c>
      <c r="K23" s="2">
        <v>-17.383700000000001</v>
      </c>
      <c r="L23" s="2">
        <v>-66.197800000000001</v>
      </c>
      <c r="M23" s="2" t="s">
        <v>25</v>
      </c>
      <c r="N23" s="2">
        <v>1797</v>
      </c>
      <c r="O23" s="2" t="s">
        <v>108</v>
      </c>
      <c r="P23" s="2">
        <v>54</v>
      </c>
      <c r="Q23" s="2">
        <v>4</v>
      </c>
      <c r="R23" s="2">
        <f>IFERROR(VLOOKUP(A23,'[1]Recintos Cochabamba'!A$1:R$838,17,FALSE),0)</f>
        <v>15</v>
      </c>
      <c r="S23" s="3">
        <f>IFERROR(VLOOKUP(A23,'[1]Recintos Cochabamba'!A$1:T$838,18,FALSE),0)</f>
        <v>0.26941196671090817</v>
      </c>
    </row>
    <row r="24" spans="1:19" x14ac:dyDescent="0.25">
      <c r="A24" s="2">
        <v>1798</v>
      </c>
      <c r="B24" s="2" t="s">
        <v>19</v>
      </c>
      <c r="C24" s="2" t="s">
        <v>20</v>
      </c>
      <c r="D24" s="2" t="s">
        <v>19</v>
      </c>
      <c r="E24" s="2" t="s">
        <v>19</v>
      </c>
      <c r="F24" s="2" t="s">
        <v>109</v>
      </c>
      <c r="G24" s="2" t="s">
        <v>110</v>
      </c>
      <c r="H24" s="2" t="s">
        <v>111</v>
      </c>
      <c r="I24" s="2">
        <v>20</v>
      </c>
      <c r="J24" s="2" t="s">
        <v>24</v>
      </c>
      <c r="K24" s="2">
        <v>-17.389199999999999</v>
      </c>
      <c r="L24" s="2">
        <v>-66.203400000000002</v>
      </c>
      <c r="M24" s="2" t="s">
        <v>25</v>
      </c>
      <c r="N24" s="2">
        <v>1798</v>
      </c>
      <c r="O24" s="2" t="s">
        <v>112</v>
      </c>
      <c r="P24" s="2">
        <v>54</v>
      </c>
      <c r="Q24" s="2">
        <v>4</v>
      </c>
      <c r="R24" s="2">
        <f>IFERROR(VLOOKUP(A24,'[1]Recintos Cochabamba'!A$1:R$838,17,FALSE),0)</f>
        <v>12</v>
      </c>
      <c r="S24" s="3">
        <f>IFERROR(VLOOKUP(A24,'[1]Recintos Cochabamba'!A$1:T$838,18,FALSE),0)</f>
        <v>0.31261110102582107</v>
      </c>
    </row>
    <row r="25" spans="1:19" x14ac:dyDescent="0.25">
      <c r="A25" s="2">
        <v>1799</v>
      </c>
      <c r="B25" s="2" t="s">
        <v>19</v>
      </c>
      <c r="C25" s="2" t="s">
        <v>20</v>
      </c>
      <c r="D25" s="2" t="s">
        <v>19</v>
      </c>
      <c r="E25" s="2" t="s">
        <v>19</v>
      </c>
      <c r="F25" s="2" t="s">
        <v>113</v>
      </c>
      <c r="G25" s="2" t="s">
        <v>114</v>
      </c>
      <c r="H25" s="2" t="s">
        <v>115</v>
      </c>
      <c r="I25" s="2">
        <v>20</v>
      </c>
      <c r="J25" s="2" t="s">
        <v>24</v>
      </c>
      <c r="K25" s="2">
        <v>-17.398299999999999</v>
      </c>
      <c r="L25" s="2">
        <v>-66.204499999999996</v>
      </c>
      <c r="M25" s="2" t="s">
        <v>25</v>
      </c>
      <c r="N25" s="2">
        <v>1799</v>
      </c>
      <c r="O25" s="2" t="s">
        <v>116</v>
      </c>
      <c r="P25" s="2">
        <v>54</v>
      </c>
      <c r="Q25" s="2">
        <v>4</v>
      </c>
      <c r="R25" s="2">
        <f>IFERROR(VLOOKUP(A25,'[1]Recintos Cochabamba'!A$1:R$838,17,FALSE),0)</f>
        <v>16</v>
      </c>
      <c r="S25" s="3">
        <f>IFERROR(VLOOKUP(A25,'[1]Recintos Cochabamba'!A$1:T$838,18,FALSE),0)</f>
        <v>0.39952722491676079</v>
      </c>
    </row>
    <row r="26" spans="1:19" x14ac:dyDescent="0.25">
      <c r="A26" s="2">
        <v>1800</v>
      </c>
      <c r="B26" s="2" t="s">
        <v>19</v>
      </c>
      <c r="C26" s="2" t="s">
        <v>20</v>
      </c>
      <c r="D26" s="2" t="s">
        <v>19</v>
      </c>
      <c r="E26" s="2" t="s">
        <v>19</v>
      </c>
      <c r="F26" s="2" t="s">
        <v>117</v>
      </c>
      <c r="G26" s="2" t="s">
        <v>118</v>
      </c>
      <c r="H26" s="2" t="s">
        <v>119</v>
      </c>
      <c r="I26" s="2">
        <v>20</v>
      </c>
      <c r="J26" s="2" t="s">
        <v>24</v>
      </c>
      <c r="K26" s="2">
        <v>-17.397600000000001</v>
      </c>
      <c r="L26" s="2">
        <v>-66.193899999999999</v>
      </c>
      <c r="M26" s="2" t="s">
        <v>25</v>
      </c>
      <c r="N26" s="2">
        <v>1800</v>
      </c>
      <c r="O26" s="2" t="s">
        <v>120</v>
      </c>
      <c r="P26" s="2">
        <v>54</v>
      </c>
      <c r="Q26" s="2">
        <v>4</v>
      </c>
      <c r="R26" s="2">
        <f>IFERROR(VLOOKUP(A26,'[1]Recintos Cochabamba'!A$1:R$838,17,FALSE),0)</f>
        <v>32</v>
      </c>
      <c r="S26" s="3">
        <f>IFERROR(VLOOKUP(A26,'[1]Recintos Cochabamba'!A$1:T$838,18,FALSE),0)</f>
        <v>0.39776079487516136</v>
      </c>
    </row>
    <row r="27" spans="1:19" x14ac:dyDescent="0.25">
      <c r="A27" s="2">
        <v>1801</v>
      </c>
      <c r="B27" s="2" t="s">
        <v>19</v>
      </c>
      <c r="C27" s="2" t="s">
        <v>20</v>
      </c>
      <c r="D27" s="2" t="s">
        <v>19</v>
      </c>
      <c r="E27" s="2" t="s">
        <v>19</v>
      </c>
      <c r="F27" s="2" t="s">
        <v>121</v>
      </c>
      <c r="G27" s="2" t="s">
        <v>122</v>
      </c>
      <c r="H27" s="2" t="s">
        <v>123</v>
      </c>
      <c r="I27" s="2">
        <v>20</v>
      </c>
      <c r="J27" s="2" t="s">
        <v>24</v>
      </c>
      <c r="K27" s="2">
        <v>-17.386700000000001</v>
      </c>
      <c r="L27" s="2">
        <v>-66.185500000000005</v>
      </c>
      <c r="M27" s="2" t="s">
        <v>25</v>
      </c>
      <c r="N27" s="2">
        <v>1801</v>
      </c>
      <c r="O27" s="2" t="s">
        <v>124</v>
      </c>
      <c r="P27" s="2">
        <v>23</v>
      </c>
      <c r="Q27" s="2">
        <v>3</v>
      </c>
      <c r="R27" s="2">
        <f>IFERROR(VLOOKUP(A27,'[1]Recintos Cochabamba'!A$1:R$838,17,FALSE),0)</f>
        <v>25</v>
      </c>
      <c r="S27" s="3">
        <f>IFERROR(VLOOKUP(A27,'[1]Recintos Cochabamba'!A$1:T$838,18,FALSE),0)</f>
        <v>0.26397488018240006</v>
      </c>
    </row>
    <row r="28" spans="1:19" x14ac:dyDescent="0.25">
      <c r="A28" s="2">
        <v>1802</v>
      </c>
      <c r="B28" s="2" t="s">
        <v>19</v>
      </c>
      <c r="C28" s="2" t="s">
        <v>20</v>
      </c>
      <c r="D28" s="2" t="s">
        <v>19</v>
      </c>
      <c r="E28" s="2" t="s">
        <v>19</v>
      </c>
      <c r="F28" s="2" t="s">
        <v>125</v>
      </c>
      <c r="G28" s="2" t="s">
        <v>118</v>
      </c>
      <c r="H28" s="2" t="s">
        <v>126</v>
      </c>
      <c r="I28" s="2">
        <v>20</v>
      </c>
      <c r="J28" s="2" t="s">
        <v>24</v>
      </c>
      <c r="K28" s="2">
        <v>-17.396999999999998</v>
      </c>
      <c r="L28" s="2">
        <v>-66.186599999999999</v>
      </c>
      <c r="M28" s="2" t="s">
        <v>25</v>
      </c>
      <c r="N28" s="2">
        <v>1802</v>
      </c>
      <c r="O28" s="2" t="s">
        <v>127</v>
      </c>
      <c r="P28" s="2">
        <v>54</v>
      </c>
      <c r="Q28" s="2">
        <v>4</v>
      </c>
      <c r="R28" s="2">
        <f>IFERROR(VLOOKUP(A28,'[1]Recintos Cochabamba'!A$1:R$838,17,FALSE),0)</f>
        <v>29</v>
      </c>
      <c r="S28" s="3">
        <f>IFERROR(VLOOKUP(A28,'[1]Recintos Cochabamba'!A$1:T$838,18,FALSE),0)</f>
        <v>0.3074141565362502</v>
      </c>
    </row>
    <row r="29" spans="1:19" x14ac:dyDescent="0.25">
      <c r="A29" s="2">
        <v>1803</v>
      </c>
      <c r="B29" s="2" t="s">
        <v>19</v>
      </c>
      <c r="C29" s="2" t="s">
        <v>20</v>
      </c>
      <c r="D29" s="2" t="s">
        <v>19</v>
      </c>
      <c r="E29" s="2" t="s">
        <v>19</v>
      </c>
      <c r="F29" s="2" t="s">
        <v>128</v>
      </c>
      <c r="G29" s="2" t="s">
        <v>129</v>
      </c>
      <c r="H29" s="2" t="s">
        <v>130</v>
      </c>
      <c r="I29" s="2">
        <v>20</v>
      </c>
      <c r="J29" s="2" t="s">
        <v>24</v>
      </c>
      <c r="K29" s="2">
        <v>-17.398299999999999</v>
      </c>
      <c r="L29" s="2">
        <v>-66.184299999999993</v>
      </c>
      <c r="M29" s="2" t="s">
        <v>25</v>
      </c>
      <c r="N29" s="2">
        <v>1803</v>
      </c>
      <c r="O29" s="2" t="s">
        <v>131</v>
      </c>
      <c r="P29" s="2">
        <v>54</v>
      </c>
      <c r="Q29" s="2">
        <v>4</v>
      </c>
      <c r="R29" s="2">
        <f>IFERROR(VLOOKUP(A29,'[1]Recintos Cochabamba'!A$1:R$838,17,FALSE),0)</f>
        <v>14</v>
      </c>
      <c r="S29" s="3">
        <f>IFERROR(VLOOKUP(A29,'[1]Recintos Cochabamba'!A$1:T$838,18,FALSE),0)</f>
        <v>0.30400526838363556</v>
      </c>
    </row>
    <row r="30" spans="1:19" x14ac:dyDescent="0.25">
      <c r="A30" s="2">
        <v>1804</v>
      </c>
      <c r="B30" s="2" t="s">
        <v>19</v>
      </c>
      <c r="C30" s="2" t="s">
        <v>20</v>
      </c>
      <c r="D30" s="2" t="s">
        <v>19</v>
      </c>
      <c r="E30" s="2" t="s">
        <v>19</v>
      </c>
      <c r="F30" s="2" t="s">
        <v>132</v>
      </c>
      <c r="G30" s="2" t="s">
        <v>133</v>
      </c>
      <c r="H30" s="2" t="s">
        <v>134</v>
      </c>
      <c r="I30" s="2">
        <v>20</v>
      </c>
      <c r="J30" s="2" t="s">
        <v>24</v>
      </c>
      <c r="K30" s="2">
        <v>-17.384399999999999</v>
      </c>
      <c r="L30" s="2">
        <v>-66.167199999999994</v>
      </c>
      <c r="M30" s="2" t="s">
        <v>25</v>
      </c>
      <c r="N30" s="2">
        <v>1804</v>
      </c>
      <c r="O30" s="2" t="s">
        <v>135</v>
      </c>
      <c r="P30" s="2">
        <v>13</v>
      </c>
      <c r="Q30" s="2">
        <v>12</v>
      </c>
      <c r="R30" s="2">
        <f>IFERROR(VLOOKUP(A30,'[1]Recintos Cochabamba'!A$1:R$838,17,FALSE),0)</f>
        <v>9</v>
      </c>
      <c r="S30" s="3">
        <f>IFERROR(VLOOKUP(A30,'[1]Recintos Cochabamba'!A$1:T$838,18,FALSE),0)</f>
        <v>0.12949434732452381</v>
      </c>
    </row>
    <row r="31" spans="1:19" x14ac:dyDescent="0.25">
      <c r="A31" s="2">
        <v>1805</v>
      </c>
      <c r="B31" s="2" t="s">
        <v>19</v>
      </c>
      <c r="C31" s="2" t="s">
        <v>20</v>
      </c>
      <c r="D31" s="2" t="s">
        <v>19</v>
      </c>
      <c r="E31" s="2" t="s">
        <v>19</v>
      </c>
      <c r="F31" s="2" t="s">
        <v>136</v>
      </c>
      <c r="G31" s="2" t="s">
        <v>137</v>
      </c>
      <c r="H31" s="2" t="s">
        <v>138</v>
      </c>
      <c r="I31" s="2">
        <v>20</v>
      </c>
      <c r="J31" s="2" t="s">
        <v>24</v>
      </c>
      <c r="K31" s="2">
        <v>-17.390599999999999</v>
      </c>
      <c r="L31" s="2">
        <v>-66.171999999999997</v>
      </c>
      <c r="M31" s="2" t="s">
        <v>25</v>
      </c>
      <c r="N31" s="2">
        <v>1805</v>
      </c>
      <c r="O31" s="2" t="s">
        <v>139</v>
      </c>
      <c r="P31" s="2">
        <v>13</v>
      </c>
      <c r="Q31" s="2">
        <v>12</v>
      </c>
      <c r="R31" s="2">
        <f>IFERROR(VLOOKUP(A31,'[1]Recintos Cochabamba'!A$1:R$838,17,FALSE),0)</f>
        <v>22</v>
      </c>
      <c r="S31" s="3">
        <f>IFERROR(VLOOKUP(A31,'[1]Recintos Cochabamba'!A$1:T$838,18,FALSE),0)</f>
        <v>0.17242161293823377</v>
      </c>
    </row>
    <row r="32" spans="1:19" x14ac:dyDescent="0.25">
      <c r="A32" s="2">
        <v>1806</v>
      </c>
      <c r="B32" s="2" t="s">
        <v>19</v>
      </c>
      <c r="C32" s="2" t="s">
        <v>20</v>
      </c>
      <c r="D32" s="2" t="s">
        <v>19</v>
      </c>
      <c r="E32" s="2" t="s">
        <v>19</v>
      </c>
      <c r="F32" s="2" t="s">
        <v>140</v>
      </c>
      <c r="G32" s="2" t="s">
        <v>141</v>
      </c>
      <c r="H32" s="2" t="s">
        <v>142</v>
      </c>
      <c r="I32" s="2">
        <v>20</v>
      </c>
      <c r="J32" s="2" t="s">
        <v>24</v>
      </c>
      <c r="K32" s="2">
        <v>-17.389600000000002</v>
      </c>
      <c r="L32" s="2">
        <v>-66.169700000000006</v>
      </c>
      <c r="M32" s="2" t="s">
        <v>25</v>
      </c>
      <c r="N32" s="2">
        <v>1806</v>
      </c>
      <c r="O32" s="2" t="s">
        <v>143</v>
      </c>
      <c r="P32" s="2">
        <v>13</v>
      </c>
      <c r="Q32" s="2">
        <v>12</v>
      </c>
      <c r="R32" s="2">
        <f>IFERROR(VLOOKUP(A32,'[1]Recintos Cochabamba'!A$1:R$838,17,FALSE),0)</f>
        <v>13</v>
      </c>
      <c r="S32" s="3">
        <f>IFERROR(VLOOKUP(A32,'[1]Recintos Cochabamba'!A$1:T$838,18,FALSE),0)</f>
        <v>0.1522954961441671</v>
      </c>
    </row>
    <row r="33" spans="1:21" x14ac:dyDescent="0.25">
      <c r="A33" s="2">
        <v>1807</v>
      </c>
      <c r="B33" s="2" t="s">
        <v>19</v>
      </c>
      <c r="C33" s="2" t="s">
        <v>20</v>
      </c>
      <c r="D33" s="2" t="s">
        <v>19</v>
      </c>
      <c r="E33" s="2" t="s">
        <v>19</v>
      </c>
      <c r="F33" s="2" t="s">
        <v>144</v>
      </c>
      <c r="G33" s="2" t="s">
        <v>145</v>
      </c>
      <c r="H33" s="2" t="s">
        <v>146</v>
      </c>
      <c r="I33" s="2">
        <v>22</v>
      </c>
      <c r="J33" s="2" t="s">
        <v>24</v>
      </c>
      <c r="K33" s="2">
        <v>-17.467009999999998</v>
      </c>
      <c r="L33" s="2">
        <v>-66.203946999999999</v>
      </c>
      <c r="M33" s="2" t="s">
        <v>25</v>
      </c>
      <c r="N33" s="2">
        <v>1807</v>
      </c>
      <c r="O33" s="2" t="s">
        <v>147</v>
      </c>
      <c r="P33" s="2">
        <v>28</v>
      </c>
      <c r="Q33" s="2">
        <v>9</v>
      </c>
      <c r="R33" s="2">
        <f>IFERROR(VLOOKUP(A33,'[1]Recintos Cochabamba'!A$1:R$838,17,FALSE),0)</f>
        <v>13</v>
      </c>
      <c r="S33" s="3">
        <v>0</v>
      </c>
      <c r="U33">
        <v>0</v>
      </c>
    </row>
    <row r="34" spans="1:21" x14ac:dyDescent="0.25">
      <c r="A34" s="2">
        <v>1808</v>
      </c>
      <c r="B34" s="2" t="s">
        <v>19</v>
      </c>
      <c r="C34" s="2" t="s">
        <v>20</v>
      </c>
      <c r="D34" s="2" t="s">
        <v>19</v>
      </c>
      <c r="E34" s="2" t="s">
        <v>19</v>
      </c>
      <c r="F34" s="2" t="s">
        <v>148</v>
      </c>
      <c r="G34" s="2" t="s">
        <v>149</v>
      </c>
      <c r="H34" s="2" t="s">
        <v>150</v>
      </c>
      <c r="I34" s="2">
        <v>21</v>
      </c>
      <c r="J34" s="2" t="s">
        <v>24</v>
      </c>
      <c r="K34" s="2">
        <v>-17.389399999999998</v>
      </c>
      <c r="L34" s="2">
        <v>-66.160799999999995</v>
      </c>
      <c r="M34" s="2" t="s">
        <v>25</v>
      </c>
      <c r="N34" s="2">
        <v>1808</v>
      </c>
      <c r="O34" s="2" t="s">
        <v>151</v>
      </c>
      <c r="P34" s="2">
        <v>17</v>
      </c>
      <c r="Q34" s="2">
        <v>10</v>
      </c>
      <c r="R34" s="2">
        <f>IFERROR(VLOOKUP(A34,'[1]Recintos Cochabamba'!A$1:R$838,17,FALSE),0)</f>
        <v>16</v>
      </c>
      <c r="S34" s="3">
        <f>IFERROR(VLOOKUP(A34,'[1]Recintos Cochabamba'!A$1:T$838,18,FALSE),0)</f>
        <v>0.1262634735059493</v>
      </c>
    </row>
    <row r="35" spans="1:21" x14ac:dyDescent="0.25">
      <c r="A35" s="2">
        <v>1809</v>
      </c>
      <c r="B35" s="2" t="s">
        <v>19</v>
      </c>
      <c r="C35" s="2" t="s">
        <v>20</v>
      </c>
      <c r="D35" s="2" t="s">
        <v>19</v>
      </c>
      <c r="E35" s="2" t="s">
        <v>19</v>
      </c>
      <c r="F35" s="2" t="s">
        <v>152</v>
      </c>
      <c r="G35" s="2" t="s">
        <v>153</v>
      </c>
      <c r="H35" s="2" t="s">
        <v>154</v>
      </c>
      <c r="I35" s="2">
        <v>21</v>
      </c>
      <c r="J35" s="2" t="s">
        <v>24</v>
      </c>
      <c r="K35" s="2">
        <v>-17.3916</v>
      </c>
      <c r="L35" s="2">
        <v>-66.158100000000005</v>
      </c>
      <c r="M35" s="2" t="s">
        <v>25</v>
      </c>
      <c r="N35" s="2">
        <v>1809</v>
      </c>
      <c r="O35" s="2" t="s">
        <v>155</v>
      </c>
      <c r="P35" s="2">
        <v>17</v>
      </c>
      <c r="Q35" s="2">
        <v>10</v>
      </c>
      <c r="R35" s="2">
        <f>IFERROR(VLOOKUP(A35,'[1]Recintos Cochabamba'!A$1:R$838,17,FALSE),0)</f>
        <v>6</v>
      </c>
      <c r="S35" s="3">
        <f>IFERROR(VLOOKUP(A35,'[1]Recintos Cochabamba'!A$1:T$838,18,FALSE),0)</f>
        <v>0.1719527518440562</v>
      </c>
    </row>
    <row r="36" spans="1:21" x14ac:dyDescent="0.25">
      <c r="A36" s="2">
        <v>1810</v>
      </c>
      <c r="B36" s="2" t="s">
        <v>19</v>
      </c>
      <c r="C36" s="2" t="s">
        <v>20</v>
      </c>
      <c r="D36" s="2" t="s">
        <v>19</v>
      </c>
      <c r="E36" s="2" t="s">
        <v>19</v>
      </c>
      <c r="F36" s="2" t="s">
        <v>156</v>
      </c>
      <c r="G36" s="2" t="s">
        <v>157</v>
      </c>
      <c r="H36" s="2" t="s">
        <v>158</v>
      </c>
      <c r="I36" s="2">
        <v>21</v>
      </c>
      <c r="J36" s="2" t="s">
        <v>24</v>
      </c>
      <c r="K36" s="2">
        <v>-17.395399999999999</v>
      </c>
      <c r="L36" s="2">
        <v>-66.158500000000004</v>
      </c>
      <c r="M36" s="2" t="s">
        <v>25</v>
      </c>
      <c r="N36" s="2">
        <v>1810</v>
      </c>
      <c r="O36" s="2" t="s">
        <v>159</v>
      </c>
      <c r="P36" s="2">
        <v>17</v>
      </c>
      <c r="Q36" s="2">
        <v>10</v>
      </c>
      <c r="R36" s="2">
        <f>IFERROR(VLOOKUP(A36,'[1]Recintos Cochabamba'!A$1:R$838,17,FALSE),0)</f>
        <v>14</v>
      </c>
      <c r="S36" s="3">
        <f>IFERROR(VLOOKUP(A36,'[1]Recintos Cochabamba'!A$1:T$838,18,FALSE),0)</f>
        <v>0.22474069027803259</v>
      </c>
    </row>
    <row r="37" spans="1:21" x14ac:dyDescent="0.25">
      <c r="A37" s="2">
        <v>1811</v>
      </c>
      <c r="B37" s="2" t="s">
        <v>19</v>
      </c>
      <c r="C37" s="2" t="s">
        <v>20</v>
      </c>
      <c r="D37" s="2" t="s">
        <v>19</v>
      </c>
      <c r="E37" s="2" t="s">
        <v>19</v>
      </c>
      <c r="F37" s="2" t="s">
        <v>160</v>
      </c>
      <c r="G37" s="2" t="s">
        <v>157</v>
      </c>
      <c r="H37" s="2" t="s">
        <v>161</v>
      </c>
      <c r="I37" s="2">
        <v>21</v>
      </c>
      <c r="J37" s="2" t="s">
        <v>24</v>
      </c>
      <c r="K37" s="2">
        <v>-17.395700000000001</v>
      </c>
      <c r="L37" s="2">
        <v>-66.163499999999999</v>
      </c>
      <c r="M37" s="2" t="s">
        <v>25</v>
      </c>
      <c r="N37" s="2">
        <v>1811</v>
      </c>
      <c r="O37" s="2" t="s">
        <v>162</v>
      </c>
      <c r="P37" s="2">
        <v>17</v>
      </c>
      <c r="Q37" s="2">
        <v>10</v>
      </c>
      <c r="R37" s="2">
        <f>IFERROR(VLOOKUP(A37,'[1]Recintos Cochabamba'!A$1:R$838,17,FALSE),0)</f>
        <v>4</v>
      </c>
      <c r="S37" s="3">
        <f>IFERROR(VLOOKUP(A37,'[1]Recintos Cochabamba'!A$1:T$838,18,FALSE),0)</f>
        <v>0.18558586551084078</v>
      </c>
    </row>
    <row r="38" spans="1:21" x14ac:dyDescent="0.25">
      <c r="A38" s="2">
        <v>1812</v>
      </c>
      <c r="B38" s="2" t="s">
        <v>19</v>
      </c>
      <c r="C38" s="2" t="s">
        <v>20</v>
      </c>
      <c r="D38" s="2" t="s">
        <v>19</v>
      </c>
      <c r="E38" s="2" t="s">
        <v>19</v>
      </c>
      <c r="F38" s="2" t="s">
        <v>163</v>
      </c>
      <c r="G38" s="2" t="s">
        <v>64</v>
      </c>
      <c r="H38" s="2" t="s">
        <v>164</v>
      </c>
      <c r="I38" s="2">
        <v>21</v>
      </c>
      <c r="J38" s="2" t="s">
        <v>24</v>
      </c>
      <c r="K38" s="2">
        <v>-17.391200000000001</v>
      </c>
      <c r="L38" s="2">
        <v>-66.152699999999996</v>
      </c>
      <c r="M38" s="2" t="s">
        <v>25</v>
      </c>
      <c r="N38" s="2">
        <v>1812</v>
      </c>
      <c r="O38" s="2" t="s">
        <v>165</v>
      </c>
      <c r="P38" s="2">
        <v>17</v>
      </c>
      <c r="Q38" s="2">
        <v>10</v>
      </c>
      <c r="R38" s="2">
        <f>IFERROR(VLOOKUP(A38,'[1]Recintos Cochabamba'!A$1:R$838,17,FALSE),0)</f>
        <v>12</v>
      </c>
      <c r="S38" s="3">
        <f>IFERROR(VLOOKUP(A38,'[1]Recintos Cochabamba'!A$1:T$838,18,FALSE),0)</f>
        <v>0.1492821730113538</v>
      </c>
    </row>
    <row r="39" spans="1:21" x14ac:dyDescent="0.25">
      <c r="A39" s="2">
        <v>1813</v>
      </c>
      <c r="B39" s="2" t="s">
        <v>19</v>
      </c>
      <c r="C39" s="2" t="s">
        <v>20</v>
      </c>
      <c r="D39" s="2" t="s">
        <v>19</v>
      </c>
      <c r="E39" s="2" t="s">
        <v>19</v>
      </c>
      <c r="F39" s="4" t="s">
        <v>166</v>
      </c>
      <c r="G39" s="2" t="s">
        <v>167</v>
      </c>
      <c r="H39" s="2" t="s">
        <v>168</v>
      </c>
      <c r="I39" s="2">
        <v>21</v>
      </c>
      <c r="J39" s="2" t="s">
        <v>24</v>
      </c>
      <c r="K39" s="2">
        <v>-17.3825</v>
      </c>
      <c r="L39" s="2">
        <v>-66.150999999999996</v>
      </c>
      <c r="M39" s="2" t="s">
        <v>25</v>
      </c>
      <c r="N39" s="2">
        <v>1813</v>
      </c>
      <c r="O39" s="2" t="s">
        <v>169</v>
      </c>
      <c r="P39" s="2">
        <v>10</v>
      </c>
      <c r="Q39" s="2">
        <v>11</v>
      </c>
      <c r="R39" s="2">
        <f>IFERROR(VLOOKUP(A39,'[1]Recintos Cochabamba'!A$1:R$838,17,FALSE),0)</f>
        <v>22</v>
      </c>
      <c r="S39" s="3">
        <f>IFERROR(VLOOKUP(A39,'[1]Recintos Cochabamba'!A$1:T$838,18,FALSE),0)</f>
        <v>0.14076375448315481</v>
      </c>
    </row>
    <row r="40" spans="1:21" x14ac:dyDescent="0.25">
      <c r="A40" s="2">
        <v>1814</v>
      </c>
      <c r="B40" s="2" t="s">
        <v>19</v>
      </c>
      <c r="C40" s="2" t="s">
        <v>20</v>
      </c>
      <c r="D40" s="2" t="s">
        <v>19</v>
      </c>
      <c r="E40" s="2" t="s">
        <v>19</v>
      </c>
      <c r="F40" s="4" t="s">
        <v>170</v>
      </c>
      <c r="G40" s="2" t="s">
        <v>171</v>
      </c>
      <c r="H40" s="2" t="s">
        <v>172</v>
      </c>
      <c r="I40" s="2">
        <v>21</v>
      </c>
      <c r="J40" s="2" t="s">
        <v>24</v>
      </c>
      <c r="K40" s="2">
        <v>-17.3873</v>
      </c>
      <c r="L40" s="2">
        <v>-66.146600000000007</v>
      </c>
      <c r="M40" s="2" t="s">
        <v>25</v>
      </c>
      <c r="N40" s="2">
        <v>1814</v>
      </c>
      <c r="O40" s="2" t="s">
        <v>173</v>
      </c>
      <c r="P40" s="2">
        <v>10</v>
      </c>
      <c r="Q40" s="2">
        <v>11</v>
      </c>
      <c r="R40" s="2">
        <f>IFERROR(VLOOKUP(A40,'[1]Recintos Cochabamba'!A$1:R$838,17,FALSE),0)</f>
        <v>10</v>
      </c>
      <c r="S40" s="3">
        <f>IFERROR(VLOOKUP(A40,'[1]Recintos Cochabamba'!A$1:T$838,18,FALSE),0)</f>
        <v>0.13435275629593019</v>
      </c>
    </row>
    <row r="41" spans="1:21" x14ac:dyDescent="0.25">
      <c r="A41" s="2">
        <v>1815</v>
      </c>
      <c r="B41" s="2" t="s">
        <v>19</v>
      </c>
      <c r="C41" s="2" t="s">
        <v>20</v>
      </c>
      <c r="D41" s="2" t="s">
        <v>19</v>
      </c>
      <c r="E41" s="2" t="s">
        <v>19</v>
      </c>
      <c r="F41" s="2" t="s">
        <v>174</v>
      </c>
      <c r="G41" s="2" t="s">
        <v>175</v>
      </c>
      <c r="H41" s="2" t="s">
        <v>176</v>
      </c>
      <c r="I41" s="2">
        <v>21</v>
      </c>
      <c r="J41" s="2" t="s">
        <v>24</v>
      </c>
      <c r="K41" s="2">
        <v>-17.391999999999999</v>
      </c>
      <c r="L41" s="2">
        <v>-66.151300000000006</v>
      </c>
      <c r="M41" s="2" t="s">
        <v>25</v>
      </c>
      <c r="N41" s="2">
        <v>1815</v>
      </c>
      <c r="O41" s="2" t="s">
        <v>177</v>
      </c>
      <c r="P41" s="2">
        <v>17</v>
      </c>
      <c r="Q41" s="2">
        <v>10</v>
      </c>
      <c r="R41" s="2">
        <f>IFERROR(VLOOKUP(A41,'[1]Recintos Cochabamba'!A$1:R$838,17,FALSE),0)</f>
        <v>6</v>
      </c>
      <c r="S41" s="3">
        <f>IFERROR(VLOOKUP(A41,'[1]Recintos Cochabamba'!A$1:T$838,18,FALSE),0)</f>
        <v>0.2280460441358568</v>
      </c>
    </row>
    <row r="42" spans="1:21" x14ac:dyDescent="0.25">
      <c r="A42" s="2">
        <v>1816</v>
      </c>
      <c r="B42" s="2" t="s">
        <v>19</v>
      </c>
      <c r="C42" s="2" t="s">
        <v>20</v>
      </c>
      <c r="D42" s="2" t="s">
        <v>19</v>
      </c>
      <c r="E42" s="2" t="s">
        <v>19</v>
      </c>
      <c r="F42" s="4" t="s">
        <v>178</v>
      </c>
      <c r="G42" s="2" t="s">
        <v>179</v>
      </c>
      <c r="H42" s="2" t="s">
        <v>180</v>
      </c>
      <c r="I42" s="2">
        <v>21</v>
      </c>
      <c r="J42" s="2" t="s">
        <v>24</v>
      </c>
      <c r="K42" s="2">
        <v>-17.3812</v>
      </c>
      <c r="L42" s="2">
        <v>-66.144000000000005</v>
      </c>
      <c r="M42" s="2" t="s">
        <v>25</v>
      </c>
      <c r="N42" s="2">
        <v>1816</v>
      </c>
      <c r="O42" s="2" t="s">
        <v>181</v>
      </c>
      <c r="P42" s="2">
        <v>10</v>
      </c>
      <c r="Q42" s="2">
        <v>11</v>
      </c>
      <c r="R42" s="2">
        <f>IFERROR(VLOOKUP(A42,'[1]Recintos Cochabamba'!A$1:R$838,17,FALSE),0)</f>
        <v>9</v>
      </c>
      <c r="S42" s="3">
        <f>IFERROR(VLOOKUP(A42,'[1]Recintos Cochabamba'!A$1:T$838,18,FALSE),0)</f>
        <v>0.17447371236005282</v>
      </c>
    </row>
    <row r="43" spans="1:21" x14ac:dyDescent="0.25">
      <c r="A43" s="2">
        <v>1817</v>
      </c>
      <c r="B43" s="2" t="s">
        <v>19</v>
      </c>
      <c r="C43" s="2" t="s">
        <v>20</v>
      </c>
      <c r="D43" s="2" t="s">
        <v>19</v>
      </c>
      <c r="E43" s="2" t="s">
        <v>19</v>
      </c>
      <c r="F43" s="4" t="s">
        <v>182</v>
      </c>
      <c r="G43" s="2" t="s">
        <v>171</v>
      </c>
      <c r="H43" s="2" t="s">
        <v>183</v>
      </c>
      <c r="I43" s="2">
        <v>21</v>
      </c>
      <c r="J43" s="2" t="s">
        <v>24</v>
      </c>
      <c r="K43" s="2">
        <v>-17.389299999999999</v>
      </c>
      <c r="L43" s="2">
        <v>-66.143500000000003</v>
      </c>
      <c r="M43" s="2" t="s">
        <v>25</v>
      </c>
      <c r="N43" s="2">
        <v>1817</v>
      </c>
      <c r="O43" s="2" t="s">
        <v>184</v>
      </c>
      <c r="P43" s="2">
        <v>10</v>
      </c>
      <c r="Q43" s="2">
        <v>11</v>
      </c>
      <c r="R43" s="2">
        <f>IFERROR(VLOOKUP(A43,'[1]Recintos Cochabamba'!A$1:R$838,17,FALSE),0)</f>
        <v>11</v>
      </c>
      <c r="S43" s="3">
        <f>IFERROR(VLOOKUP(A43,'[1]Recintos Cochabamba'!A$1:T$838,18,FALSE),0)</f>
        <v>0.17204025056347866</v>
      </c>
    </row>
    <row r="44" spans="1:21" x14ac:dyDescent="0.25">
      <c r="A44" s="2">
        <v>1818</v>
      </c>
      <c r="B44" s="2" t="s">
        <v>19</v>
      </c>
      <c r="C44" s="2" t="s">
        <v>20</v>
      </c>
      <c r="D44" s="2" t="s">
        <v>19</v>
      </c>
      <c r="E44" s="2" t="s">
        <v>19</v>
      </c>
      <c r="F44" s="4" t="s">
        <v>185</v>
      </c>
      <c r="G44" s="2" t="s">
        <v>186</v>
      </c>
      <c r="H44" s="2" t="s">
        <v>187</v>
      </c>
      <c r="I44" s="2">
        <v>21</v>
      </c>
      <c r="J44" s="2" t="s">
        <v>24</v>
      </c>
      <c r="K44" s="2">
        <v>-17.394400000000001</v>
      </c>
      <c r="L44" s="2">
        <v>-66.139200000000002</v>
      </c>
      <c r="M44" s="2" t="s">
        <v>25</v>
      </c>
      <c r="N44" s="2">
        <v>1818</v>
      </c>
      <c r="O44" s="2" t="s">
        <v>188</v>
      </c>
      <c r="P44" s="2">
        <v>10</v>
      </c>
      <c r="Q44" s="2">
        <v>11</v>
      </c>
      <c r="R44" s="2">
        <f>IFERROR(VLOOKUP(A44,'[1]Recintos Cochabamba'!A$1:R$838,17,FALSE),0)</f>
        <v>21</v>
      </c>
      <c r="S44" s="3">
        <f>IFERROR(VLOOKUP(A44,'[1]Recintos Cochabamba'!A$1:T$838,18,FALSE),0)</f>
        <v>0.25085447401376043</v>
      </c>
    </row>
    <row r="45" spans="1:21" x14ac:dyDescent="0.25">
      <c r="A45" s="2">
        <v>1819</v>
      </c>
      <c r="B45" s="2" t="s">
        <v>19</v>
      </c>
      <c r="C45" s="2" t="s">
        <v>20</v>
      </c>
      <c r="D45" s="2" t="s">
        <v>19</v>
      </c>
      <c r="E45" s="2" t="s">
        <v>19</v>
      </c>
      <c r="F45" s="4" t="s">
        <v>189</v>
      </c>
      <c r="G45" s="2" t="s">
        <v>186</v>
      </c>
      <c r="H45" s="2" t="s">
        <v>190</v>
      </c>
      <c r="I45" s="2">
        <v>21</v>
      </c>
      <c r="J45" s="2" t="s">
        <v>24</v>
      </c>
      <c r="K45" s="2">
        <v>-17.398199999999999</v>
      </c>
      <c r="L45" s="2">
        <v>-66.139499999999998</v>
      </c>
      <c r="M45" s="2" t="s">
        <v>25</v>
      </c>
      <c r="N45" s="2">
        <v>1819</v>
      </c>
      <c r="O45" s="2" t="s">
        <v>191</v>
      </c>
      <c r="P45" s="2">
        <v>10</v>
      </c>
      <c r="Q45" s="2">
        <v>11</v>
      </c>
      <c r="R45" s="2">
        <f>IFERROR(VLOOKUP(A45,'[1]Recintos Cochabamba'!A$1:R$838,17,FALSE),0)</f>
        <v>19</v>
      </c>
      <c r="S45" s="3">
        <f>IFERROR(VLOOKUP(A45,'[1]Recintos Cochabamba'!A$1:T$838,18,FALSE),0)</f>
        <v>0.2156683909604945</v>
      </c>
    </row>
    <row r="46" spans="1:21" x14ac:dyDescent="0.25">
      <c r="A46" s="2">
        <v>1820</v>
      </c>
      <c r="B46" s="2" t="s">
        <v>19</v>
      </c>
      <c r="C46" s="2" t="s">
        <v>20</v>
      </c>
      <c r="D46" s="2" t="s">
        <v>19</v>
      </c>
      <c r="E46" s="2" t="s">
        <v>19</v>
      </c>
      <c r="F46" s="2" t="s">
        <v>192</v>
      </c>
      <c r="G46" s="2" t="s">
        <v>193</v>
      </c>
      <c r="H46" s="2" t="s">
        <v>194</v>
      </c>
      <c r="I46" s="2">
        <v>21</v>
      </c>
      <c r="J46" s="2" t="s">
        <v>24</v>
      </c>
      <c r="K46" s="2">
        <v>-17.400099999999998</v>
      </c>
      <c r="L46" s="2">
        <v>-66.1464</v>
      </c>
      <c r="M46" s="2" t="s">
        <v>25</v>
      </c>
      <c r="N46" s="2">
        <v>1820</v>
      </c>
      <c r="O46" s="2" t="s">
        <v>195</v>
      </c>
      <c r="P46" s="2">
        <v>11</v>
      </c>
      <c r="Q46" s="2">
        <v>6</v>
      </c>
      <c r="R46" s="2">
        <f>IFERROR(VLOOKUP(A46,'[1]Recintos Cochabamba'!A$1:R$838,17,FALSE),0)</f>
        <v>8</v>
      </c>
      <c r="S46" s="3">
        <f>IFERROR(VLOOKUP(A46,'[1]Recintos Cochabamba'!A$1:T$838,18,FALSE),0)</f>
        <v>0.37029951351422841</v>
      </c>
    </row>
    <row r="47" spans="1:21" x14ac:dyDescent="0.25">
      <c r="A47" s="2">
        <v>1821</v>
      </c>
      <c r="B47" s="2" t="s">
        <v>19</v>
      </c>
      <c r="C47" s="2" t="s">
        <v>20</v>
      </c>
      <c r="D47" s="2" t="s">
        <v>19</v>
      </c>
      <c r="E47" s="2" t="s">
        <v>19</v>
      </c>
      <c r="F47" s="2" t="s">
        <v>196</v>
      </c>
      <c r="G47" s="2" t="s">
        <v>175</v>
      </c>
      <c r="H47" s="2" t="s">
        <v>197</v>
      </c>
      <c r="I47" s="2">
        <v>21</v>
      </c>
      <c r="J47" s="2" t="s">
        <v>24</v>
      </c>
      <c r="K47" s="2">
        <v>-17.3935</v>
      </c>
      <c r="L47" s="2">
        <v>-66.153400000000005</v>
      </c>
      <c r="M47" s="2" t="s">
        <v>25</v>
      </c>
      <c r="N47" s="2">
        <v>1821</v>
      </c>
      <c r="O47" s="2" t="s">
        <v>198</v>
      </c>
      <c r="P47" s="2">
        <v>17</v>
      </c>
      <c r="Q47" s="2">
        <v>10</v>
      </c>
      <c r="R47" s="2">
        <f>IFERROR(VLOOKUP(A47,'[1]Recintos Cochabamba'!A$1:R$838,17,FALSE),0)</f>
        <v>9</v>
      </c>
      <c r="S47" s="3">
        <f>IFERROR(VLOOKUP(A47,'[1]Recintos Cochabamba'!A$1:T$838,18,FALSE),0)</f>
        <v>0.27497073628764024</v>
      </c>
    </row>
    <row r="48" spans="1:21" x14ac:dyDescent="0.25">
      <c r="A48" s="2">
        <v>1822</v>
      </c>
      <c r="B48" s="2" t="s">
        <v>19</v>
      </c>
      <c r="C48" s="2" t="s">
        <v>20</v>
      </c>
      <c r="D48" s="2" t="s">
        <v>19</v>
      </c>
      <c r="E48" s="2" t="s">
        <v>19</v>
      </c>
      <c r="F48" s="2" t="s">
        <v>199</v>
      </c>
      <c r="G48" s="2" t="s">
        <v>200</v>
      </c>
      <c r="H48" s="2" t="s">
        <v>201</v>
      </c>
      <c r="I48" s="2">
        <v>21</v>
      </c>
      <c r="J48" s="2" t="s">
        <v>24</v>
      </c>
      <c r="K48" s="2">
        <v>-17.405100000000001</v>
      </c>
      <c r="L48" s="2">
        <v>-66.147599999999997</v>
      </c>
      <c r="M48" s="2" t="s">
        <v>25</v>
      </c>
      <c r="N48" s="2">
        <v>1822</v>
      </c>
      <c r="O48" s="2" t="s">
        <v>202</v>
      </c>
      <c r="P48" s="2">
        <v>11</v>
      </c>
      <c r="Q48" s="2">
        <v>6</v>
      </c>
      <c r="R48" s="2">
        <f>IFERROR(VLOOKUP(A48,'[1]Recintos Cochabamba'!A$1:R$838,17,FALSE),0)</f>
        <v>14</v>
      </c>
      <c r="S48" s="3">
        <f>IFERROR(VLOOKUP(A48,'[1]Recintos Cochabamba'!A$1:T$838,18,FALSE),0)</f>
        <v>0.62845575329723946</v>
      </c>
    </row>
    <row r="49" spans="1:19" x14ac:dyDescent="0.25">
      <c r="A49" s="2">
        <v>1823</v>
      </c>
      <c r="B49" s="2" t="s">
        <v>19</v>
      </c>
      <c r="C49" s="2" t="s">
        <v>20</v>
      </c>
      <c r="D49" s="2" t="s">
        <v>19</v>
      </c>
      <c r="E49" s="2" t="s">
        <v>19</v>
      </c>
      <c r="F49" s="2" t="s">
        <v>203</v>
      </c>
      <c r="G49" s="2" t="s">
        <v>204</v>
      </c>
      <c r="H49" s="2" t="s">
        <v>205</v>
      </c>
      <c r="I49" s="2">
        <v>21</v>
      </c>
      <c r="J49" s="2" t="s">
        <v>24</v>
      </c>
      <c r="K49" s="2">
        <v>-17.407299999999999</v>
      </c>
      <c r="L49" s="2">
        <v>-66.150099999999995</v>
      </c>
      <c r="M49" s="2" t="s">
        <v>25</v>
      </c>
      <c r="N49" s="2">
        <v>1823</v>
      </c>
      <c r="O49" s="2" t="s">
        <v>206</v>
      </c>
      <c r="P49" s="2">
        <v>11</v>
      </c>
      <c r="Q49" s="2">
        <v>6</v>
      </c>
      <c r="R49" s="2">
        <f>IFERROR(VLOOKUP(A49,'[1]Recintos Cochabamba'!A$1:R$838,17,FALSE),0)</f>
        <v>29</v>
      </c>
      <c r="S49" s="3">
        <f>IFERROR(VLOOKUP(A49,'[1]Recintos Cochabamba'!A$1:T$838,18,FALSE),0)</f>
        <v>0.4125894990177858</v>
      </c>
    </row>
    <row r="50" spans="1:19" x14ac:dyDescent="0.25">
      <c r="A50" s="2">
        <v>1824</v>
      </c>
      <c r="B50" s="2" t="s">
        <v>19</v>
      </c>
      <c r="C50" s="2" t="s">
        <v>20</v>
      </c>
      <c r="D50" s="2" t="s">
        <v>19</v>
      </c>
      <c r="E50" s="2" t="s">
        <v>19</v>
      </c>
      <c r="F50" s="2" t="s">
        <v>207</v>
      </c>
      <c r="G50" s="2" t="s">
        <v>208</v>
      </c>
      <c r="H50" s="2" t="s">
        <v>209</v>
      </c>
      <c r="I50" s="2">
        <v>21</v>
      </c>
      <c r="J50" s="2" t="s">
        <v>24</v>
      </c>
      <c r="K50" s="2">
        <v>-17.402000000000001</v>
      </c>
      <c r="L50" s="2">
        <v>-66.154499999999999</v>
      </c>
      <c r="M50" s="2" t="s">
        <v>25</v>
      </c>
      <c r="N50" s="2">
        <v>1824</v>
      </c>
      <c r="O50" s="2" t="s">
        <v>210</v>
      </c>
      <c r="P50" s="2">
        <v>17</v>
      </c>
      <c r="Q50" s="2">
        <v>10</v>
      </c>
      <c r="R50" s="2">
        <f>IFERROR(VLOOKUP(A50,'[1]Recintos Cochabamba'!A$1:R$838,17,FALSE),0)</f>
        <v>10</v>
      </c>
      <c r="S50" s="3">
        <f>IFERROR(VLOOKUP(A50,'[1]Recintos Cochabamba'!A$1:T$838,18,FALSE),0)</f>
        <v>0.36056988227738845</v>
      </c>
    </row>
    <row r="51" spans="1:19" x14ac:dyDescent="0.25">
      <c r="A51" s="2">
        <v>1825</v>
      </c>
      <c r="B51" s="2" t="s">
        <v>19</v>
      </c>
      <c r="C51" s="2" t="s">
        <v>20</v>
      </c>
      <c r="D51" s="2" t="s">
        <v>19</v>
      </c>
      <c r="E51" s="2" t="s">
        <v>19</v>
      </c>
      <c r="F51" s="2" t="s">
        <v>211</v>
      </c>
      <c r="G51" s="2" t="s">
        <v>208</v>
      </c>
      <c r="H51" s="2" t="s">
        <v>212</v>
      </c>
      <c r="I51" s="2">
        <v>21</v>
      </c>
      <c r="J51" s="2" t="s">
        <v>24</v>
      </c>
      <c r="K51" s="2">
        <v>-17.402000000000001</v>
      </c>
      <c r="L51" s="2">
        <v>-66.157200000000003</v>
      </c>
      <c r="M51" s="2" t="s">
        <v>25</v>
      </c>
      <c r="N51" s="2">
        <v>1825</v>
      </c>
      <c r="O51" s="2" t="s">
        <v>213</v>
      </c>
      <c r="P51" s="2">
        <v>17</v>
      </c>
      <c r="Q51" s="2">
        <v>10</v>
      </c>
      <c r="R51" s="2">
        <f>IFERROR(VLOOKUP(A51,'[1]Recintos Cochabamba'!A$1:R$838,17,FALSE),0)</f>
        <v>7</v>
      </c>
      <c r="S51" s="3">
        <f>IFERROR(VLOOKUP(A51,'[1]Recintos Cochabamba'!A$1:T$838,18,FALSE),0)</f>
        <v>0.33903132102615291</v>
      </c>
    </row>
    <row r="52" spans="1:19" x14ac:dyDescent="0.25">
      <c r="A52" s="2">
        <v>1826</v>
      </c>
      <c r="B52" s="2" t="s">
        <v>19</v>
      </c>
      <c r="C52" s="2" t="s">
        <v>20</v>
      </c>
      <c r="D52" s="2" t="s">
        <v>19</v>
      </c>
      <c r="E52" s="2" t="s">
        <v>19</v>
      </c>
      <c r="F52" s="2" t="s">
        <v>214</v>
      </c>
      <c r="G52" s="2" t="s">
        <v>215</v>
      </c>
      <c r="H52" s="2" t="s">
        <v>216</v>
      </c>
      <c r="I52" s="2">
        <v>21</v>
      </c>
      <c r="J52" s="2" t="s">
        <v>24</v>
      </c>
      <c r="K52" s="2">
        <v>-17.413900000000002</v>
      </c>
      <c r="L52" s="2">
        <v>-66.159300000000002</v>
      </c>
      <c r="M52" s="2" t="s">
        <v>25</v>
      </c>
      <c r="N52" s="2">
        <v>1826</v>
      </c>
      <c r="O52" s="2" t="s">
        <v>217</v>
      </c>
      <c r="P52" s="2">
        <v>16</v>
      </c>
      <c r="Q52" s="2">
        <v>5</v>
      </c>
      <c r="R52" s="2">
        <f>IFERROR(VLOOKUP(A52,'[1]Recintos Cochabamba'!A$1:R$838,17,FALSE),0)</f>
        <v>5</v>
      </c>
      <c r="S52" s="3">
        <f>IFERROR(VLOOKUP(A52,'[1]Recintos Cochabamba'!A$1:T$838,18,FALSE),0)</f>
        <v>0.36367483074235779</v>
      </c>
    </row>
    <row r="53" spans="1:19" x14ac:dyDescent="0.25">
      <c r="A53" s="2">
        <v>1827</v>
      </c>
      <c r="B53" s="2" t="s">
        <v>19</v>
      </c>
      <c r="C53" s="2" t="s">
        <v>20</v>
      </c>
      <c r="D53" s="2" t="s">
        <v>19</v>
      </c>
      <c r="E53" s="2" t="s">
        <v>19</v>
      </c>
      <c r="F53" s="2" t="s">
        <v>218</v>
      </c>
      <c r="G53" s="2" t="s">
        <v>157</v>
      </c>
      <c r="H53" s="2" t="s">
        <v>219</v>
      </c>
      <c r="I53" s="2">
        <v>21</v>
      </c>
      <c r="J53" s="2" t="s">
        <v>24</v>
      </c>
      <c r="K53" s="2">
        <v>-17.398599999999998</v>
      </c>
      <c r="L53" s="2">
        <v>-66.160600000000002</v>
      </c>
      <c r="M53" s="2" t="s">
        <v>25</v>
      </c>
      <c r="N53" s="2">
        <v>1827</v>
      </c>
      <c r="O53" s="2" t="s">
        <v>220</v>
      </c>
      <c r="P53" s="2">
        <v>17</v>
      </c>
      <c r="Q53" s="2">
        <v>10</v>
      </c>
      <c r="R53" s="2">
        <f>IFERROR(VLOOKUP(A53,'[1]Recintos Cochabamba'!A$1:R$838,17,FALSE),0)</f>
        <v>1</v>
      </c>
      <c r="S53" s="3">
        <f>IFERROR(VLOOKUP(A53,'[1]Recintos Cochabamba'!A$1:T$838,18,FALSE),0)</f>
        <v>0.59166666666666667</v>
      </c>
    </row>
    <row r="54" spans="1:19" x14ac:dyDescent="0.25">
      <c r="A54" s="2">
        <v>1828</v>
      </c>
      <c r="B54" s="2" t="s">
        <v>19</v>
      </c>
      <c r="C54" s="2" t="s">
        <v>20</v>
      </c>
      <c r="D54" s="2" t="s">
        <v>19</v>
      </c>
      <c r="E54" s="2" t="s">
        <v>19</v>
      </c>
      <c r="F54" s="2" t="s">
        <v>221</v>
      </c>
      <c r="G54" s="2" t="s">
        <v>222</v>
      </c>
      <c r="H54" s="2" t="s">
        <v>223</v>
      </c>
      <c r="I54" s="2">
        <v>21</v>
      </c>
      <c r="J54" s="2" t="s">
        <v>24</v>
      </c>
      <c r="K54" s="2">
        <v>-17.404900000000001</v>
      </c>
      <c r="L54" s="2">
        <v>-66.167400000000001</v>
      </c>
      <c r="M54" s="2" t="s">
        <v>25</v>
      </c>
      <c r="N54" s="2">
        <v>1828</v>
      </c>
      <c r="O54" s="2" t="s">
        <v>224</v>
      </c>
      <c r="P54" s="2">
        <v>17</v>
      </c>
      <c r="Q54" s="2">
        <v>10</v>
      </c>
      <c r="R54" s="2">
        <f>IFERROR(VLOOKUP(A54,'[1]Recintos Cochabamba'!A$1:R$838,17,FALSE),0)</f>
        <v>25</v>
      </c>
      <c r="S54" s="3">
        <f>IFERROR(VLOOKUP(A54,'[1]Recintos Cochabamba'!A$1:T$838,18,FALSE),0)</f>
        <v>0.24858550810524796</v>
      </c>
    </row>
    <row r="55" spans="1:19" x14ac:dyDescent="0.25">
      <c r="A55" s="2">
        <v>1829</v>
      </c>
      <c r="B55" s="2" t="s">
        <v>19</v>
      </c>
      <c r="C55" s="2" t="s">
        <v>20</v>
      </c>
      <c r="D55" s="2" t="s">
        <v>19</v>
      </c>
      <c r="E55" s="2" t="s">
        <v>19</v>
      </c>
      <c r="F55" s="2" t="s">
        <v>225</v>
      </c>
      <c r="G55" s="2" t="s">
        <v>226</v>
      </c>
      <c r="H55" s="2" t="s">
        <v>227</v>
      </c>
      <c r="I55" s="2">
        <v>20</v>
      </c>
      <c r="J55" s="2" t="s">
        <v>24</v>
      </c>
      <c r="K55" s="2">
        <v>-17.3964</v>
      </c>
      <c r="L55" s="2">
        <v>-66.168599999999998</v>
      </c>
      <c r="M55" s="2" t="s">
        <v>25</v>
      </c>
      <c r="N55" s="2">
        <v>1829</v>
      </c>
      <c r="O55" s="2" t="s">
        <v>228</v>
      </c>
      <c r="P55" s="2">
        <v>54</v>
      </c>
      <c r="Q55" s="2">
        <v>4</v>
      </c>
      <c r="R55" s="2">
        <f>IFERROR(VLOOKUP(A55,'[1]Recintos Cochabamba'!A$1:R$838,17,FALSE),0)</f>
        <v>17</v>
      </c>
      <c r="S55" s="3">
        <f>IFERROR(VLOOKUP(A55,'[1]Recintos Cochabamba'!A$1:T$838,18,FALSE),0)</f>
        <v>0.22081928321893485</v>
      </c>
    </row>
    <row r="56" spans="1:19" x14ac:dyDescent="0.25">
      <c r="A56" s="2">
        <v>1830</v>
      </c>
      <c r="B56" s="2" t="s">
        <v>19</v>
      </c>
      <c r="C56" s="2" t="s">
        <v>20</v>
      </c>
      <c r="D56" s="2" t="s">
        <v>19</v>
      </c>
      <c r="E56" s="2" t="s">
        <v>19</v>
      </c>
      <c r="F56" s="2" t="s">
        <v>229</v>
      </c>
      <c r="G56" s="2" t="s">
        <v>230</v>
      </c>
      <c r="H56" s="2" t="s">
        <v>231</v>
      </c>
      <c r="I56" s="2">
        <v>20</v>
      </c>
      <c r="J56" s="2" t="s">
        <v>24</v>
      </c>
      <c r="K56" s="2">
        <v>-17.4072</v>
      </c>
      <c r="L56" s="2">
        <v>-66.176599999999993</v>
      </c>
      <c r="M56" s="2" t="s">
        <v>25</v>
      </c>
      <c r="N56" s="2">
        <v>1830</v>
      </c>
      <c r="O56" s="2" t="s">
        <v>232</v>
      </c>
      <c r="P56" s="2">
        <v>54</v>
      </c>
      <c r="Q56" s="2">
        <v>4</v>
      </c>
      <c r="R56" s="2">
        <f>IFERROR(VLOOKUP(A56,'[1]Recintos Cochabamba'!A$1:R$838,17,FALSE),0)</f>
        <v>25</v>
      </c>
      <c r="S56" s="3">
        <f>IFERROR(VLOOKUP(A56,'[1]Recintos Cochabamba'!A$1:T$838,18,FALSE),0)</f>
        <v>0.28774358298428043</v>
      </c>
    </row>
    <row r="57" spans="1:19" x14ac:dyDescent="0.25">
      <c r="A57" s="2">
        <v>1831</v>
      </c>
      <c r="B57" s="2" t="s">
        <v>19</v>
      </c>
      <c r="C57" s="2" t="s">
        <v>20</v>
      </c>
      <c r="D57" s="2" t="s">
        <v>19</v>
      </c>
      <c r="E57" s="2" t="s">
        <v>19</v>
      </c>
      <c r="F57" s="2" t="s">
        <v>233</v>
      </c>
      <c r="G57" s="2" t="s">
        <v>234</v>
      </c>
      <c r="H57" s="2" t="s">
        <v>235</v>
      </c>
      <c r="I57" s="2">
        <v>21</v>
      </c>
      <c r="J57" s="2" t="s">
        <v>24</v>
      </c>
      <c r="K57" s="2">
        <v>-17.415099999999999</v>
      </c>
      <c r="L57" s="2">
        <v>-66.166300000000007</v>
      </c>
      <c r="M57" s="2" t="s">
        <v>25</v>
      </c>
      <c r="N57" s="2">
        <v>1831</v>
      </c>
      <c r="O57" s="2" t="s">
        <v>236</v>
      </c>
      <c r="P57" s="2">
        <v>16</v>
      </c>
      <c r="Q57" s="2">
        <v>5</v>
      </c>
      <c r="R57" s="2">
        <f>IFERROR(VLOOKUP(A57,'[1]Recintos Cochabamba'!A$1:R$838,17,FALSE),0)</f>
        <v>34</v>
      </c>
      <c r="S57" s="3">
        <f>IFERROR(VLOOKUP(A57,'[1]Recintos Cochabamba'!A$1:T$838,18,FALSE),0)</f>
        <v>0.32069128849463036</v>
      </c>
    </row>
    <row r="58" spans="1:19" x14ac:dyDescent="0.25">
      <c r="A58" s="2">
        <v>1832</v>
      </c>
      <c r="B58" s="2" t="s">
        <v>19</v>
      </c>
      <c r="C58" s="2" t="s">
        <v>20</v>
      </c>
      <c r="D58" s="2" t="s">
        <v>19</v>
      </c>
      <c r="E58" s="2" t="s">
        <v>19</v>
      </c>
      <c r="F58" s="2" t="s">
        <v>237</v>
      </c>
      <c r="G58" s="2" t="s">
        <v>238</v>
      </c>
      <c r="H58" s="2" t="s">
        <v>239</v>
      </c>
      <c r="I58" s="2">
        <v>21</v>
      </c>
      <c r="J58" s="2" t="s">
        <v>24</v>
      </c>
      <c r="K58" s="2">
        <v>-17.4191</v>
      </c>
      <c r="L58" s="2">
        <v>-66.162599999999998</v>
      </c>
      <c r="M58" s="2" t="s">
        <v>25</v>
      </c>
      <c r="N58" s="2">
        <v>1832</v>
      </c>
      <c r="O58" s="2" t="s">
        <v>240</v>
      </c>
      <c r="P58" s="2">
        <v>16</v>
      </c>
      <c r="Q58" s="2">
        <v>5</v>
      </c>
      <c r="R58" s="2">
        <f>IFERROR(VLOOKUP(A58,'[1]Recintos Cochabamba'!A$1:R$838,17,FALSE),0)</f>
        <v>9</v>
      </c>
      <c r="S58" s="3">
        <f>IFERROR(VLOOKUP(A58,'[1]Recintos Cochabamba'!A$1:T$838,18,FALSE),0)</f>
        <v>0.34647729259921478</v>
      </c>
    </row>
    <row r="59" spans="1:19" x14ac:dyDescent="0.25">
      <c r="A59" s="2">
        <v>1833</v>
      </c>
      <c r="B59" s="2" t="s">
        <v>19</v>
      </c>
      <c r="C59" s="2" t="s">
        <v>20</v>
      </c>
      <c r="D59" s="2" t="s">
        <v>19</v>
      </c>
      <c r="E59" s="2" t="s">
        <v>19</v>
      </c>
      <c r="F59" s="2" t="s">
        <v>241</v>
      </c>
      <c r="G59" s="2" t="s">
        <v>215</v>
      </c>
      <c r="H59" s="2" t="s">
        <v>242</v>
      </c>
      <c r="I59" s="2">
        <v>21</v>
      </c>
      <c r="J59" s="2" t="s">
        <v>24</v>
      </c>
      <c r="K59" s="2">
        <v>-17.414200000000001</v>
      </c>
      <c r="L59" s="2">
        <v>-66.157600000000002</v>
      </c>
      <c r="M59" s="2" t="s">
        <v>25</v>
      </c>
      <c r="N59" s="2">
        <v>1833</v>
      </c>
      <c r="O59" s="2" t="s">
        <v>243</v>
      </c>
      <c r="P59" s="2">
        <v>16</v>
      </c>
      <c r="Q59" s="2">
        <v>5</v>
      </c>
      <c r="R59" s="2">
        <f>IFERROR(VLOOKUP(A59,'[1]Recintos Cochabamba'!A$1:R$838,17,FALSE),0)</f>
        <v>13</v>
      </c>
      <c r="S59" s="3">
        <f>IFERROR(VLOOKUP(A59,'[1]Recintos Cochabamba'!A$1:T$838,18,FALSE),0)</f>
        <v>0.2769829338257071</v>
      </c>
    </row>
    <row r="60" spans="1:19" x14ac:dyDescent="0.25">
      <c r="A60" s="2">
        <v>1834</v>
      </c>
      <c r="B60" s="2" t="s">
        <v>19</v>
      </c>
      <c r="C60" s="2" t="s">
        <v>20</v>
      </c>
      <c r="D60" s="2" t="s">
        <v>19</v>
      </c>
      <c r="E60" s="2" t="s">
        <v>19</v>
      </c>
      <c r="F60" s="2" t="s">
        <v>244</v>
      </c>
      <c r="G60" s="2" t="s">
        <v>245</v>
      </c>
      <c r="H60" s="2" t="s">
        <v>246</v>
      </c>
      <c r="I60" s="2">
        <v>21</v>
      </c>
      <c r="J60" s="2" t="s">
        <v>24</v>
      </c>
      <c r="K60" s="2">
        <v>-17.421500000000002</v>
      </c>
      <c r="L60" s="2">
        <v>-66.159800000000004</v>
      </c>
      <c r="M60" s="2" t="s">
        <v>25</v>
      </c>
      <c r="N60" s="2">
        <v>1834</v>
      </c>
      <c r="O60" s="2" t="s">
        <v>247</v>
      </c>
      <c r="P60" s="2">
        <v>16</v>
      </c>
      <c r="Q60" s="2">
        <v>5</v>
      </c>
      <c r="R60" s="2">
        <f>IFERROR(VLOOKUP(A60,'[1]Recintos Cochabamba'!A$1:R$838,17,FALSE),0)</f>
        <v>26</v>
      </c>
      <c r="S60" s="3">
        <f>IFERROR(VLOOKUP(A60,'[1]Recintos Cochabamba'!A$1:T$838,18,FALSE),0)</f>
        <v>0.34671666916481753</v>
      </c>
    </row>
    <row r="61" spans="1:19" x14ac:dyDescent="0.25">
      <c r="A61" s="2">
        <v>1835</v>
      </c>
      <c r="B61" s="2" t="s">
        <v>19</v>
      </c>
      <c r="C61" s="2" t="s">
        <v>20</v>
      </c>
      <c r="D61" s="2" t="s">
        <v>19</v>
      </c>
      <c r="E61" s="2" t="s">
        <v>19</v>
      </c>
      <c r="F61" s="2" t="s">
        <v>248</v>
      </c>
      <c r="G61" s="2" t="s">
        <v>249</v>
      </c>
      <c r="H61" s="2" t="s">
        <v>250</v>
      </c>
      <c r="I61" s="2">
        <v>21</v>
      </c>
      <c r="J61" s="2" t="s">
        <v>24</v>
      </c>
      <c r="K61" s="2">
        <v>-17.415800000000001</v>
      </c>
      <c r="L61" s="2">
        <v>-66.151200000000003</v>
      </c>
      <c r="M61" s="2" t="s">
        <v>25</v>
      </c>
      <c r="N61" s="2">
        <v>1835</v>
      </c>
      <c r="O61" s="2" t="s">
        <v>251</v>
      </c>
      <c r="P61" s="2">
        <v>11</v>
      </c>
      <c r="Q61" s="2">
        <v>6</v>
      </c>
      <c r="R61" s="2">
        <f>IFERROR(VLOOKUP(A61,'[1]Recintos Cochabamba'!A$1:R$838,17,FALSE),0)</f>
        <v>21</v>
      </c>
      <c r="S61" s="3">
        <f>IFERROR(VLOOKUP(A61,'[1]Recintos Cochabamba'!A$1:T$838,18,FALSE),0)</f>
        <v>0.54294926005203814</v>
      </c>
    </row>
    <row r="62" spans="1:19" x14ac:dyDescent="0.25">
      <c r="A62" s="2">
        <v>1836</v>
      </c>
      <c r="B62" s="2" t="s">
        <v>19</v>
      </c>
      <c r="C62" s="2" t="s">
        <v>20</v>
      </c>
      <c r="D62" s="2" t="s">
        <v>19</v>
      </c>
      <c r="E62" s="2" t="s">
        <v>19</v>
      </c>
      <c r="F62" s="2" t="s">
        <v>252</v>
      </c>
      <c r="G62" s="2" t="s">
        <v>253</v>
      </c>
      <c r="H62" s="2" t="s">
        <v>254</v>
      </c>
      <c r="I62" s="2">
        <v>21</v>
      </c>
      <c r="J62" s="2" t="s">
        <v>24</v>
      </c>
      <c r="K62" s="2">
        <v>-17.415600000000001</v>
      </c>
      <c r="L62" s="2">
        <v>-66.144599999999997</v>
      </c>
      <c r="M62" s="2" t="s">
        <v>25</v>
      </c>
      <c r="N62" s="2">
        <v>1836</v>
      </c>
      <c r="O62" s="2" t="s">
        <v>255</v>
      </c>
      <c r="P62" s="2">
        <v>11</v>
      </c>
      <c r="Q62" s="2">
        <v>6</v>
      </c>
      <c r="R62" s="2">
        <f>IFERROR(VLOOKUP(A62,'[1]Recintos Cochabamba'!A$1:R$838,17,FALSE),0)</f>
        <v>21</v>
      </c>
      <c r="S62" s="3">
        <f>IFERROR(VLOOKUP(A62,'[1]Recintos Cochabamba'!A$1:T$838,18,FALSE),0)</f>
        <v>0.56019339502271304</v>
      </c>
    </row>
    <row r="63" spans="1:19" x14ac:dyDescent="0.25">
      <c r="A63" s="2">
        <v>1837</v>
      </c>
      <c r="B63" s="2" t="s">
        <v>19</v>
      </c>
      <c r="C63" s="2" t="s">
        <v>20</v>
      </c>
      <c r="D63" s="2" t="s">
        <v>19</v>
      </c>
      <c r="E63" s="2" t="s">
        <v>19</v>
      </c>
      <c r="F63" s="2" t="s">
        <v>256</v>
      </c>
      <c r="G63" s="2" t="s">
        <v>257</v>
      </c>
      <c r="H63" s="2" t="s">
        <v>258</v>
      </c>
      <c r="I63" s="2">
        <v>21</v>
      </c>
      <c r="J63" s="2" t="s">
        <v>24</v>
      </c>
      <c r="K63" s="2">
        <v>-17.420000000000002</v>
      </c>
      <c r="L63" s="2">
        <v>-66.137200000000007</v>
      </c>
      <c r="M63" s="2" t="s">
        <v>25</v>
      </c>
      <c r="N63" s="2">
        <v>1837</v>
      </c>
      <c r="O63" s="2" t="s">
        <v>259</v>
      </c>
      <c r="P63" s="2">
        <v>11</v>
      </c>
      <c r="Q63" s="2">
        <v>6</v>
      </c>
      <c r="R63" s="2">
        <f>IFERROR(VLOOKUP(A63,'[1]Recintos Cochabamba'!A$1:R$838,17,FALSE),0)</f>
        <v>21</v>
      </c>
      <c r="S63" s="3">
        <f>IFERROR(VLOOKUP(A63,'[1]Recintos Cochabamba'!A$1:T$838,18,FALSE),0)</f>
        <v>0.47198767254946211</v>
      </c>
    </row>
    <row r="64" spans="1:19" x14ac:dyDescent="0.25">
      <c r="A64" s="2">
        <v>1838</v>
      </c>
      <c r="B64" s="2" t="s">
        <v>19</v>
      </c>
      <c r="C64" s="2" t="s">
        <v>20</v>
      </c>
      <c r="D64" s="2" t="s">
        <v>19</v>
      </c>
      <c r="E64" s="2" t="s">
        <v>19</v>
      </c>
      <c r="F64" s="2" t="s">
        <v>260</v>
      </c>
      <c r="G64" s="2" t="s">
        <v>261</v>
      </c>
      <c r="H64" s="2" t="s">
        <v>262</v>
      </c>
      <c r="I64" s="2">
        <v>21</v>
      </c>
      <c r="J64" s="2" t="s">
        <v>24</v>
      </c>
      <c r="K64" s="2">
        <v>-17.428799999999999</v>
      </c>
      <c r="L64" s="2">
        <v>-66.1297</v>
      </c>
      <c r="M64" s="2" t="s">
        <v>25</v>
      </c>
      <c r="N64" s="2">
        <v>1838</v>
      </c>
      <c r="O64" s="2" t="s">
        <v>263</v>
      </c>
      <c r="P64" s="2">
        <v>14</v>
      </c>
      <c r="Q64" s="2">
        <v>8</v>
      </c>
      <c r="R64" s="2">
        <f>IFERROR(VLOOKUP(A64,'[1]Recintos Cochabamba'!A$1:R$838,17,FALSE),0)</f>
        <v>26</v>
      </c>
      <c r="S64" s="3">
        <f>IFERROR(VLOOKUP(A64,'[1]Recintos Cochabamba'!A$1:T$838,18,FALSE),0)</f>
        <v>0.65996257357417221</v>
      </c>
    </row>
    <row r="65" spans="1:19" x14ac:dyDescent="0.25">
      <c r="A65" s="2">
        <v>1839</v>
      </c>
      <c r="B65" s="2" t="s">
        <v>19</v>
      </c>
      <c r="C65" s="2" t="s">
        <v>20</v>
      </c>
      <c r="D65" s="2" t="s">
        <v>19</v>
      </c>
      <c r="E65" s="2" t="s">
        <v>19</v>
      </c>
      <c r="F65" s="2" t="s">
        <v>264</v>
      </c>
      <c r="G65" s="2" t="s">
        <v>265</v>
      </c>
      <c r="H65" s="2" t="s">
        <v>266</v>
      </c>
      <c r="I65" s="2">
        <v>21</v>
      </c>
      <c r="J65" s="2" t="s">
        <v>24</v>
      </c>
      <c r="K65" s="2">
        <v>-17.439599999999999</v>
      </c>
      <c r="L65" s="2">
        <v>-66.118099999999998</v>
      </c>
      <c r="M65" s="2" t="s">
        <v>25</v>
      </c>
      <c r="N65" s="2">
        <v>1839</v>
      </c>
      <c r="O65" s="2" t="s">
        <v>267</v>
      </c>
      <c r="P65" s="2">
        <v>15</v>
      </c>
      <c r="Q65" s="2">
        <v>14</v>
      </c>
      <c r="R65" s="2">
        <f>IFERROR(VLOOKUP(A65,'[1]Recintos Cochabamba'!A$1:R$838,17,FALSE),0)</f>
        <v>33</v>
      </c>
      <c r="S65" s="3">
        <f>IFERROR(VLOOKUP(A65,'[1]Recintos Cochabamba'!A$1:T$838,18,FALSE),0)</f>
        <v>0.75061581315389247</v>
      </c>
    </row>
    <row r="66" spans="1:19" x14ac:dyDescent="0.25">
      <c r="A66" s="2">
        <v>1840</v>
      </c>
      <c r="B66" s="2" t="s">
        <v>19</v>
      </c>
      <c r="C66" s="2" t="s">
        <v>20</v>
      </c>
      <c r="D66" s="2" t="s">
        <v>19</v>
      </c>
      <c r="E66" s="2" t="s">
        <v>19</v>
      </c>
      <c r="F66" s="2" t="s">
        <v>268</v>
      </c>
      <c r="G66" s="2" t="s">
        <v>269</v>
      </c>
      <c r="H66" s="2" t="s">
        <v>270</v>
      </c>
      <c r="I66" s="2">
        <v>21</v>
      </c>
      <c r="J66" s="2" t="s">
        <v>24</v>
      </c>
      <c r="K66" s="2">
        <v>-17.419899999999998</v>
      </c>
      <c r="L66" s="2">
        <v>-66.145700000000005</v>
      </c>
      <c r="M66" s="2" t="s">
        <v>25</v>
      </c>
      <c r="N66" s="2">
        <v>1840</v>
      </c>
      <c r="O66" s="2" t="s">
        <v>271</v>
      </c>
      <c r="P66" s="2">
        <v>11</v>
      </c>
      <c r="Q66" s="2">
        <v>6</v>
      </c>
      <c r="R66" s="2">
        <f>IFERROR(VLOOKUP(A66,'[1]Recintos Cochabamba'!A$1:R$838,17,FALSE),0)</f>
        <v>21</v>
      </c>
      <c r="S66" s="3">
        <f>IFERROR(VLOOKUP(A66,'[1]Recintos Cochabamba'!A$1:T$838,18,FALSE),0)</f>
        <v>0.57528365309230911</v>
      </c>
    </row>
    <row r="67" spans="1:19" x14ac:dyDescent="0.25">
      <c r="A67" s="2">
        <v>1841</v>
      </c>
      <c r="B67" s="2" t="s">
        <v>19</v>
      </c>
      <c r="C67" s="2" t="s">
        <v>20</v>
      </c>
      <c r="D67" s="2" t="s">
        <v>19</v>
      </c>
      <c r="E67" s="2" t="s">
        <v>19</v>
      </c>
      <c r="F67" s="2" t="s">
        <v>272</v>
      </c>
      <c r="G67" s="2" t="s">
        <v>273</v>
      </c>
      <c r="H67" s="2" t="s">
        <v>274</v>
      </c>
      <c r="I67" s="2">
        <v>21</v>
      </c>
      <c r="J67" s="2" t="s">
        <v>24</v>
      </c>
      <c r="K67" s="2">
        <v>-17.4282</v>
      </c>
      <c r="L67" s="2">
        <v>-66.159700000000001</v>
      </c>
      <c r="M67" s="2" t="s">
        <v>25</v>
      </c>
      <c r="N67" s="2">
        <v>1841</v>
      </c>
      <c r="O67" s="2" t="s">
        <v>275</v>
      </c>
      <c r="P67" s="2">
        <v>16</v>
      </c>
      <c r="Q67" s="2">
        <v>5</v>
      </c>
      <c r="R67" s="2">
        <f>IFERROR(VLOOKUP(A67,'[1]Recintos Cochabamba'!A$1:R$838,17,FALSE),0)</f>
        <v>11</v>
      </c>
      <c r="S67" s="3">
        <f>IFERROR(VLOOKUP(A67,'[1]Recintos Cochabamba'!A$1:T$838,18,FALSE),0)</f>
        <v>0.45316373638848884</v>
      </c>
    </row>
    <row r="68" spans="1:19" x14ac:dyDescent="0.25">
      <c r="A68" s="2">
        <v>1842</v>
      </c>
      <c r="B68" s="2" t="s">
        <v>19</v>
      </c>
      <c r="C68" s="2" t="s">
        <v>20</v>
      </c>
      <c r="D68" s="2" t="s">
        <v>19</v>
      </c>
      <c r="E68" s="2" t="s">
        <v>19</v>
      </c>
      <c r="F68" s="2" t="s">
        <v>276</v>
      </c>
      <c r="G68" s="2" t="s">
        <v>277</v>
      </c>
      <c r="H68" s="2" t="s">
        <v>278</v>
      </c>
      <c r="I68" s="2">
        <v>22</v>
      </c>
      <c r="J68" s="2" t="s">
        <v>24</v>
      </c>
      <c r="K68" s="2">
        <v>-17.427299999999999</v>
      </c>
      <c r="L68" s="2">
        <v>-66.177199999999999</v>
      </c>
      <c r="M68" s="2" t="s">
        <v>25</v>
      </c>
      <c r="N68" s="2">
        <v>1842</v>
      </c>
      <c r="O68" s="2" t="s">
        <v>279</v>
      </c>
      <c r="P68" s="2">
        <v>16</v>
      </c>
      <c r="Q68" s="2">
        <v>5</v>
      </c>
      <c r="R68" s="2">
        <f>IFERROR(VLOOKUP(A68,'[1]Recintos Cochabamba'!A$1:R$838,17,FALSE),0)</f>
        <v>15</v>
      </c>
      <c r="S68" s="3">
        <f>IFERROR(VLOOKUP(A68,'[1]Recintos Cochabamba'!A$1:T$838,18,FALSE),0)</f>
        <v>0.62547068328997746</v>
      </c>
    </row>
    <row r="69" spans="1:19" x14ac:dyDescent="0.25">
      <c r="A69" s="2">
        <v>1843</v>
      </c>
      <c r="B69" s="2" t="s">
        <v>19</v>
      </c>
      <c r="C69" s="2" t="s">
        <v>20</v>
      </c>
      <c r="D69" s="2" t="s">
        <v>19</v>
      </c>
      <c r="E69" s="2" t="s">
        <v>19</v>
      </c>
      <c r="F69" s="2" t="s">
        <v>280</v>
      </c>
      <c r="G69" s="2" t="s">
        <v>281</v>
      </c>
      <c r="H69" s="2" t="s">
        <v>282</v>
      </c>
      <c r="I69" s="2">
        <v>21</v>
      </c>
      <c r="J69" s="2" t="s">
        <v>24</v>
      </c>
      <c r="K69" s="2">
        <v>-17.4358</v>
      </c>
      <c r="L69" s="2">
        <v>-66.159499999999994</v>
      </c>
      <c r="M69" s="2" t="s">
        <v>25</v>
      </c>
      <c r="N69" s="2">
        <v>1843</v>
      </c>
      <c r="O69" s="2" t="s">
        <v>283</v>
      </c>
      <c r="P69" s="2">
        <v>16</v>
      </c>
      <c r="Q69" s="2">
        <v>5</v>
      </c>
      <c r="R69" s="2">
        <f>IFERROR(VLOOKUP(A69,'[1]Recintos Cochabamba'!A$1:R$838,17,FALSE),0)</f>
        <v>25</v>
      </c>
      <c r="S69" s="3">
        <f>IFERROR(VLOOKUP(A69,'[1]Recintos Cochabamba'!A$1:T$838,18,FALSE),0)</f>
        <v>0.48696487032337793</v>
      </c>
    </row>
    <row r="70" spans="1:19" x14ac:dyDescent="0.25">
      <c r="A70" s="2">
        <v>1844</v>
      </c>
      <c r="B70" s="2" t="s">
        <v>19</v>
      </c>
      <c r="C70" s="2" t="s">
        <v>20</v>
      </c>
      <c r="D70" s="2" t="s">
        <v>19</v>
      </c>
      <c r="E70" s="2" t="s">
        <v>19</v>
      </c>
      <c r="F70" s="2" t="s">
        <v>284</v>
      </c>
      <c r="G70" s="2" t="s">
        <v>281</v>
      </c>
      <c r="H70" s="2" t="s">
        <v>285</v>
      </c>
      <c r="I70" s="2">
        <v>21</v>
      </c>
      <c r="J70" s="2" t="s">
        <v>24</v>
      </c>
      <c r="K70" s="2">
        <v>-17.433199999999999</v>
      </c>
      <c r="L70" s="2">
        <v>-66.157200000000003</v>
      </c>
      <c r="M70" s="2" t="s">
        <v>25</v>
      </c>
      <c r="N70" s="2">
        <v>1844</v>
      </c>
      <c r="O70" s="2" t="s">
        <v>286</v>
      </c>
      <c r="P70" s="2">
        <v>16</v>
      </c>
      <c r="Q70" s="2">
        <v>5</v>
      </c>
      <c r="R70" s="2">
        <f>IFERROR(VLOOKUP(A70,'[1]Recintos Cochabamba'!A$1:R$838,17,FALSE),0)</f>
        <v>34</v>
      </c>
      <c r="S70" s="3">
        <f>IFERROR(VLOOKUP(A70,'[1]Recintos Cochabamba'!A$1:T$838,18,FALSE),0)</f>
        <v>0.45360356791274953</v>
      </c>
    </row>
    <row r="71" spans="1:19" x14ac:dyDescent="0.25">
      <c r="A71" s="2">
        <v>1845</v>
      </c>
      <c r="B71" s="2" t="s">
        <v>19</v>
      </c>
      <c r="C71" s="2" t="s">
        <v>20</v>
      </c>
      <c r="D71" s="2" t="s">
        <v>19</v>
      </c>
      <c r="E71" s="2" t="s">
        <v>19</v>
      </c>
      <c r="F71" s="2" t="s">
        <v>287</v>
      </c>
      <c r="G71" s="2" t="s">
        <v>288</v>
      </c>
      <c r="H71" s="2" t="s">
        <v>289</v>
      </c>
      <c r="I71" s="2">
        <v>21</v>
      </c>
      <c r="J71" s="2" t="s">
        <v>24</v>
      </c>
      <c r="K71" s="2">
        <v>-17.452400000000001</v>
      </c>
      <c r="L71" s="2">
        <v>-66.129400000000004</v>
      </c>
      <c r="M71" s="2" t="s">
        <v>25</v>
      </c>
      <c r="N71" s="2">
        <v>1845</v>
      </c>
      <c r="O71" s="2" t="s">
        <v>290</v>
      </c>
      <c r="P71" s="2">
        <v>14</v>
      </c>
      <c r="Q71" s="2">
        <v>8</v>
      </c>
      <c r="R71" s="2">
        <f>IFERROR(VLOOKUP(A71,'[1]Recintos Cochabamba'!A$1:R$838,17,FALSE),0)</f>
        <v>13</v>
      </c>
      <c r="S71" s="3">
        <f>IFERROR(VLOOKUP(A71,'[1]Recintos Cochabamba'!A$1:T$838,18,FALSE),0)</f>
        <v>0.67544064417136751</v>
      </c>
    </row>
    <row r="72" spans="1:19" x14ac:dyDescent="0.25">
      <c r="A72" s="2">
        <v>1846</v>
      </c>
      <c r="B72" s="2" t="s">
        <v>19</v>
      </c>
      <c r="C72" s="2" t="s">
        <v>20</v>
      </c>
      <c r="D72" s="2" t="s">
        <v>19</v>
      </c>
      <c r="E72" s="2" t="s">
        <v>19</v>
      </c>
      <c r="F72" s="2" t="s">
        <v>291</v>
      </c>
      <c r="G72" s="2" t="s">
        <v>292</v>
      </c>
      <c r="H72" s="2" t="s">
        <v>293</v>
      </c>
      <c r="I72" s="2">
        <v>21</v>
      </c>
      <c r="J72" s="2" t="s">
        <v>24</v>
      </c>
      <c r="K72" s="2">
        <v>-17.439900000000002</v>
      </c>
      <c r="L72" s="2">
        <v>-66.144099999999995</v>
      </c>
      <c r="M72" s="2" t="s">
        <v>25</v>
      </c>
      <c r="N72" s="2">
        <v>1846</v>
      </c>
      <c r="O72" s="2" t="s">
        <v>294</v>
      </c>
      <c r="P72" s="2">
        <v>14</v>
      </c>
      <c r="Q72" s="2">
        <v>8</v>
      </c>
      <c r="R72" s="2">
        <f>IFERROR(VLOOKUP(A72,'[1]Recintos Cochabamba'!A$1:R$838,17,FALSE),0)</f>
        <v>22</v>
      </c>
      <c r="S72" s="3">
        <f>IFERROR(VLOOKUP(A72,'[1]Recintos Cochabamba'!A$1:T$838,18,FALSE),0)</f>
        <v>0.60737811938484032</v>
      </c>
    </row>
    <row r="73" spans="1:19" x14ac:dyDescent="0.25">
      <c r="A73" s="2">
        <v>1847</v>
      </c>
      <c r="B73" s="2" t="s">
        <v>19</v>
      </c>
      <c r="C73" s="2" t="s">
        <v>20</v>
      </c>
      <c r="D73" s="2" t="s">
        <v>19</v>
      </c>
      <c r="E73" s="2" t="s">
        <v>19</v>
      </c>
      <c r="F73" s="2" t="s">
        <v>295</v>
      </c>
      <c r="G73" s="2" t="s">
        <v>296</v>
      </c>
      <c r="H73" s="2" t="s">
        <v>297</v>
      </c>
      <c r="I73" s="2">
        <v>21</v>
      </c>
      <c r="J73" s="2" t="s">
        <v>24</v>
      </c>
      <c r="K73" s="2">
        <v>-17.439699999999998</v>
      </c>
      <c r="L73" s="2">
        <v>-66.128500000000003</v>
      </c>
      <c r="M73" s="2" t="s">
        <v>25</v>
      </c>
      <c r="N73" s="2">
        <v>1847</v>
      </c>
      <c r="O73" s="2" t="s">
        <v>298</v>
      </c>
      <c r="P73" s="2">
        <v>14</v>
      </c>
      <c r="Q73" s="2">
        <v>8</v>
      </c>
      <c r="R73" s="2">
        <f>IFERROR(VLOOKUP(A73,'[1]Recintos Cochabamba'!A$1:R$838,17,FALSE),0)</f>
        <v>26</v>
      </c>
      <c r="S73" s="3">
        <f>IFERROR(VLOOKUP(A73,'[1]Recintos Cochabamba'!A$1:T$838,18,FALSE),0)</f>
        <v>0.75126817775740784</v>
      </c>
    </row>
    <row r="74" spans="1:19" x14ac:dyDescent="0.25">
      <c r="A74" s="2">
        <v>1848</v>
      </c>
      <c r="B74" s="2" t="s">
        <v>19</v>
      </c>
      <c r="C74" s="2" t="s">
        <v>20</v>
      </c>
      <c r="D74" s="2" t="s">
        <v>19</v>
      </c>
      <c r="E74" s="2" t="s">
        <v>19</v>
      </c>
      <c r="F74" s="2" t="s">
        <v>299</v>
      </c>
      <c r="G74" s="2" t="s">
        <v>300</v>
      </c>
      <c r="H74" s="2" t="s">
        <v>301</v>
      </c>
      <c r="I74" s="2">
        <v>21</v>
      </c>
      <c r="J74" s="2" t="s">
        <v>24</v>
      </c>
      <c r="K74" s="2">
        <v>-17.446999999999999</v>
      </c>
      <c r="L74" s="2">
        <v>-66.120500000000007</v>
      </c>
      <c r="M74" s="2" t="s">
        <v>25</v>
      </c>
      <c r="N74" s="2">
        <v>1848</v>
      </c>
      <c r="O74" s="2" t="s">
        <v>302</v>
      </c>
      <c r="P74" s="2">
        <v>14</v>
      </c>
      <c r="Q74" s="2">
        <v>8</v>
      </c>
      <c r="R74" s="2">
        <f>IFERROR(VLOOKUP(A74,'[1]Recintos Cochabamba'!A$1:R$838,17,FALSE),0)</f>
        <v>22</v>
      </c>
      <c r="S74" s="3">
        <f>IFERROR(VLOOKUP(A74,'[1]Recintos Cochabamba'!A$1:T$838,18,FALSE),0)</f>
        <v>0.68418226064570531</v>
      </c>
    </row>
    <row r="75" spans="1:19" x14ac:dyDescent="0.25">
      <c r="A75" s="2">
        <v>1849</v>
      </c>
      <c r="B75" s="2" t="s">
        <v>19</v>
      </c>
      <c r="C75" s="2" t="s">
        <v>20</v>
      </c>
      <c r="D75" s="2" t="s">
        <v>19</v>
      </c>
      <c r="E75" s="2" t="s">
        <v>19</v>
      </c>
      <c r="F75" s="2" t="s">
        <v>303</v>
      </c>
      <c r="G75" s="2" t="s">
        <v>304</v>
      </c>
      <c r="H75" s="2" t="s">
        <v>305</v>
      </c>
      <c r="I75" s="2">
        <v>21</v>
      </c>
      <c r="J75" s="2" t="s">
        <v>24</v>
      </c>
      <c r="K75" s="2">
        <v>-17.4604</v>
      </c>
      <c r="L75" s="2">
        <v>-66.124300000000005</v>
      </c>
      <c r="M75" s="2" t="s">
        <v>25</v>
      </c>
      <c r="N75" s="2">
        <v>1849</v>
      </c>
      <c r="O75" s="2" t="s">
        <v>306</v>
      </c>
      <c r="P75" s="2">
        <v>14</v>
      </c>
      <c r="Q75" s="2">
        <v>8</v>
      </c>
      <c r="R75" s="2">
        <f>IFERROR(VLOOKUP(A75,'[1]Recintos Cochabamba'!A$1:R$838,17,FALSE),0)</f>
        <v>9</v>
      </c>
      <c r="S75" s="3">
        <v>0</v>
      </c>
    </row>
    <row r="76" spans="1:19" x14ac:dyDescent="0.25">
      <c r="A76" s="2">
        <v>1850</v>
      </c>
      <c r="B76" s="2" t="s">
        <v>19</v>
      </c>
      <c r="C76" s="2" t="s">
        <v>20</v>
      </c>
      <c r="D76" s="2" t="s">
        <v>19</v>
      </c>
      <c r="E76" s="2" t="s">
        <v>19</v>
      </c>
      <c r="F76" s="2" t="s">
        <v>307</v>
      </c>
      <c r="G76" s="2" t="s">
        <v>308</v>
      </c>
      <c r="H76" s="2" t="s">
        <v>309</v>
      </c>
      <c r="I76" s="2">
        <v>21</v>
      </c>
      <c r="J76" s="2" t="s">
        <v>24</v>
      </c>
      <c r="K76" s="2">
        <v>-17.477</v>
      </c>
      <c r="L76" s="2">
        <v>-66.110100000000003</v>
      </c>
      <c r="M76" s="2" t="s">
        <v>25</v>
      </c>
      <c r="N76" s="2">
        <v>1850</v>
      </c>
      <c r="O76" s="2" t="s">
        <v>310</v>
      </c>
      <c r="P76" s="2">
        <v>14</v>
      </c>
      <c r="Q76" s="2">
        <v>8</v>
      </c>
      <c r="R76" s="2">
        <f>IFERROR(VLOOKUP(A76,'[1]Recintos Cochabamba'!A$1:R$838,17,FALSE),0)</f>
        <v>28</v>
      </c>
      <c r="S76" s="3">
        <f>IFERROR(VLOOKUP(A76,'[1]Recintos Cochabamba'!A$1:T$838,18,FALSE),0)</f>
        <v>0.81604465494539113</v>
      </c>
    </row>
    <row r="77" spans="1:19" x14ac:dyDescent="0.25">
      <c r="A77" s="2">
        <v>1851</v>
      </c>
      <c r="B77" s="2" t="s">
        <v>19</v>
      </c>
      <c r="C77" s="2" t="s">
        <v>20</v>
      </c>
      <c r="D77" s="2" t="s">
        <v>19</v>
      </c>
      <c r="E77" s="2" t="s">
        <v>19</v>
      </c>
      <c r="F77" s="2" t="s">
        <v>311</v>
      </c>
      <c r="G77" s="2" t="s">
        <v>312</v>
      </c>
      <c r="H77" s="2" t="s">
        <v>313</v>
      </c>
      <c r="I77" s="2">
        <v>22</v>
      </c>
      <c r="J77" s="2" t="s">
        <v>24</v>
      </c>
      <c r="K77" s="2">
        <v>-17.454499999999999</v>
      </c>
      <c r="L77" s="2">
        <v>-66.166600000000003</v>
      </c>
      <c r="M77" s="2" t="s">
        <v>25</v>
      </c>
      <c r="N77" s="2">
        <v>1851</v>
      </c>
      <c r="O77" s="2" t="s">
        <v>314</v>
      </c>
      <c r="P77" s="2">
        <v>28</v>
      </c>
      <c r="Q77" s="2">
        <v>9</v>
      </c>
      <c r="R77" s="2">
        <f>IFERROR(VLOOKUP(A77,'[1]Recintos Cochabamba'!A$1:R$838,17,FALSE),0)</f>
        <v>58</v>
      </c>
      <c r="S77" s="3">
        <f>IFERROR(VLOOKUP(A77,'[1]Recintos Cochabamba'!A$1:T$838,18,FALSE),0)</f>
        <v>0.72409574447868297</v>
      </c>
    </row>
    <row r="78" spans="1:19" x14ac:dyDescent="0.25">
      <c r="A78" s="2">
        <v>1852</v>
      </c>
      <c r="B78" s="2" t="s">
        <v>19</v>
      </c>
      <c r="C78" s="2" t="s">
        <v>20</v>
      </c>
      <c r="D78" s="2" t="s">
        <v>19</v>
      </c>
      <c r="E78" s="2" t="s">
        <v>19</v>
      </c>
      <c r="F78" s="2" t="s">
        <v>315</v>
      </c>
      <c r="G78" s="2" t="s">
        <v>316</v>
      </c>
      <c r="H78" s="2" t="s">
        <v>317</v>
      </c>
      <c r="I78" s="2">
        <v>22</v>
      </c>
      <c r="J78" s="2" t="s">
        <v>24</v>
      </c>
      <c r="K78" s="2">
        <v>-17.442499999999999</v>
      </c>
      <c r="L78" s="2">
        <v>-66.191800000000001</v>
      </c>
      <c r="M78" s="2" t="s">
        <v>25</v>
      </c>
      <c r="N78" s="2">
        <v>1852</v>
      </c>
      <c r="O78" s="2" t="s">
        <v>318</v>
      </c>
      <c r="P78" s="2">
        <v>28</v>
      </c>
      <c r="Q78" s="2">
        <v>9</v>
      </c>
      <c r="R78" s="2">
        <f>IFERROR(VLOOKUP(A78,'[1]Recintos Cochabamba'!A$1:R$838,17,FALSE),0)</f>
        <v>7</v>
      </c>
      <c r="S78" s="3">
        <f>IFERROR(VLOOKUP(A78,'[1]Recintos Cochabamba'!A$1:T$838,18,FALSE),0)</f>
        <v>0.65995738316090857</v>
      </c>
    </row>
    <row r="79" spans="1:19" x14ac:dyDescent="0.25">
      <c r="A79" s="2">
        <v>1853</v>
      </c>
      <c r="B79" s="2" t="s">
        <v>19</v>
      </c>
      <c r="C79" s="2" t="s">
        <v>20</v>
      </c>
      <c r="D79" s="2" t="s">
        <v>19</v>
      </c>
      <c r="E79" s="2" t="s">
        <v>19</v>
      </c>
      <c r="F79" s="2" t="s">
        <v>319</v>
      </c>
      <c r="G79" s="2" t="s">
        <v>320</v>
      </c>
      <c r="H79" s="2" t="s">
        <v>321</v>
      </c>
      <c r="I79" s="2">
        <v>22</v>
      </c>
      <c r="J79" s="2" t="s">
        <v>24</v>
      </c>
      <c r="K79" s="2">
        <v>-17.4422</v>
      </c>
      <c r="L79" s="2">
        <v>-66.229600000000005</v>
      </c>
      <c r="M79" s="2" t="s">
        <v>25</v>
      </c>
      <c r="N79" s="2">
        <v>1853</v>
      </c>
      <c r="O79" s="2" t="s">
        <v>322</v>
      </c>
      <c r="P79" s="2">
        <v>28</v>
      </c>
      <c r="Q79" s="2">
        <v>9</v>
      </c>
      <c r="R79" s="2">
        <f>IFERROR(VLOOKUP(A79,'[1]Recintos Cochabamba'!A$1:R$838,17,FALSE),0)</f>
        <v>7</v>
      </c>
      <c r="S79" s="3">
        <f>IFERROR(VLOOKUP(A79,'[1]Recintos Cochabamba'!A$1:T$838,18,FALSE),0)</f>
        <v>0.69876093030880693</v>
      </c>
    </row>
    <row r="80" spans="1:19" x14ac:dyDescent="0.25">
      <c r="A80" s="2">
        <v>1854</v>
      </c>
      <c r="B80" s="2" t="s">
        <v>19</v>
      </c>
      <c r="C80" s="2" t="s">
        <v>20</v>
      </c>
      <c r="D80" s="2" t="s">
        <v>19</v>
      </c>
      <c r="E80" s="2" t="s">
        <v>19</v>
      </c>
      <c r="F80" s="2" t="s">
        <v>323</v>
      </c>
      <c r="G80" s="2" t="s">
        <v>324</v>
      </c>
      <c r="H80" s="2" t="s">
        <v>325</v>
      </c>
      <c r="I80" s="2">
        <v>22</v>
      </c>
      <c r="J80" s="2" t="s">
        <v>24</v>
      </c>
      <c r="K80" s="2">
        <v>-17.423100000000002</v>
      </c>
      <c r="L80" s="2">
        <v>-66.202299999999994</v>
      </c>
      <c r="M80" s="2" t="s">
        <v>25</v>
      </c>
      <c r="N80" s="2">
        <v>1854</v>
      </c>
      <c r="O80" s="2" t="s">
        <v>326</v>
      </c>
      <c r="P80" s="2">
        <v>28</v>
      </c>
      <c r="Q80" s="2">
        <v>9</v>
      </c>
      <c r="R80" s="2">
        <f>IFERROR(VLOOKUP(A80,'[1]Recintos Cochabamba'!A$1:R$838,17,FALSE),0)</f>
        <v>12</v>
      </c>
      <c r="S80" s="3">
        <f>IFERROR(VLOOKUP(A80,'[1]Recintos Cochabamba'!A$1:T$838,18,FALSE),0)</f>
        <v>0.72703280382503643</v>
      </c>
    </row>
    <row r="81" spans="1:19" x14ac:dyDescent="0.25">
      <c r="A81" s="2">
        <v>1855</v>
      </c>
      <c r="B81" s="2" t="s">
        <v>19</v>
      </c>
      <c r="C81" s="2" t="s">
        <v>20</v>
      </c>
      <c r="D81" s="2" t="s">
        <v>19</v>
      </c>
      <c r="E81" s="2" t="s">
        <v>19</v>
      </c>
      <c r="F81" s="2" t="s">
        <v>327</v>
      </c>
      <c r="G81" s="2" t="s">
        <v>328</v>
      </c>
      <c r="H81" s="2" t="s">
        <v>329</v>
      </c>
      <c r="I81" s="2">
        <v>22</v>
      </c>
      <c r="J81" s="2" t="s">
        <v>24</v>
      </c>
      <c r="K81" s="2">
        <v>-17.485299999999999</v>
      </c>
      <c r="L81" s="2">
        <v>-66.173199999999994</v>
      </c>
      <c r="M81" s="2" t="s">
        <v>25</v>
      </c>
      <c r="N81" s="2">
        <v>1855</v>
      </c>
      <c r="O81" s="2" t="s">
        <v>330</v>
      </c>
      <c r="P81" s="2">
        <v>28</v>
      </c>
      <c r="Q81" s="2">
        <v>9</v>
      </c>
      <c r="R81" s="2">
        <f>IFERROR(VLOOKUP(A81,'[1]Recintos Cochabamba'!A$1:R$838,17,FALSE),0)</f>
        <v>36</v>
      </c>
      <c r="S81" s="3">
        <f>IFERROR(VLOOKUP(A81,'[1]Recintos Cochabamba'!A$1:T$838,18,FALSE),0)</f>
        <v>0.83163764607943791</v>
      </c>
    </row>
    <row r="82" spans="1:19" x14ac:dyDescent="0.25">
      <c r="A82" s="2">
        <v>1856</v>
      </c>
      <c r="B82" s="2" t="s">
        <v>19</v>
      </c>
      <c r="C82" s="2" t="s">
        <v>20</v>
      </c>
      <c r="D82" s="2" t="s">
        <v>19</v>
      </c>
      <c r="E82" s="2" t="s">
        <v>19</v>
      </c>
      <c r="F82" s="4" t="s">
        <v>331</v>
      </c>
      <c r="G82" s="2" t="s">
        <v>332</v>
      </c>
      <c r="H82" s="2" t="s">
        <v>333</v>
      </c>
      <c r="I82" s="2">
        <v>21</v>
      </c>
      <c r="J82" s="2" t="s">
        <v>24</v>
      </c>
      <c r="K82" s="2">
        <v>-17.376000000000001</v>
      </c>
      <c r="L82" s="2">
        <v>-66.137299999999996</v>
      </c>
      <c r="M82" s="2" t="s">
        <v>25</v>
      </c>
      <c r="N82" s="2">
        <v>1856</v>
      </c>
      <c r="O82" s="2" t="s">
        <v>334</v>
      </c>
      <c r="P82" s="2">
        <v>10</v>
      </c>
      <c r="Q82" s="2">
        <v>11</v>
      </c>
      <c r="R82" s="2">
        <f>IFERROR(VLOOKUP(A82,'[1]Recintos Cochabamba'!A$1:R$838,17,FALSE),0)</f>
        <v>3</v>
      </c>
      <c r="S82" s="3">
        <f>IFERROR(VLOOKUP(A82,'[1]Recintos Cochabamba'!A$1:T$838,18,FALSE),0)</f>
        <v>0.13404987415261296</v>
      </c>
    </row>
    <row r="83" spans="1:19" x14ac:dyDescent="0.25">
      <c r="A83" s="2">
        <v>1857</v>
      </c>
      <c r="B83" s="2" t="s">
        <v>19</v>
      </c>
      <c r="C83" s="2" t="s">
        <v>20</v>
      </c>
      <c r="D83" s="2" t="s">
        <v>19</v>
      </c>
      <c r="E83" s="2" t="s">
        <v>19</v>
      </c>
      <c r="F83" s="2" t="s">
        <v>335</v>
      </c>
      <c r="G83" s="2" t="s">
        <v>336</v>
      </c>
      <c r="H83" s="2" t="s">
        <v>337</v>
      </c>
      <c r="I83" s="2">
        <v>22</v>
      </c>
      <c r="J83" s="2" t="s">
        <v>24</v>
      </c>
      <c r="K83" s="2">
        <v>-17.445699999999999</v>
      </c>
      <c r="L83" s="2">
        <v>-66.210599999999999</v>
      </c>
      <c r="M83" s="2" t="s">
        <v>25</v>
      </c>
      <c r="N83" s="2">
        <v>1857</v>
      </c>
      <c r="O83" s="2" t="s">
        <v>338</v>
      </c>
      <c r="P83" s="2">
        <v>28</v>
      </c>
      <c r="Q83" s="2">
        <v>9</v>
      </c>
      <c r="R83" s="2">
        <f>IFERROR(VLOOKUP(A83,'[1]Recintos Cochabamba'!A$1:R$838,17,FALSE),0)</f>
        <v>20</v>
      </c>
      <c r="S83" s="3">
        <f>IFERROR(VLOOKUP(A83,'[1]Recintos Cochabamba'!A$1:T$838,18,FALSE),0)</f>
        <v>0.77738217755436134</v>
      </c>
    </row>
    <row r="84" spans="1:19" x14ac:dyDescent="0.25">
      <c r="A84" s="2">
        <v>1858</v>
      </c>
      <c r="B84" s="2" t="s">
        <v>19</v>
      </c>
      <c r="C84" s="2" t="s">
        <v>20</v>
      </c>
      <c r="D84" s="2" t="s">
        <v>19</v>
      </c>
      <c r="E84" s="2" t="s">
        <v>19</v>
      </c>
      <c r="F84" s="2" t="s">
        <v>339</v>
      </c>
      <c r="G84" s="2" t="s">
        <v>340</v>
      </c>
      <c r="H84" s="2" t="s">
        <v>341</v>
      </c>
      <c r="I84" s="2">
        <v>21</v>
      </c>
      <c r="J84" s="2" t="s">
        <v>24</v>
      </c>
      <c r="K84" s="2">
        <v>-17.420999999999999</v>
      </c>
      <c r="L84" s="2">
        <v>-66.140100000000004</v>
      </c>
      <c r="M84" s="2" t="s">
        <v>25</v>
      </c>
      <c r="N84" s="2">
        <v>1858</v>
      </c>
      <c r="O84" s="2" t="s">
        <v>342</v>
      </c>
      <c r="P84" s="2">
        <v>11</v>
      </c>
      <c r="Q84" s="2">
        <v>6</v>
      </c>
      <c r="R84" s="2">
        <f>IFERROR(VLOOKUP(A84,'[1]Recintos Cochabamba'!A$1:R$838,17,FALSE),0)</f>
        <v>15</v>
      </c>
      <c r="S84" s="3">
        <f>IFERROR(VLOOKUP(A84,'[1]Recintos Cochabamba'!A$1:T$838,18,FALSE),0)</f>
        <v>0.60102251649384342</v>
      </c>
    </row>
    <row r="85" spans="1:19" x14ac:dyDescent="0.25">
      <c r="A85" s="2">
        <v>1859</v>
      </c>
      <c r="B85" s="2" t="s">
        <v>19</v>
      </c>
      <c r="C85" s="2" t="s">
        <v>20</v>
      </c>
      <c r="D85" s="2" t="s">
        <v>19</v>
      </c>
      <c r="E85" s="2" t="s">
        <v>19</v>
      </c>
      <c r="F85" s="2" t="s">
        <v>343</v>
      </c>
      <c r="G85" s="2" t="s">
        <v>344</v>
      </c>
      <c r="H85" s="2" t="s">
        <v>345</v>
      </c>
      <c r="I85" s="2">
        <v>22</v>
      </c>
      <c r="J85" s="2" t="s">
        <v>24</v>
      </c>
      <c r="K85" s="2">
        <v>-17.453513999999998</v>
      </c>
      <c r="L85" s="2">
        <v>-66.140883000000002</v>
      </c>
      <c r="M85" s="2" t="s">
        <v>25</v>
      </c>
      <c r="N85" s="2">
        <v>1859</v>
      </c>
      <c r="O85" s="2" t="s">
        <v>346</v>
      </c>
      <c r="P85" s="2">
        <v>52</v>
      </c>
      <c r="Q85" s="2">
        <v>15</v>
      </c>
      <c r="R85" s="2">
        <f>IFERROR(VLOOKUP(A85,'[1]Recintos Cochabamba'!A$1:R$838,17,FALSE),0)</f>
        <v>13</v>
      </c>
      <c r="S85" s="3">
        <v>0</v>
      </c>
    </row>
    <row r="86" spans="1:19" x14ac:dyDescent="0.25">
      <c r="A86" s="2">
        <v>1860</v>
      </c>
      <c r="B86" s="2" t="s">
        <v>19</v>
      </c>
      <c r="C86" s="2" t="s">
        <v>20</v>
      </c>
      <c r="D86" s="2" t="s">
        <v>19</v>
      </c>
      <c r="E86" s="2" t="s">
        <v>19</v>
      </c>
      <c r="F86" s="2" t="s">
        <v>347</v>
      </c>
      <c r="G86" s="2" t="s">
        <v>157</v>
      </c>
      <c r="H86" s="2" t="s">
        <v>348</v>
      </c>
      <c r="I86" s="2">
        <v>21</v>
      </c>
      <c r="J86" s="2" t="s">
        <v>24</v>
      </c>
      <c r="K86" s="2">
        <v>-17.3979</v>
      </c>
      <c r="L86" s="2">
        <v>-66.159899999999993</v>
      </c>
      <c r="M86" s="2" t="s">
        <v>25</v>
      </c>
      <c r="N86" s="2">
        <v>1860</v>
      </c>
      <c r="O86" s="2" t="s">
        <v>349</v>
      </c>
      <c r="P86" s="2">
        <v>17</v>
      </c>
      <c r="Q86" s="2">
        <v>10</v>
      </c>
      <c r="R86" s="2">
        <f>IFERROR(VLOOKUP(A86,'[1]Recintos Cochabamba'!A$1:R$838,17,FALSE),0)</f>
        <v>3</v>
      </c>
      <c r="S86" s="3">
        <f>IFERROR(VLOOKUP(A86,'[1]Recintos Cochabamba'!A$1:T$838,18,FALSE),0)</f>
        <v>0.7254150702426565</v>
      </c>
    </row>
    <row r="87" spans="1:19" x14ac:dyDescent="0.25">
      <c r="A87" s="2">
        <v>1861</v>
      </c>
      <c r="B87" s="2" t="s">
        <v>19</v>
      </c>
      <c r="C87" s="2" t="s">
        <v>20</v>
      </c>
      <c r="D87" s="2" t="s">
        <v>19</v>
      </c>
      <c r="E87" s="2" t="s">
        <v>19</v>
      </c>
      <c r="F87" s="2" t="s">
        <v>350</v>
      </c>
      <c r="G87" s="2" t="s">
        <v>208</v>
      </c>
      <c r="H87" s="2" t="s">
        <v>351</v>
      </c>
      <c r="I87" s="2">
        <v>21</v>
      </c>
      <c r="J87" s="2" t="s">
        <v>24</v>
      </c>
      <c r="K87" s="2">
        <v>-17.403199999999998</v>
      </c>
      <c r="L87" s="2">
        <v>-66.156999999999996</v>
      </c>
      <c r="M87" s="2" t="s">
        <v>25</v>
      </c>
      <c r="N87" s="2">
        <v>1861</v>
      </c>
      <c r="O87" s="2" t="s">
        <v>352</v>
      </c>
      <c r="P87" s="2">
        <v>17</v>
      </c>
      <c r="Q87" s="2">
        <v>10</v>
      </c>
      <c r="R87" s="2">
        <f>IFERROR(VLOOKUP(A87,'[1]Recintos Cochabamba'!A$1:R$838,17,FALSE),0)</f>
        <v>2</v>
      </c>
      <c r="S87" s="3">
        <f>IFERROR(VLOOKUP(A87,'[1]Recintos Cochabamba'!A$1:T$838,18,FALSE),0)</f>
        <v>0.76190476190476186</v>
      </c>
    </row>
    <row r="88" spans="1:19" x14ac:dyDescent="0.25">
      <c r="A88" s="2">
        <v>1862</v>
      </c>
      <c r="B88" s="2" t="s">
        <v>19</v>
      </c>
      <c r="C88" s="2" t="s">
        <v>20</v>
      </c>
      <c r="D88" s="2" t="s">
        <v>19</v>
      </c>
      <c r="E88" s="2" t="s">
        <v>19</v>
      </c>
      <c r="F88" s="2" t="s">
        <v>353</v>
      </c>
      <c r="G88" s="2" t="s">
        <v>324</v>
      </c>
      <c r="H88" s="2" t="s">
        <v>354</v>
      </c>
      <c r="I88" s="2">
        <v>22</v>
      </c>
      <c r="J88" s="2" t="s">
        <v>24</v>
      </c>
      <c r="K88" s="2">
        <v>-17.4146</v>
      </c>
      <c r="L88" s="2">
        <v>-66.218800000000002</v>
      </c>
      <c r="M88" s="2" t="s">
        <v>25</v>
      </c>
      <c r="N88" s="2">
        <v>1862</v>
      </c>
      <c r="O88" s="2" t="s">
        <v>355</v>
      </c>
      <c r="P88" s="2">
        <v>27</v>
      </c>
      <c r="Q88" s="2">
        <v>5</v>
      </c>
      <c r="R88" s="2">
        <f>IFERROR(VLOOKUP(A88,'[1]Recintos Cochabamba'!A$1:R$838,17,FALSE),0)</f>
        <v>8</v>
      </c>
      <c r="S88" s="3">
        <f>IFERROR(VLOOKUP(A88,'[1]Recintos Cochabamba'!A$1:T$838,18,FALSE),0)</f>
        <v>0.76287482524394434</v>
      </c>
    </row>
    <row r="89" spans="1:19" x14ac:dyDescent="0.25">
      <c r="A89" s="2">
        <v>1863</v>
      </c>
      <c r="B89" s="2" t="s">
        <v>19</v>
      </c>
      <c r="C89" s="2" t="s">
        <v>20</v>
      </c>
      <c r="D89" s="2" t="s">
        <v>19</v>
      </c>
      <c r="E89" s="2" t="s">
        <v>19</v>
      </c>
      <c r="F89" s="2" t="s">
        <v>356</v>
      </c>
      <c r="G89" s="2" t="s">
        <v>357</v>
      </c>
      <c r="H89" s="2" t="s">
        <v>358</v>
      </c>
      <c r="I89" s="2">
        <v>22</v>
      </c>
      <c r="J89" s="2" t="s">
        <v>24</v>
      </c>
      <c r="K89" s="2">
        <v>-17.486969999999999</v>
      </c>
      <c r="L89" s="2">
        <v>-66.178646999999998</v>
      </c>
      <c r="M89" s="2" t="s">
        <v>25</v>
      </c>
      <c r="N89" s="2">
        <v>1863</v>
      </c>
      <c r="O89" s="2" t="s">
        <v>359</v>
      </c>
      <c r="P89" s="2">
        <v>28</v>
      </c>
      <c r="Q89" s="2">
        <v>9</v>
      </c>
      <c r="R89" s="2">
        <f>IFERROR(VLOOKUP(A89,'[1]Recintos Cochabamba'!A$1:R$838,17,FALSE),0)</f>
        <v>26</v>
      </c>
      <c r="S89" s="3">
        <f>IFERROR(VLOOKUP(A89,'[1]Recintos Cochabamba'!A$1:T$838,18,FALSE),0)</f>
        <v>0.8412935802361533</v>
      </c>
    </row>
    <row r="90" spans="1:19" x14ac:dyDescent="0.25">
      <c r="A90" s="2">
        <v>1864</v>
      </c>
      <c r="B90" s="2" t="s">
        <v>19</v>
      </c>
      <c r="C90" s="2" t="s">
        <v>20</v>
      </c>
      <c r="D90" s="2" t="s">
        <v>19</v>
      </c>
      <c r="E90" s="2" t="s">
        <v>19</v>
      </c>
      <c r="F90" s="2" t="s">
        <v>360</v>
      </c>
      <c r="G90" s="2" t="s">
        <v>361</v>
      </c>
      <c r="H90" s="2" t="s">
        <v>362</v>
      </c>
      <c r="I90" s="2">
        <v>21</v>
      </c>
      <c r="J90" s="2" t="s">
        <v>24</v>
      </c>
      <c r="K90" s="2">
        <v>-17.434999999999999</v>
      </c>
      <c r="L90" s="2">
        <v>-66.115600000000001</v>
      </c>
      <c r="M90" s="2" t="s">
        <v>25</v>
      </c>
      <c r="N90" s="2">
        <v>1864</v>
      </c>
      <c r="O90" s="2" t="s">
        <v>363</v>
      </c>
      <c r="P90" s="2">
        <v>15</v>
      </c>
      <c r="Q90" s="2">
        <v>14</v>
      </c>
      <c r="R90" s="2">
        <f>IFERROR(VLOOKUP(A90,'[1]Recintos Cochabamba'!A$1:R$838,17,FALSE),0)</f>
        <v>18</v>
      </c>
      <c r="S90" s="3">
        <f>IFERROR(VLOOKUP(A90,'[1]Recintos Cochabamba'!A$1:T$838,18,FALSE),0)</f>
        <v>0.80846105316505312</v>
      </c>
    </row>
    <row r="91" spans="1:19" x14ac:dyDescent="0.25">
      <c r="A91" s="2">
        <v>1865</v>
      </c>
      <c r="B91" s="2" t="s">
        <v>19</v>
      </c>
      <c r="C91" s="2" t="s">
        <v>20</v>
      </c>
      <c r="D91" s="2" t="s">
        <v>19</v>
      </c>
      <c r="E91" s="2" t="s">
        <v>19</v>
      </c>
      <c r="F91" s="2" t="s">
        <v>364</v>
      </c>
      <c r="G91" s="2" t="s">
        <v>365</v>
      </c>
      <c r="H91" s="2" t="s">
        <v>366</v>
      </c>
      <c r="I91" s="2">
        <v>22</v>
      </c>
      <c r="J91" s="2" t="s">
        <v>24</v>
      </c>
      <c r="K91" s="2">
        <v>-17.448</v>
      </c>
      <c r="L91" s="2">
        <v>-66.145899999999997</v>
      </c>
      <c r="M91" s="2" t="s">
        <v>25</v>
      </c>
      <c r="N91" s="2">
        <v>1865</v>
      </c>
      <c r="O91" s="2" t="s">
        <v>367</v>
      </c>
      <c r="P91" s="2">
        <v>28</v>
      </c>
      <c r="Q91" s="2">
        <v>9</v>
      </c>
      <c r="R91" s="2">
        <f>IFERROR(VLOOKUP(A91,'[1]Recintos Cochabamba'!A$1:R$838,17,FALSE),0)</f>
        <v>32</v>
      </c>
      <c r="S91" s="3">
        <f>IFERROR(VLOOKUP(A91,'[1]Recintos Cochabamba'!A$1:T$838,18,FALSE),0)</f>
        <v>0.64527056914372638</v>
      </c>
    </row>
    <row r="92" spans="1:19" x14ac:dyDescent="0.25">
      <c r="A92" s="2">
        <v>1866</v>
      </c>
      <c r="B92" s="2" t="s">
        <v>19</v>
      </c>
      <c r="C92" s="2" t="s">
        <v>20</v>
      </c>
      <c r="D92" s="2" t="s">
        <v>19</v>
      </c>
      <c r="E92" s="2" t="s">
        <v>19</v>
      </c>
      <c r="F92" s="2" t="s">
        <v>368</v>
      </c>
      <c r="G92" s="2" t="s">
        <v>369</v>
      </c>
      <c r="H92" s="2" t="s">
        <v>370</v>
      </c>
      <c r="I92" s="2">
        <v>20</v>
      </c>
      <c r="J92" s="2" t="s">
        <v>24</v>
      </c>
      <c r="K92" s="2">
        <v>-17.375399999999999</v>
      </c>
      <c r="L92" s="2">
        <v>-66.186400000000006</v>
      </c>
      <c r="M92" s="2" t="s">
        <v>25</v>
      </c>
      <c r="N92" s="2">
        <v>1866</v>
      </c>
      <c r="O92" s="2" t="s">
        <v>371</v>
      </c>
      <c r="P92" s="2">
        <v>23</v>
      </c>
      <c r="Q92" s="2">
        <v>3</v>
      </c>
      <c r="R92" s="2">
        <f>IFERROR(VLOOKUP(A92,'[1]Recintos Cochabamba'!A$1:R$838,17,FALSE),0)</f>
        <v>27</v>
      </c>
      <c r="S92" s="3">
        <f>IFERROR(VLOOKUP(A92,'[1]Recintos Cochabamba'!A$1:T$838,18,FALSE),0)</f>
        <v>0.23498101709996802</v>
      </c>
    </row>
    <row r="93" spans="1:19" x14ac:dyDescent="0.25">
      <c r="A93" s="2">
        <v>1867</v>
      </c>
      <c r="B93" s="2" t="s">
        <v>19</v>
      </c>
      <c r="C93" s="2" t="s">
        <v>20</v>
      </c>
      <c r="D93" s="2" t="s">
        <v>19</v>
      </c>
      <c r="E93" s="2" t="s">
        <v>19</v>
      </c>
      <c r="F93" s="2" t="s">
        <v>372</v>
      </c>
      <c r="G93" s="2" t="s">
        <v>72</v>
      </c>
      <c r="H93" s="2" t="s">
        <v>373</v>
      </c>
      <c r="I93" s="2">
        <v>20</v>
      </c>
      <c r="J93" s="2" t="s">
        <v>24</v>
      </c>
      <c r="K93" s="2">
        <v>-17.3703</v>
      </c>
      <c r="L93" s="2">
        <v>-66.164400000000001</v>
      </c>
      <c r="M93" s="2" t="s">
        <v>25</v>
      </c>
      <c r="N93" s="2">
        <v>1867</v>
      </c>
      <c r="O93" s="2" t="s">
        <v>374</v>
      </c>
      <c r="P93" s="2">
        <v>13</v>
      </c>
      <c r="Q93" s="2">
        <v>12</v>
      </c>
      <c r="R93" s="2">
        <f>IFERROR(VLOOKUP(A93,'[1]Recintos Cochabamba'!A$1:R$838,17,FALSE),0)</f>
        <v>18</v>
      </c>
      <c r="S93" s="3">
        <f>IFERROR(VLOOKUP(A93,'[1]Recintos Cochabamba'!A$1:T$838,18,FALSE),0)</f>
        <v>0.15598273191024067</v>
      </c>
    </row>
    <row r="94" spans="1:19" x14ac:dyDescent="0.25">
      <c r="A94" s="2">
        <v>1868</v>
      </c>
      <c r="B94" s="2" t="s">
        <v>19</v>
      </c>
      <c r="C94" s="2" t="s">
        <v>20</v>
      </c>
      <c r="D94" s="2" t="s">
        <v>19</v>
      </c>
      <c r="E94" s="2" t="s">
        <v>19</v>
      </c>
      <c r="F94" s="2" t="s">
        <v>375</v>
      </c>
      <c r="G94" s="2" t="s">
        <v>376</v>
      </c>
      <c r="H94" s="2" t="s">
        <v>377</v>
      </c>
      <c r="I94" s="2">
        <v>21</v>
      </c>
      <c r="J94" s="2" t="s">
        <v>24</v>
      </c>
      <c r="K94" s="2">
        <v>-17.462700000000002</v>
      </c>
      <c r="L94" s="2">
        <v>-66.117599999999996</v>
      </c>
      <c r="M94" s="2" t="s">
        <v>25</v>
      </c>
      <c r="N94" s="2">
        <v>1868</v>
      </c>
      <c r="O94" s="2" t="s">
        <v>378</v>
      </c>
      <c r="P94" s="2">
        <v>14</v>
      </c>
      <c r="Q94" s="2">
        <v>8</v>
      </c>
      <c r="R94" s="2">
        <f>IFERROR(VLOOKUP(A94,'[1]Recintos Cochabamba'!A$1:R$838,17,FALSE),0)</f>
        <v>18</v>
      </c>
      <c r="S94" s="3">
        <f>IFERROR(VLOOKUP(A94,'[1]Recintos Cochabamba'!A$1:T$838,18,FALSE),0)</f>
        <v>0.76943595832881595</v>
      </c>
    </row>
    <row r="95" spans="1:19" x14ac:dyDescent="0.25">
      <c r="A95" s="2">
        <v>1869</v>
      </c>
      <c r="B95" s="2" t="s">
        <v>19</v>
      </c>
      <c r="C95" s="2" t="s">
        <v>20</v>
      </c>
      <c r="D95" s="2" t="s">
        <v>19</v>
      </c>
      <c r="E95" s="2" t="s">
        <v>19</v>
      </c>
      <c r="F95" s="2" t="s">
        <v>379</v>
      </c>
      <c r="G95" s="2" t="s">
        <v>380</v>
      </c>
      <c r="H95" s="2" t="s">
        <v>381</v>
      </c>
      <c r="I95" s="2">
        <v>20</v>
      </c>
      <c r="J95" s="2" t="s">
        <v>24</v>
      </c>
      <c r="K95" s="2">
        <v>-17.349499999999999</v>
      </c>
      <c r="L95" s="2">
        <v>-66.165099999999995</v>
      </c>
      <c r="M95" s="2" t="s">
        <v>25</v>
      </c>
      <c r="N95" s="2">
        <v>1869</v>
      </c>
      <c r="O95" s="2" t="s">
        <v>382</v>
      </c>
      <c r="P95" s="2">
        <v>19</v>
      </c>
      <c r="Q95" s="2">
        <v>2</v>
      </c>
      <c r="R95" s="2">
        <f>IFERROR(VLOOKUP(A95,'[1]Recintos Cochabamba'!A$1:R$838,17,FALSE),0)</f>
        <v>17</v>
      </c>
      <c r="S95" s="3">
        <f>IFERROR(VLOOKUP(A95,'[1]Recintos Cochabamba'!A$1:T$838,18,FALSE),0)</f>
        <v>0.53090713907669629</v>
      </c>
    </row>
    <row r="96" spans="1:19" x14ac:dyDescent="0.25">
      <c r="A96" s="2">
        <v>1870</v>
      </c>
      <c r="B96" s="2" t="s">
        <v>19</v>
      </c>
      <c r="C96" s="2" t="s">
        <v>20</v>
      </c>
      <c r="D96" s="2" t="s">
        <v>19</v>
      </c>
      <c r="E96" s="2" t="s">
        <v>19</v>
      </c>
      <c r="F96" s="2" t="s">
        <v>383</v>
      </c>
      <c r="G96" s="2" t="s">
        <v>384</v>
      </c>
      <c r="H96" s="2" t="s">
        <v>385</v>
      </c>
      <c r="I96" s="2">
        <v>21</v>
      </c>
      <c r="J96" s="2" t="s">
        <v>24</v>
      </c>
      <c r="K96" s="2">
        <v>-17.462700000000002</v>
      </c>
      <c r="L96" s="2">
        <v>-66.1053</v>
      </c>
      <c r="M96" s="2" t="s">
        <v>25</v>
      </c>
      <c r="N96" s="2">
        <v>1870</v>
      </c>
      <c r="O96" s="2" t="s">
        <v>386</v>
      </c>
      <c r="P96" s="2">
        <v>14</v>
      </c>
      <c r="Q96" s="2">
        <v>8</v>
      </c>
      <c r="R96" s="2">
        <f>IFERROR(VLOOKUP(A96,'[1]Recintos Cochabamba'!A$1:R$838,17,FALSE),0)</f>
        <v>22</v>
      </c>
      <c r="S96" s="3">
        <f>IFERROR(VLOOKUP(A96,'[1]Recintos Cochabamba'!A$1:T$838,18,FALSE),0)</f>
        <v>0.89551372946406815</v>
      </c>
    </row>
    <row r="97" spans="1:19" x14ac:dyDescent="0.25">
      <c r="A97" s="2">
        <v>1871</v>
      </c>
      <c r="B97" s="2" t="s">
        <v>19</v>
      </c>
      <c r="C97" s="2" t="s">
        <v>20</v>
      </c>
      <c r="D97" s="2" t="s">
        <v>19</v>
      </c>
      <c r="E97" s="2" t="s">
        <v>19</v>
      </c>
      <c r="F97" s="2" t="s">
        <v>387</v>
      </c>
      <c r="G97" s="2" t="s">
        <v>388</v>
      </c>
      <c r="H97" s="2" t="s">
        <v>389</v>
      </c>
      <c r="I97" s="2">
        <v>20</v>
      </c>
      <c r="J97" s="2" t="s">
        <v>24</v>
      </c>
      <c r="K97" s="2">
        <v>-17.371099999999998</v>
      </c>
      <c r="L97" s="2">
        <v>-66.136799999999994</v>
      </c>
      <c r="M97" s="2" t="s">
        <v>25</v>
      </c>
      <c r="N97" s="2">
        <v>1871</v>
      </c>
      <c r="O97" s="2" t="s">
        <v>390</v>
      </c>
      <c r="P97" s="2">
        <v>41</v>
      </c>
      <c r="Q97" s="2">
        <v>1</v>
      </c>
      <c r="R97" s="2">
        <f>IFERROR(VLOOKUP(A97,'[1]Recintos Cochabamba'!A$1:R$838,17,FALSE),0)</f>
        <v>13</v>
      </c>
      <c r="S97" s="3">
        <f>IFERROR(VLOOKUP(A97,'[1]Recintos Cochabamba'!A$1:T$838,18,FALSE),0)</f>
        <v>0.20312077655628319</v>
      </c>
    </row>
    <row r="98" spans="1:19" x14ac:dyDescent="0.25">
      <c r="A98" s="2">
        <v>1872</v>
      </c>
      <c r="B98" s="2" t="s">
        <v>19</v>
      </c>
      <c r="C98" s="2" t="s">
        <v>20</v>
      </c>
      <c r="D98" s="2" t="s">
        <v>19</v>
      </c>
      <c r="E98" s="2" t="s">
        <v>19</v>
      </c>
      <c r="F98" s="2" t="s">
        <v>391</v>
      </c>
      <c r="G98" s="2" t="s">
        <v>245</v>
      </c>
      <c r="H98" s="2" t="s">
        <v>392</v>
      </c>
      <c r="I98" s="2">
        <v>21</v>
      </c>
      <c r="J98" s="2" t="s">
        <v>24</v>
      </c>
      <c r="K98" s="2">
        <v>-17.4209</v>
      </c>
      <c r="L98" s="2">
        <v>-66.159199999999998</v>
      </c>
      <c r="M98" s="2" t="s">
        <v>25</v>
      </c>
      <c r="N98" s="2">
        <v>1872</v>
      </c>
      <c r="O98" s="2" t="s">
        <v>393</v>
      </c>
      <c r="P98" s="2">
        <v>16</v>
      </c>
      <c r="Q98" s="2">
        <v>5</v>
      </c>
      <c r="R98" s="2">
        <f>IFERROR(VLOOKUP(A98,'[1]Recintos Cochabamba'!A$1:R$838,17,FALSE),0)</f>
        <v>17</v>
      </c>
      <c r="S98" s="3">
        <f>IFERROR(VLOOKUP(A98,'[1]Recintos Cochabamba'!A$1:T$838,18,FALSE),0)</f>
        <v>0.35269332952912397</v>
      </c>
    </row>
    <row r="99" spans="1:19" x14ac:dyDescent="0.25">
      <c r="A99" s="2">
        <v>1873</v>
      </c>
      <c r="B99" s="2" t="s">
        <v>19</v>
      </c>
      <c r="C99" s="2" t="s">
        <v>20</v>
      </c>
      <c r="D99" s="2" t="s">
        <v>19</v>
      </c>
      <c r="E99" s="2" t="s">
        <v>19</v>
      </c>
      <c r="F99" s="2" t="s">
        <v>394</v>
      </c>
      <c r="G99" s="2" t="s">
        <v>395</v>
      </c>
      <c r="H99" s="2" t="s">
        <v>396</v>
      </c>
      <c r="I99" s="2">
        <v>22</v>
      </c>
      <c r="J99" s="2" t="s">
        <v>24</v>
      </c>
      <c r="K99" s="2">
        <v>-17.413499999999999</v>
      </c>
      <c r="L99" s="2">
        <v>-66.1678</v>
      </c>
      <c r="M99" s="2" t="s">
        <v>25</v>
      </c>
      <c r="N99" s="2">
        <v>1873</v>
      </c>
      <c r="O99" s="2" t="s">
        <v>397</v>
      </c>
      <c r="P99" s="2">
        <v>16</v>
      </c>
      <c r="Q99" s="2">
        <v>5</v>
      </c>
      <c r="R99" s="2">
        <f>IFERROR(VLOOKUP(A99,'[1]Recintos Cochabamba'!A$1:R$838,17,FALSE),0)</f>
        <v>9</v>
      </c>
      <c r="S99" s="3">
        <f>IFERROR(VLOOKUP(A99,'[1]Recintos Cochabamba'!A$1:T$838,18,FALSE),0)</f>
        <v>0.35217296578384688</v>
      </c>
    </row>
    <row r="100" spans="1:19" x14ac:dyDescent="0.25">
      <c r="A100" s="2">
        <v>1874</v>
      </c>
      <c r="B100" s="2" t="s">
        <v>19</v>
      </c>
      <c r="C100" s="2" t="s">
        <v>20</v>
      </c>
      <c r="D100" s="2" t="s">
        <v>19</v>
      </c>
      <c r="E100" s="2" t="s">
        <v>19</v>
      </c>
      <c r="F100" s="2" t="s">
        <v>398</v>
      </c>
      <c r="G100" s="2" t="s">
        <v>399</v>
      </c>
      <c r="H100" s="2" t="s">
        <v>400</v>
      </c>
      <c r="I100" s="2">
        <v>22</v>
      </c>
      <c r="J100" s="2" t="s">
        <v>24</v>
      </c>
      <c r="K100" s="2">
        <v>-17.421399999999998</v>
      </c>
      <c r="L100" s="2">
        <v>-66.167400000000001</v>
      </c>
      <c r="M100" s="2" t="s">
        <v>25</v>
      </c>
      <c r="N100" s="2">
        <v>1874</v>
      </c>
      <c r="O100" s="2" t="s">
        <v>401</v>
      </c>
      <c r="P100" s="2">
        <v>16</v>
      </c>
      <c r="Q100" s="2">
        <v>5</v>
      </c>
      <c r="R100" s="2">
        <f>IFERROR(VLOOKUP(A100,'[1]Recintos Cochabamba'!A$1:R$838,17,FALSE),0)</f>
        <v>9</v>
      </c>
      <c r="S100" s="3">
        <f>IFERROR(VLOOKUP(A100,'[1]Recintos Cochabamba'!A$1:T$838,18,FALSE),0)</f>
        <v>0.42558101351027094</v>
      </c>
    </row>
    <row r="101" spans="1:19" x14ac:dyDescent="0.25">
      <c r="A101" s="2">
        <v>1875</v>
      </c>
      <c r="B101" s="2" t="s">
        <v>19</v>
      </c>
      <c r="C101" s="2" t="s">
        <v>20</v>
      </c>
      <c r="D101" s="2" t="s">
        <v>19</v>
      </c>
      <c r="E101" s="2" t="s">
        <v>19</v>
      </c>
      <c r="F101" s="2" t="s">
        <v>402</v>
      </c>
      <c r="G101" s="2" t="s">
        <v>269</v>
      </c>
      <c r="H101" s="2" t="s">
        <v>403</v>
      </c>
      <c r="I101" s="2">
        <v>21</v>
      </c>
      <c r="J101" s="2" t="s">
        <v>24</v>
      </c>
      <c r="K101" s="2">
        <v>-17.419</v>
      </c>
      <c r="L101" s="2">
        <v>-66.146100000000004</v>
      </c>
      <c r="M101" s="2" t="s">
        <v>25</v>
      </c>
      <c r="N101" s="2">
        <v>1875</v>
      </c>
      <c r="O101" s="2" t="s">
        <v>404</v>
      </c>
      <c r="P101" s="2">
        <v>11</v>
      </c>
      <c r="Q101" s="2">
        <v>6</v>
      </c>
      <c r="R101" s="2">
        <f>IFERROR(VLOOKUP(A101,'[1]Recintos Cochabamba'!A$1:R$838,17,FALSE),0)</f>
        <v>22</v>
      </c>
      <c r="S101" s="3">
        <f>IFERROR(VLOOKUP(A101,'[1]Recintos Cochabamba'!A$1:T$838,18,FALSE),0)</f>
        <v>0.55944468127547931</v>
      </c>
    </row>
    <row r="102" spans="1:19" x14ac:dyDescent="0.25">
      <c r="A102" s="2">
        <v>1876</v>
      </c>
      <c r="B102" s="2" t="s">
        <v>19</v>
      </c>
      <c r="C102" s="2" t="s">
        <v>20</v>
      </c>
      <c r="D102" s="2" t="s">
        <v>19</v>
      </c>
      <c r="E102" s="2" t="s">
        <v>19</v>
      </c>
      <c r="F102" s="2" t="s">
        <v>405</v>
      </c>
      <c r="G102" s="2" t="s">
        <v>406</v>
      </c>
      <c r="H102" s="2" t="s">
        <v>407</v>
      </c>
      <c r="I102" s="2">
        <v>21</v>
      </c>
      <c r="J102" s="2" t="s">
        <v>24</v>
      </c>
      <c r="K102" s="2">
        <v>-17.423300000000001</v>
      </c>
      <c r="L102" s="2">
        <v>-66.144800000000004</v>
      </c>
      <c r="M102" s="2" t="s">
        <v>25</v>
      </c>
      <c r="N102" s="2">
        <v>1876</v>
      </c>
      <c r="O102" s="2" t="s">
        <v>408</v>
      </c>
      <c r="P102" s="2">
        <v>11</v>
      </c>
      <c r="Q102" s="2">
        <v>6</v>
      </c>
      <c r="R102" s="2">
        <f>IFERROR(VLOOKUP(A102,'[1]Recintos Cochabamba'!A$1:R$838,17,FALSE),0)</f>
        <v>4</v>
      </c>
      <c r="S102" s="3">
        <f>IFERROR(VLOOKUP(A102,'[1]Recintos Cochabamba'!A$1:T$838,18,FALSE),0)</f>
        <v>0.77116212480840129</v>
      </c>
    </row>
    <row r="103" spans="1:19" x14ac:dyDescent="0.25">
      <c r="A103" s="2">
        <v>1877</v>
      </c>
      <c r="B103" s="2" t="s">
        <v>19</v>
      </c>
      <c r="C103" s="2" t="s">
        <v>20</v>
      </c>
      <c r="D103" s="2" t="s">
        <v>19</v>
      </c>
      <c r="E103" s="2" t="s">
        <v>19</v>
      </c>
      <c r="F103" s="2" t="s">
        <v>409</v>
      </c>
      <c r="G103" s="2" t="s">
        <v>22</v>
      </c>
      <c r="H103" s="2" t="s">
        <v>410</v>
      </c>
      <c r="I103" s="2">
        <v>20</v>
      </c>
      <c r="J103" s="2" t="s">
        <v>24</v>
      </c>
      <c r="K103" s="2">
        <v>-17.354600000000001</v>
      </c>
      <c r="L103" s="2">
        <v>-66.190600000000003</v>
      </c>
      <c r="M103" s="2" t="s">
        <v>25</v>
      </c>
      <c r="N103" s="2">
        <v>1877</v>
      </c>
      <c r="O103" s="2" t="s">
        <v>411</v>
      </c>
      <c r="P103" s="2">
        <v>1</v>
      </c>
      <c r="Q103" s="2">
        <v>6</v>
      </c>
      <c r="R103" s="2">
        <f>IFERROR(VLOOKUP(A103,'[1]Recintos Cochabamba'!A$1:R$838,17,FALSE),0)</f>
        <v>15</v>
      </c>
      <c r="S103" s="3">
        <f>IFERROR(VLOOKUP(A103,'[1]Recintos Cochabamba'!A$1:T$838,18,FALSE),0)</f>
        <v>0.40496971888046102</v>
      </c>
    </row>
    <row r="104" spans="1:19" x14ac:dyDescent="0.25">
      <c r="A104" s="2">
        <v>1878</v>
      </c>
      <c r="B104" s="2" t="s">
        <v>19</v>
      </c>
      <c r="C104" s="2" t="s">
        <v>20</v>
      </c>
      <c r="D104" s="2" t="s">
        <v>19</v>
      </c>
      <c r="E104" s="2" t="s">
        <v>19</v>
      </c>
      <c r="F104" s="2" t="s">
        <v>412</v>
      </c>
      <c r="G104" s="2" t="s">
        <v>413</v>
      </c>
      <c r="H104" s="2" t="s">
        <v>414</v>
      </c>
      <c r="I104" s="2">
        <v>20</v>
      </c>
      <c r="J104" s="2" t="s">
        <v>24</v>
      </c>
      <c r="K104" s="2">
        <v>-17.3979</v>
      </c>
      <c r="L104" s="2">
        <v>-66.180099999999996</v>
      </c>
      <c r="M104" s="2" t="s">
        <v>25</v>
      </c>
      <c r="N104" s="2">
        <v>1878</v>
      </c>
      <c r="O104" s="2" t="s">
        <v>415</v>
      </c>
      <c r="P104" s="2">
        <v>54</v>
      </c>
      <c r="Q104" s="2">
        <v>4</v>
      </c>
      <c r="R104" s="2">
        <f>IFERROR(VLOOKUP(A104,'[1]Recintos Cochabamba'!A$1:R$838,17,FALSE),0)</f>
        <v>13</v>
      </c>
      <c r="S104" s="3">
        <f>IFERROR(VLOOKUP(A104,'[1]Recintos Cochabamba'!A$1:T$838,18,FALSE),0)</f>
        <v>0.32076829163287124</v>
      </c>
    </row>
    <row r="105" spans="1:19" x14ac:dyDescent="0.25">
      <c r="A105" s="2">
        <v>1879</v>
      </c>
      <c r="B105" s="2" t="s">
        <v>19</v>
      </c>
      <c r="C105" s="2" t="s">
        <v>20</v>
      </c>
      <c r="D105" s="2" t="s">
        <v>19</v>
      </c>
      <c r="E105" s="2" t="s">
        <v>19</v>
      </c>
      <c r="F105" s="2" t="s">
        <v>416</v>
      </c>
      <c r="G105" s="2" t="s">
        <v>417</v>
      </c>
      <c r="H105" s="2" t="s">
        <v>418</v>
      </c>
      <c r="I105" s="2">
        <v>20</v>
      </c>
      <c r="J105" s="2" t="s">
        <v>24</v>
      </c>
      <c r="K105" s="2">
        <v>-17.4084</v>
      </c>
      <c r="L105" s="2">
        <v>-66.182500000000005</v>
      </c>
      <c r="M105" s="2" t="s">
        <v>25</v>
      </c>
      <c r="N105" s="2">
        <v>1879</v>
      </c>
      <c r="O105" s="2" t="s">
        <v>419</v>
      </c>
      <c r="P105" s="2">
        <v>54</v>
      </c>
      <c r="Q105" s="2">
        <v>4</v>
      </c>
      <c r="R105" s="2">
        <f>IFERROR(VLOOKUP(A105,'[1]Recintos Cochabamba'!A$1:R$838,17,FALSE),0)</f>
        <v>7</v>
      </c>
      <c r="S105" s="3">
        <f>IFERROR(VLOOKUP(A105,'[1]Recintos Cochabamba'!A$1:T$838,18,FALSE),0)</f>
        <v>0.30875312534901783</v>
      </c>
    </row>
    <row r="106" spans="1:19" x14ac:dyDescent="0.25">
      <c r="A106" s="2">
        <v>1880</v>
      </c>
      <c r="B106" s="2" t="s">
        <v>19</v>
      </c>
      <c r="C106" s="2" t="s">
        <v>20</v>
      </c>
      <c r="D106" s="2" t="s">
        <v>19</v>
      </c>
      <c r="E106" s="2" t="s">
        <v>19</v>
      </c>
      <c r="F106" s="2" t="s">
        <v>420</v>
      </c>
      <c r="G106" s="2" t="s">
        <v>421</v>
      </c>
      <c r="H106" s="2" t="s">
        <v>422</v>
      </c>
      <c r="I106" s="2">
        <v>20</v>
      </c>
      <c r="J106" s="2" t="s">
        <v>24</v>
      </c>
      <c r="K106" s="2">
        <v>-17.398900000000001</v>
      </c>
      <c r="L106" s="2">
        <v>-66.168899999999994</v>
      </c>
      <c r="M106" s="2" t="s">
        <v>25</v>
      </c>
      <c r="N106" s="2">
        <v>1880</v>
      </c>
      <c r="O106" s="2" t="s">
        <v>423</v>
      </c>
      <c r="P106" s="2">
        <v>54</v>
      </c>
      <c r="Q106" s="2">
        <v>4</v>
      </c>
      <c r="R106" s="2">
        <f>IFERROR(VLOOKUP(A106,'[1]Recintos Cochabamba'!A$1:R$838,17,FALSE),0)</f>
        <v>2</v>
      </c>
      <c r="S106" s="3">
        <f>IFERROR(VLOOKUP(A106,'[1]Recintos Cochabamba'!A$1:T$838,18,FALSE),0)</f>
        <v>0.29129253962975277</v>
      </c>
    </row>
    <row r="107" spans="1:19" x14ac:dyDescent="0.25">
      <c r="A107" s="2">
        <v>1881</v>
      </c>
      <c r="B107" s="2" t="s">
        <v>19</v>
      </c>
      <c r="C107" s="2" t="s">
        <v>20</v>
      </c>
      <c r="D107" s="2" t="s">
        <v>19</v>
      </c>
      <c r="E107" s="2" t="s">
        <v>19</v>
      </c>
      <c r="F107" s="2" t="s">
        <v>424</v>
      </c>
      <c r="G107" s="2" t="s">
        <v>110</v>
      </c>
      <c r="H107" s="2" t="s">
        <v>425</v>
      </c>
      <c r="I107" s="2">
        <v>20</v>
      </c>
      <c r="J107" s="2" t="s">
        <v>24</v>
      </c>
      <c r="K107" s="2">
        <v>-17.389800000000001</v>
      </c>
      <c r="L107" s="2">
        <v>-66.202100000000002</v>
      </c>
      <c r="M107" s="2" t="s">
        <v>25</v>
      </c>
      <c r="N107" s="2">
        <v>1881</v>
      </c>
      <c r="O107" s="2" t="s">
        <v>426</v>
      </c>
      <c r="P107" s="2">
        <v>54</v>
      </c>
      <c r="Q107" s="2">
        <v>4</v>
      </c>
      <c r="R107" s="2">
        <f>IFERROR(VLOOKUP(A107,'[1]Recintos Cochabamba'!A$1:R$838,17,FALSE),0)</f>
        <v>18</v>
      </c>
      <c r="S107" s="3">
        <f>IFERROR(VLOOKUP(A107,'[1]Recintos Cochabamba'!A$1:T$838,18,FALSE),0)</f>
        <v>0.32817918298477511</v>
      </c>
    </row>
    <row r="108" spans="1:19" x14ac:dyDescent="0.25">
      <c r="A108" s="2">
        <v>1882</v>
      </c>
      <c r="B108" s="2" t="s">
        <v>19</v>
      </c>
      <c r="C108" s="2" t="s">
        <v>20</v>
      </c>
      <c r="D108" s="2" t="s">
        <v>19</v>
      </c>
      <c r="E108" s="2" t="s">
        <v>19</v>
      </c>
      <c r="F108" s="2" t="s">
        <v>427</v>
      </c>
      <c r="G108" s="2" t="s">
        <v>428</v>
      </c>
      <c r="H108" s="2" t="s">
        <v>429</v>
      </c>
      <c r="I108" s="2">
        <v>20</v>
      </c>
      <c r="J108" s="2" t="s">
        <v>24</v>
      </c>
      <c r="K108" s="2">
        <v>-17.385300000000001</v>
      </c>
      <c r="L108" s="2">
        <v>-66.206400000000002</v>
      </c>
      <c r="M108" s="2" t="s">
        <v>25</v>
      </c>
      <c r="N108" s="2">
        <v>1882</v>
      </c>
      <c r="O108" s="2" t="s">
        <v>430</v>
      </c>
      <c r="P108" s="2">
        <v>54</v>
      </c>
      <c r="Q108" s="2">
        <v>4</v>
      </c>
      <c r="R108" s="2">
        <f>IFERROR(VLOOKUP(A108,'[1]Recintos Cochabamba'!A$1:R$838,17,FALSE),0)</f>
        <v>9</v>
      </c>
      <c r="S108" s="3">
        <f>IFERROR(VLOOKUP(A108,'[1]Recintos Cochabamba'!A$1:T$838,18,FALSE),0)</f>
        <v>0.34116554790405473</v>
      </c>
    </row>
    <row r="109" spans="1:19" x14ac:dyDescent="0.25">
      <c r="A109" s="2">
        <v>1883</v>
      </c>
      <c r="B109" s="2" t="s">
        <v>19</v>
      </c>
      <c r="C109" s="2" t="s">
        <v>20</v>
      </c>
      <c r="D109" s="2" t="s">
        <v>19</v>
      </c>
      <c r="E109" s="2" t="s">
        <v>19</v>
      </c>
      <c r="F109" s="2" t="s">
        <v>431</v>
      </c>
      <c r="G109" s="2" t="s">
        <v>432</v>
      </c>
      <c r="H109" s="2" t="s">
        <v>433</v>
      </c>
      <c r="I109" s="2">
        <v>21</v>
      </c>
      <c r="J109" s="2" t="s">
        <v>24</v>
      </c>
      <c r="K109" s="2">
        <v>-17.426200000000001</v>
      </c>
      <c r="L109" s="2">
        <v>-66.150999999999996</v>
      </c>
      <c r="M109" s="2" t="s">
        <v>25</v>
      </c>
      <c r="N109" s="2">
        <v>1883</v>
      </c>
      <c r="O109" s="2" t="s">
        <v>434</v>
      </c>
      <c r="P109" s="2">
        <v>11</v>
      </c>
      <c r="Q109" s="2">
        <v>6</v>
      </c>
      <c r="R109" s="2">
        <f>IFERROR(VLOOKUP(A109,'[1]Recintos Cochabamba'!A$1:R$838,17,FALSE),0)</f>
        <v>4</v>
      </c>
      <c r="S109" s="3">
        <v>0</v>
      </c>
    </row>
    <row r="110" spans="1:19" x14ac:dyDescent="0.25">
      <c r="A110" s="2">
        <v>1884</v>
      </c>
      <c r="B110" s="2" t="s">
        <v>19</v>
      </c>
      <c r="C110" s="2" t="s">
        <v>20</v>
      </c>
      <c r="D110" s="2" t="s">
        <v>19</v>
      </c>
      <c r="E110" s="2" t="s">
        <v>19</v>
      </c>
      <c r="F110" s="2" t="s">
        <v>435</v>
      </c>
      <c r="G110" s="2" t="s">
        <v>436</v>
      </c>
      <c r="H110" s="2" t="s">
        <v>437</v>
      </c>
      <c r="I110" s="2">
        <v>21</v>
      </c>
      <c r="J110" s="2" t="s">
        <v>24</v>
      </c>
      <c r="K110" s="2">
        <v>-17.427099999999999</v>
      </c>
      <c r="L110" s="2">
        <v>-66.143299999999996</v>
      </c>
      <c r="M110" s="2" t="s">
        <v>25</v>
      </c>
      <c r="N110" s="2">
        <v>1884</v>
      </c>
      <c r="O110" s="2" t="s">
        <v>438</v>
      </c>
      <c r="P110" s="2">
        <v>14</v>
      </c>
      <c r="Q110" s="2">
        <v>8</v>
      </c>
      <c r="R110" s="2">
        <f>IFERROR(VLOOKUP(A110,'[1]Recintos Cochabamba'!A$1:R$838,17,FALSE),0)</f>
        <v>20</v>
      </c>
      <c r="S110" s="3">
        <f>IFERROR(VLOOKUP(A110,'[1]Recintos Cochabamba'!A$1:T$838,18,FALSE),0)</f>
        <v>0.81557384111000031</v>
      </c>
    </row>
    <row r="111" spans="1:19" x14ac:dyDescent="0.25">
      <c r="A111" s="2">
        <v>1885</v>
      </c>
      <c r="B111" s="2" t="s">
        <v>19</v>
      </c>
      <c r="C111" s="2" t="s">
        <v>20</v>
      </c>
      <c r="D111" s="2" t="s">
        <v>19</v>
      </c>
      <c r="E111" s="2" t="s">
        <v>19</v>
      </c>
      <c r="F111" s="2" t="s">
        <v>439</v>
      </c>
      <c r="G111" s="2" t="s">
        <v>440</v>
      </c>
      <c r="H111" s="2" t="s">
        <v>441</v>
      </c>
      <c r="I111" s="2">
        <v>21</v>
      </c>
      <c r="J111" s="2" t="s">
        <v>24</v>
      </c>
      <c r="K111" s="2">
        <v>-17.4255</v>
      </c>
      <c r="L111" s="2">
        <v>-66.123500000000007</v>
      </c>
      <c r="M111" s="2" t="s">
        <v>25</v>
      </c>
      <c r="N111" s="2">
        <v>1885</v>
      </c>
      <c r="O111" s="2" t="s">
        <v>442</v>
      </c>
      <c r="P111" s="2">
        <v>12</v>
      </c>
      <c r="Q111" s="2">
        <v>7</v>
      </c>
      <c r="R111" s="2">
        <f>IFERROR(VLOOKUP(A111,'[1]Recintos Cochabamba'!A$1:R$838,17,FALSE),0)</f>
        <v>15</v>
      </c>
      <c r="S111" s="3">
        <f>IFERROR(VLOOKUP(A111,'[1]Recintos Cochabamba'!A$1:T$838,18,FALSE),0)</f>
        <v>0.69245412019156782</v>
      </c>
    </row>
    <row r="112" spans="1:19" x14ac:dyDescent="0.25">
      <c r="A112" s="2">
        <v>1886</v>
      </c>
      <c r="B112" s="2" t="s">
        <v>19</v>
      </c>
      <c r="C112" s="2" t="s">
        <v>20</v>
      </c>
      <c r="D112" s="2" t="s">
        <v>19</v>
      </c>
      <c r="E112" s="2" t="s">
        <v>19</v>
      </c>
      <c r="F112" s="2" t="s">
        <v>443</v>
      </c>
      <c r="G112" s="2" t="s">
        <v>444</v>
      </c>
      <c r="H112" s="2" t="s">
        <v>445</v>
      </c>
      <c r="I112" s="2">
        <v>22</v>
      </c>
      <c r="J112" s="2" t="s">
        <v>24</v>
      </c>
      <c r="K112" s="2">
        <v>-17.4636</v>
      </c>
      <c r="L112" s="2">
        <v>-66.152100000000004</v>
      </c>
      <c r="M112" s="2" t="s">
        <v>25</v>
      </c>
      <c r="N112" s="2">
        <v>1886</v>
      </c>
      <c r="O112" s="2" t="s">
        <v>446</v>
      </c>
      <c r="P112" s="2">
        <v>28</v>
      </c>
      <c r="Q112" s="2">
        <v>9</v>
      </c>
      <c r="R112" s="2">
        <f>IFERROR(VLOOKUP(A112,'[1]Recintos Cochabamba'!A$1:R$838,17,FALSE),0)</f>
        <v>10</v>
      </c>
      <c r="S112" s="3">
        <f>IFERROR(VLOOKUP(A112,'[1]Recintos Cochabamba'!A$1:T$838,18,FALSE),0)</f>
        <v>0.78916618106434044</v>
      </c>
    </row>
    <row r="113" spans="1:19" x14ac:dyDescent="0.25">
      <c r="A113" s="2">
        <v>1887</v>
      </c>
      <c r="B113" s="2" t="s">
        <v>19</v>
      </c>
      <c r="C113" s="2" t="s">
        <v>20</v>
      </c>
      <c r="D113" s="2" t="s">
        <v>19</v>
      </c>
      <c r="E113" s="2" t="s">
        <v>19</v>
      </c>
      <c r="F113" s="2" t="s">
        <v>447</v>
      </c>
      <c r="G113" s="2" t="s">
        <v>28</v>
      </c>
      <c r="H113" s="2" t="s">
        <v>29</v>
      </c>
      <c r="I113" s="2">
        <v>20</v>
      </c>
      <c r="J113" s="2" t="s">
        <v>24</v>
      </c>
      <c r="K113" s="2">
        <v>-17.343800000000002</v>
      </c>
      <c r="L113" s="2">
        <v>-66.178299999999993</v>
      </c>
      <c r="M113" s="2" t="s">
        <v>25</v>
      </c>
      <c r="N113" s="2">
        <v>1887</v>
      </c>
      <c r="O113" s="2" t="s">
        <v>448</v>
      </c>
      <c r="P113" s="2">
        <v>19</v>
      </c>
      <c r="Q113" s="2">
        <v>2</v>
      </c>
      <c r="R113" s="2">
        <f>IFERROR(VLOOKUP(A113,'[1]Recintos Cochabamba'!A$1:R$838,17,FALSE),0)</f>
        <v>26</v>
      </c>
      <c r="S113" s="3">
        <f>IFERROR(VLOOKUP(A113,'[1]Recintos Cochabamba'!A$1:T$838,18,FALSE),0)</f>
        <v>0.51575981876925558</v>
      </c>
    </row>
    <row r="114" spans="1:19" x14ac:dyDescent="0.25">
      <c r="A114" s="2">
        <v>1888</v>
      </c>
      <c r="B114" s="2" t="s">
        <v>19</v>
      </c>
      <c r="C114" s="2" t="s">
        <v>20</v>
      </c>
      <c r="D114" s="2" t="s">
        <v>19</v>
      </c>
      <c r="E114" s="2" t="s">
        <v>19</v>
      </c>
      <c r="F114" s="2" t="s">
        <v>449</v>
      </c>
      <c r="G114" s="2" t="s">
        <v>450</v>
      </c>
      <c r="H114" s="2" t="s">
        <v>451</v>
      </c>
      <c r="I114" s="2">
        <v>20</v>
      </c>
      <c r="J114" s="2" t="s">
        <v>24</v>
      </c>
      <c r="K114" s="2">
        <v>-17.379899999999999</v>
      </c>
      <c r="L114" s="2">
        <v>-66.192400000000006</v>
      </c>
      <c r="M114" s="2" t="s">
        <v>25</v>
      </c>
      <c r="N114" s="2">
        <v>1888</v>
      </c>
      <c r="O114" s="2" t="s">
        <v>452</v>
      </c>
      <c r="P114" s="2">
        <v>23</v>
      </c>
      <c r="Q114" s="2">
        <v>3</v>
      </c>
      <c r="R114" s="2">
        <f>IFERROR(VLOOKUP(A114,'[1]Recintos Cochabamba'!A$1:R$838,17,FALSE),0)</f>
        <v>7</v>
      </c>
      <c r="S114" s="3">
        <f>IFERROR(VLOOKUP(A114,'[1]Recintos Cochabamba'!A$1:T$838,18,FALSE),0)</f>
        <v>0.21455705249513174</v>
      </c>
    </row>
    <row r="115" spans="1:19" x14ac:dyDescent="0.25">
      <c r="A115" s="2">
        <v>1889</v>
      </c>
      <c r="B115" s="2" t="s">
        <v>19</v>
      </c>
      <c r="C115" s="2" t="s">
        <v>20</v>
      </c>
      <c r="D115" s="2" t="s">
        <v>19</v>
      </c>
      <c r="E115" s="2" t="s">
        <v>19</v>
      </c>
      <c r="F115" s="2" t="s">
        <v>453</v>
      </c>
      <c r="G115" s="2" t="s">
        <v>454</v>
      </c>
      <c r="H115" s="2" t="s">
        <v>455</v>
      </c>
      <c r="I115" s="2">
        <v>22</v>
      </c>
      <c r="J115" s="2" t="s">
        <v>24</v>
      </c>
      <c r="K115" s="2">
        <v>-17.465199999999999</v>
      </c>
      <c r="L115" s="2">
        <v>-66.124300000000005</v>
      </c>
      <c r="M115" s="2" t="s">
        <v>25</v>
      </c>
      <c r="N115" s="2">
        <v>1889</v>
      </c>
      <c r="O115" s="2" t="s">
        <v>456</v>
      </c>
      <c r="P115" s="2">
        <v>52</v>
      </c>
      <c r="Q115" s="2">
        <v>15</v>
      </c>
      <c r="R115" s="2">
        <f>IFERROR(VLOOKUP(A115,'[1]Recintos Cochabamba'!A$1:R$838,17,FALSE),0)</f>
        <v>37</v>
      </c>
      <c r="S115" s="3">
        <f>IFERROR(VLOOKUP(A115,'[1]Recintos Cochabamba'!A$1:T$838,18,FALSE),0)</f>
        <v>0.86828339555256817</v>
      </c>
    </row>
    <row r="116" spans="1:19" x14ac:dyDescent="0.25">
      <c r="A116" s="2">
        <v>1890</v>
      </c>
      <c r="B116" s="2" t="s">
        <v>19</v>
      </c>
      <c r="C116" s="2" t="s">
        <v>20</v>
      </c>
      <c r="D116" s="2" t="s">
        <v>19</v>
      </c>
      <c r="E116" s="2" t="s">
        <v>19</v>
      </c>
      <c r="F116" s="2" t="s">
        <v>457</v>
      </c>
      <c r="G116" s="2" t="s">
        <v>458</v>
      </c>
      <c r="H116" s="2" t="s">
        <v>459</v>
      </c>
      <c r="I116" s="2">
        <v>22</v>
      </c>
      <c r="J116" s="2" t="s">
        <v>24</v>
      </c>
      <c r="K116" s="2">
        <v>-17.482500000000002</v>
      </c>
      <c r="L116" s="2">
        <v>-66.153499999999994</v>
      </c>
      <c r="M116" s="2" t="s">
        <v>25</v>
      </c>
      <c r="N116" s="2">
        <v>1890</v>
      </c>
      <c r="O116" s="2" t="s">
        <v>460</v>
      </c>
      <c r="P116" s="2">
        <v>28</v>
      </c>
      <c r="Q116" s="2">
        <v>9</v>
      </c>
      <c r="R116" s="2">
        <f>IFERROR(VLOOKUP(A116,'[1]Recintos Cochabamba'!A$1:R$838,17,FALSE),0)</f>
        <v>16</v>
      </c>
      <c r="S116" s="3">
        <f>IFERROR(VLOOKUP(A116,'[1]Recintos Cochabamba'!A$1:T$838,18,FALSE),0)</f>
        <v>0.88319767455059783</v>
      </c>
    </row>
    <row r="117" spans="1:19" x14ac:dyDescent="0.25">
      <c r="A117" s="2">
        <v>1891</v>
      </c>
      <c r="B117" s="2" t="s">
        <v>19</v>
      </c>
      <c r="C117" s="2" t="s">
        <v>20</v>
      </c>
      <c r="D117" s="2" t="s">
        <v>19</v>
      </c>
      <c r="E117" s="2" t="s">
        <v>19</v>
      </c>
      <c r="F117" s="2" t="s">
        <v>461</v>
      </c>
      <c r="G117" s="2" t="s">
        <v>462</v>
      </c>
      <c r="H117" s="2" t="s">
        <v>463</v>
      </c>
      <c r="I117" s="2">
        <v>22</v>
      </c>
      <c r="J117" s="2" t="s">
        <v>24</v>
      </c>
      <c r="K117" s="2">
        <v>-17.4697</v>
      </c>
      <c r="L117" s="2">
        <v>-66.139899999999997</v>
      </c>
      <c r="M117" s="2" t="s">
        <v>25</v>
      </c>
      <c r="N117" s="2">
        <v>1891</v>
      </c>
      <c r="O117" s="2" t="s">
        <v>464</v>
      </c>
      <c r="P117" s="2">
        <v>52</v>
      </c>
      <c r="Q117" s="2">
        <v>15</v>
      </c>
      <c r="R117" s="2">
        <f>IFERROR(VLOOKUP(A117,'[1]Recintos Cochabamba'!A$1:R$838,17,FALSE),0)</f>
        <v>15</v>
      </c>
      <c r="S117" s="3">
        <f>IFERROR(VLOOKUP(A117,'[1]Recintos Cochabamba'!A$1:T$838,18,FALSE),0)</f>
        <v>0.79662782251978748</v>
      </c>
    </row>
    <row r="118" spans="1:19" x14ac:dyDescent="0.25">
      <c r="A118" s="2">
        <v>1892</v>
      </c>
      <c r="B118" s="2" t="s">
        <v>19</v>
      </c>
      <c r="C118" s="2" t="s">
        <v>20</v>
      </c>
      <c r="D118" s="2" t="s">
        <v>19</v>
      </c>
      <c r="E118" s="2" t="s">
        <v>19</v>
      </c>
      <c r="F118" s="2" t="s">
        <v>465</v>
      </c>
      <c r="G118" s="2" t="s">
        <v>466</v>
      </c>
      <c r="H118" s="2" t="s">
        <v>467</v>
      </c>
      <c r="I118" s="2">
        <v>20</v>
      </c>
      <c r="J118" s="2" t="s">
        <v>24</v>
      </c>
      <c r="K118" s="2">
        <v>-17.3675</v>
      </c>
      <c r="L118" s="2">
        <v>-66.180199999999999</v>
      </c>
      <c r="M118" s="2" t="s">
        <v>25</v>
      </c>
      <c r="N118" s="2">
        <v>1892</v>
      </c>
      <c r="O118" s="2" t="s">
        <v>468</v>
      </c>
      <c r="P118" s="2">
        <v>23</v>
      </c>
      <c r="Q118" s="2">
        <v>3</v>
      </c>
      <c r="R118" s="2">
        <f>IFERROR(VLOOKUP(A118,'[1]Recintos Cochabamba'!A$1:R$838,17,FALSE),0)</f>
        <v>8</v>
      </c>
      <c r="S118" s="3">
        <f>IFERROR(VLOOKUP(A118,'[1]Recintos Cochabamba'!A$1:T$838,18,FALSE),0)</f>
        <v>0.18692917338869841</v>
      </c>
    </row>
    <row r="119" spans="1:19" x14ac:dyDescent="0.25">
      <c r="A119" s="2">
        <v>1893</v>
      </c>
      <c r="B119" s="2" t="s">
        <v>19</v>
      </c>
      <c r="C119" s="2" t="s">
        <v>20</v>
      </c>
      <c r="D119" s="2" t="s">
        <v>19</v>
      </c>
      <c r="E119" s="2" t="s">
        <v>19</v>
      </c>
      <c r="F119" s="2" t="s">
        <v>469</v>
      </c>
      <c r="G119" s="2" t="s">
        <v>470</v>
      </c>
      <c r="H119" s="2" t="s">
        <v>471</v>
      </c>
      <c r="I119" s="2">
        <v>20</v>
      </c>
      <c r="J119" s="2" t="s">
        <v>24</v>
      </c>
      <c r="K119" s="2">
        <v>-17.374300000000002</v>
      </c>
      <c r="L119" s="2">
        <v>-66.189499999999995</v>
      </c>
      <c r="M119" s="2" t="s">
        <v>25</v>
      </c>
      <c r="N119" s="2">
        <v>1893</v>
      </c>
      <c r="O119" s="2" t="s">
        <v>472</v>
      </c>
      <c r="P119" s="2">
        <v>23</v>
      </c>
      <c r="Q119" s="2">
        <v>3</v>
      </c>
      <c r="R119" s="2">
        <f>IFERROR(VLOOKUP(A119,'[1]Recintos Cochabamba'!A$1:R$838,17,FALSE),0)</f>
        <v>8</v>
      </c>
      <c r="S119" s="3">
        <f>IFERROR(VLOOKUP(A119,'[1]Recintos Cochabamba'!A$1:T$838,18,FALSE),0)</f>
        <v>0.21982006475790364</v>
      </c>
    </row>
    <row r="120" spans="1:19" x14ac:dyDescent="0.25">
      <c r="A120" s="2">
        <v>1894</v>
      </c>
      <c r="B120" s="2" t="s">
        <v>19</v>
      </c>
      <c r="C120" s="2" t="s">
        <v>20</v>
      </c>
      <c r="D120" s="2" t="s">
        <v>19</v>
      </c>
      <c r="E120" s="2" t="s">
        <v>19</v>
      </c>
      <c r="F120" s="2" t="s">
        <v>473</v>
      </c>
      <c r="G120" s="2" t="s">
        <v>474</v>
      </c>
      <c r="H120" s="2" t="s">
        <v>475</v>
      </c>
      <c r="I120" s="2">
        <v>21</v>
      </c>
      <c r="J120" s="2" t="s">
        <v>24</v>
      </c>
      <c r="K120" s="2">
        <v>-17.4467</v>
      </c>
      <c r="L120" s="2">
        <v>-66.105500000000006</v>
      </c>
      <c r="M120" s="2" t="s">
        <v>25</v>
      </c>
      <c r="N120" s="2">
        <v>1894</v>
      </c>
      <c r="O120" s="2" t="s">
        <v>476</v>
      </c>
      <c r="P120" s="2">
        <v>15</v>
      </c>
      <c r="Q120" s="2">
        <v>14</v>
      </c>
      <c r="R120" s="2">
        <f>IFERROR(VLOOKUP(A120,'[1]Recintos Cochabamba'!A$1:R$838,17,FALSE),0)</f>
        <v>11</v>
      </c>
      <c r="S120" s="3">
        <f>IFERROR(VLOOKUP(A120,'[1]Recintos Cochabamba'!A$1:T$838,18,FALSE),0)</f>
        <v>0.84416975203516509</v>
      </c>
    </row>
    <row r="121" spans="1:19" x14ac:dyDescent="0.25">
      <c r="A121" s="2">
        <v>1895</v>
      </c>
      <c r="B121" s="2" t="s">
        <v>19</v>
      </c>
      <c r="C121" s="2" t="s">
        <v>20</v>
      </c>
      <c r="D121" s="2" t="s">
        <v>19</v>
      </c>
      <c r="E121" s="2" t="s">
        <v>19</v>
      </c>
      <c r="F121" s="2" t="s">
        <v>477</v>
      </c>
      <c r="G121" s="2" t="s">
        <v>478</v>
      </c>
      <c r="H121" s="2" t="s">
        <v>479</v>
      </c>
      <c r="I121" s="2">
        <v>21</v>
      </c>
      <c r="J121" s="2" t="s">
        <v>24</v>
      </c>
      <c r="K121" s="2">
        <v>-17.447700000000001</v>
      </c>
      <c r="L121" s="2">
        <v>-66.114800000000002</v>
      </c>
      <c r="M121" s="2" t="s">
        <v>25</v>
      </c>
      <c r="N121" s="2">
        <v>1895</v>
      </c>
      <c r="O121" s="2" t="s">
        <v>480</v>
      </c>
      <c r="P121" s="2">
        <v>15</v>
      </c>
      <c r="Q121" s="2">
        <v>14</v>
      </c>
      <c r="R121" s="2">
        <f>IFERROR(VLOOKUP(A121,'[1]Recintos Cochabamba'!A$1:R$838,17,FALSE),0)</f>
        <v>13</v>
      </c>
      <c r="S121" s="3">
        <f>IFERROR(VLOOKUP(A121,'[1]Recintos Cochabamba'!A$1:T$838,18,FALSE),0)</f>
        <v>0.79615550289137127</v>
      </c>
    </row>
    <row r="122" spans="1:19" x14ac:dyDescent="0.25">
      <c r="A122" s="2">
        <v>1896</v>
      </c>
      <c r="B122" s="2" t="s">
        <v>19</v>
      </c>
      <c r="C122" s="2" t="s">
        <v>20</v>
      </c>
      <c r="D122" s="2" t="s">
        <v>19</v>
      </c>
      <c r="E122" s="2" t="s">
        <v>19</v>
      </c>
      <c r="F122" s="2" t="s">
        <v>481</v>
      </c>
      <c r="G122" s="2" t="s">
        <v>482</v>
      </c>
      <c r="H122" s="2" t="s">
        <v>483</v>
      </c>
      <c r="I122" s="2">
        <v>21</v>
      </c>
      <c r="J122" s="2" t="s">
        <v>24</v>
      </c>
      <c r="K122" s="2">
        <v>-17.438800000000001</v>
      </c>
      <c r="L122" s="2">
        <v>-66.132199999999997</v>
      </c>
      <c r="M122" s="2" t="s">
        <v>25</v>
      </c>
      <c r="N122" s="2">
        <v>1896</v>
      </c>
      <c r="O122" s="2" t="s">
        <v>484</v>
      </c>
      <c r="P122" s="2">
        <v>14</v>
      </c>
      <c r="Q122" s="2">
        <v>8</v>
      </c>
      <c r="R122" s="2">
        <f>IFERROR(VLOOKUP(A122,'[1]Recintos Cochabamba'!A$1:R$838,17,FALSE),0)</f>
        <v>8</v>
      </c>
      <c r="S122" s="3">
        <f>IFERROR(VLOOKUP(A122,'[1]Recintos Cochabamba'!A$1:T$838,18,FALSE),0)</f>
        <v>0.7863968978903878</v>
      </c>
    </row>
    <row r="123" spans="1:19" x14ac:dyDescent="0.25">
      <c r="A123" s="2">
        <v>1897</v>
      </c>
      <c r="B123" s="2" t="s">
        <v>19</v>
      </c>
      <c r="C123" s="2" t="s">
        <v>20</v>
      </c>
      <c r="D123" s="2" t="s">
        <v>19</v>
      </c>
      <c r="E123" s="2" t="s">
        <v>19</v>
      </c>
      <c r="F123" s="2" t="s">
        <v>485</v>
      </c>
      <c r="G123" s="2" t="s">
        <v>486</v>
      </c>
      <c r="H123" s="2" t="s">
        <v>487</v>
      </c>
      <c r="I123" s="2">
        <v>21</v>
      </c>
      <c r="J123" s="2" t="s">
        <v>24</v>
      </c>
      <c r="K123" s="2">
        <v>-17.474699999999999</v>
      </c>
      <c r="L123" s="2">
        <v>-66.1066</v>
      </c>
      <c r="M123" s="2" t="s">
        <v>25</v>
      </c>
      <c r="N123" s="2">
        <v>1897</v>
      </c>
      <c r="O123" s="2" t="s">
        <v>488</v>
      </c>
      <c r="P123" s="2">
        <v>14</v>
      </c>
      <c r="Q123" s="2">
        <v>8</v>
      </c>
      <c r="R123" s="2">
        <f>IFERROR(VLOOKUP(A123,'[1]Recintos Cochabamba'!A$1:R$838,17,FALSE),0)</f>
        <v>26</v>
      </c>
      <c r="S123" s="3">
        <f>IFERROR(VLOOKUP(A123,'[1]Recintos Cochabamba'!A$1:T$838,18,FALSE),0)</f>
        <v>0.84584376467646372</v>
      </c>
    </row>
    <row r="124" spans="1:19" x14ac:dyDescent="0.25">
      <c r="A124" s="2">
        <v>1898</v>
      </c>
      <c r="B124" s="2" t="s">
        <v>19</v>
      </c>
      <c r="C124" s="2" t="s">
        <v>20</v>
      </c>
      <c r="D124" s="2" t="s">
        <v>19</v>
      </c>
      <c r="E124" s="2" t="s">
        <v>19</v>
      </c>
      <c r="F124" s="2" t="s">
        <v>489</v>
      </c>
      <c r="G124" s="2" t="s">
        <v>297</v>
      </c>
      <c r="H124" s="2" t="s">
        <v>490</v>
      </c>
      <c r="I124" s="2">
        <v>21</v>
      </c>
      <c r="J124" s="2" t="s">
        <v>24</v>
      </c>
      <c r="K124" s="2">
        <v>-17.433299999999999</v>
      </c>
      <c r="L124" s="2">
        <v>-66.122</v>
      </c>
      <c r="M124" s="2" t="s">
        <v>25</v>
      </c>
      <c r="N124" s="2">
        <v>1898</v>
      </c>
      <c r="O124" s="2" t="s">
        <v>491</v>
      </c>
      <c r="P124" s="2">
        <v>12</v>
      </c>
      <c r="Q124" s="2">
        <v>7</v>
      </c>
      <c r="R124" s="2">
        <f>IFERROR(VLOOKUP(A124,'[1]Recintos Cochabamba'!A$1:R$838,17,FALSE),0)</f>
        <v>10</v>
      </c>
      <c r="S124" s="3">
        <v>0</v>
      </c>
    </row>
    <row r="125" spans="1:19" x14ac:dyDescent="0.25">
      <c r="A125" s="2">
        <v>1899</v>
      </c>
      <c r="B125" s="2" t="s">
        <v>19</v>
      </c>
      <c r="C125" s="2" t="s">
        <v>20</v>
      </c>
      <c r="D125" s="2" t="s">
        <v>19</v>
      </c>
      <c r="E125" s="2" t="s">
        <v>19</v>
      </c>
      <c r="F125" s="2" t="s">
        <v>492</v>
      </c>
      <c r="G125" s="2" t="s">
        <v>257</v>
      </c>
      <c r="H125" s="2" t="s">
        <v>493</v>
      </c>
      <c r="I125" s="2">
        <v>21</v>
      </c>
      <c r="J125" s="2" t="s">
        <v>24</v>
      </c>
      <c r="K125" s="2">
        <v>-17.422000000000001</v>
      </c>
      <c r="L125" s="2">
        <v>-66.137900000000002</v>
      </c>
      <c r="M125" s="2" t="s">
        <v>25</v>
      </c>
      <c r="N125" s="2">
        <v>1899</v>
      </c>
      <c r="O125" s="2" t="s">
        <v>494</v>
      </c>
      <c r="P125" s="2">
        <v>11</v>
      </c>
      <c r="Q125" s="2">
        <v>6</v>
      </c>
      <c r="R125" s="2">
        <f>IFERROR(VLOOKUP(A125,'[1]Recintos Cochabamba'!A$1:R$838,17,FALSE),0)</f>
        <v>5</v>
      </c>
      <c r="S125" s="3">
        <v>0</v>
      </c>
    </row>
    <row r="126" spans="1:19" x14ac:dyDescent="0.25">
      <c r="A126" s="2">
        <v>1900</v>
      </c>
      <c r="B126" s="2" t="s">
        <v>19</v>
      </c>
      <c r="C126" s="2" t="s">
        <v>20</v>
      </c>
      <c r="D126" s="2" t="s">
        <v>19</v>
      </c>
      <c r="E126" s="2" t="s">
        <v>19</v>
      </c>
      <c r="F126" s="2" t="s">
        <v>495</v>
      </c>
      <c r="G126" s="2" t="s">
        <v>249</v>
      </c>
      <c r="H126" s="2" t="s">
        <v>496</v>
      </c>
      <c r="I126" s="2">
        <v>21</v>
      </c>
      <c r="J126" s="2" t="s">
        <v>24</v>
      </c>
      <c r="K126" s="2">
        <v>-17.4148</v>
      </c>
      <c r="L126" s="2">
        <v>-66.150499999999994</v>
      </c>
      <c r="M126" s="2" t="s">
        <v>25</v>
      </c>
      <c r="N126" s="2">
        <v>1900</v>
      </c>
      <c r="O126" s="2" t="s">
        <v>497</v>
      </c>
      <c r="P126" s="2">
        <v>11</v>
      </c>
      <c r="Q126" s="2">
        <v>6</v>
      </c>
      <c r="R126" s="2">
        <f>IFERROR(VLOOKUP(A126,'[1]Recintos Cochabamba'!A$1:R$838,17,FALSE),0)</f>
        <v>2</v>
      </c>
      <c r="S126" s="3">
        <v>0</v>
      </c>
    </row>
    <row r="127" spans="1:19" x14ac:dyDescent="0.25">
      <c r="A127" s="2">
        <v>1901</v>
      </c>
      <c r="B127" s="2" t="s">
        <v>19</v>
      </c>
      <c r="C127" s="2" t="s">
        <v>20</v>
      </c>
      <c r="D127" s="2" t="s">
        <v>19</v>
      </c>
      <c r="E127" s="2" t="s">
        <v>19</v>
      </c>
      <c r="F127" s="2" t="s">
        <v>498</v>
      </c>
      <c r="G127" s="2" t="s">
        <v>499</v>
      </c>
      <c r="H127" s="2" t="s">
        <v>500</v>
      </c>
      <c r="I127" s="2">
        <v>21</v>
      </c>
      <c r="J127" s="2" t="s">
        <v>24</v>
      </c>
      <c r="K127" s="2">
        <v>-17.4209</v>
      </c>
      <c r="L127" s="2">
        <v>-66.121200000000002</v>
      </c>
      <c r="M127" s="2" t="s">
        <v>25</v>
      </c>
      <c r="N127" s="2">
        <v>1901</v>
      </c>
      <c r="O127" s="2" t="s">
        <v>501</v>
      </c>
      <c r="P127" s="2">
        <v>12</v>
      </c>
      <c r="Q127" s="2">
        <v>7</v>
      </c>
      <c r="R127" s="2">
        <f>IFERROR(VLOOKUP(A127,'[1]Recintos Cochabamba'!A$1:R$838,17,FALSE),0)</f>
        <v>5</v>
      </c>
      <c r="S127" s="3">
        <f>IFERROR(VLOOKUP(A127,'[1]Recintos Cochabamba'!A$1:T$838,18,FALSE),0)</f>
        <v>0.56581759459636705</v>
      </c>
    </row>
    <row r="128" spans="1:19" x14ac:dyDescent="0.25">
      <c r="A128" s="2">
        <v>1902</v>
      </c>
      <c r="B128" s="2" t="s">
        <v>19</v>
      </c>
      <c r="C128" s="2" t="s">
        <v>20</v>
      </c>
      <c r="D128" s="2" t="s">
        <v>19</v>
      </c>
      <c r="E128" s="2" t="s">
        <v>19</v>
      </c>
      <c r="F128" s="2" t="s">
        <v>502</v>
      </c>
      <c r="G128" s="2" t="s">
        <v>503</v>
      </c>
      <c r="H128" s="2" t="s">
        <v>504</v>
      </c>
      <c r="I128" s="2">
        <v>22</v>
      </c>
      <c r="J128" s="2" t="s">
        <v>24</v>
      </c>
      <c r="K128" s="2">
        <v>-17.4678</v>
      </c>
      <c r="L128" s="2">
        <v>-66.209800000000001</v>
      </c>
      <c r="M128" s="2" t="s">
        <v>25</v>
      </c>
      <c r="N128" s="2">
        <v>1902</v>
      </c>
      <c r="O128" s="2" t="s">
        <v>505</v>
      </c>
      <c r="P128" s="2">
        <v>28</v>
      </c>
      <c r="Q128" s="2">
        <v>9</v>
      </c>
      <c r="R128" s="2">
        <f>IFERROR(VLOOKUP(A128,'[1]Recintos Cochabamba'!A$1:R$838,17,FALSE),0)</f>
        <v>16</v>
      </c>
      <c r="S128" s="3">
        <f>IFERROR(VLOOKUP(A128,'[1]Recintos Cochabamba'!A$1:T$838,18,FALSE),0)</f>
        <v>0.84561627305887299</v>
      </c>
    </row>
    <row r="129" spans="1:19" x14ac:dyDescent="0.25">
      <c r="A129" s="2">
        <v>1903</v>
      </c>
      <c r="B129" s="2" t="s">
        <v>19</v>
      </c>
      <c r="C129" s="2" t="s">
        <v>20</v>
      </c>
      <c r="D129" s="2" t="s">
        <v>19</v>
      </c>
      <c r="E129" s="2" t="s">
        <v>19</v>
      </c>
      <c r="F129" s="2" t="s">
        <v>506</v>
      </c>
      <c r="G129" s="2" t="s">
        <v>428</v>
      </c>
      <c r="H129" s="2" t="s">
        <v>507</v>
      </c>
      <c r="I129" s="2">
        <v>20</v>
      </c>
      <c r="J129" s="2" t="s">
        <v>24</v>
      </c>
      <c r="K129" s="2">
        <v>-17.3855</v>
      </c>
      <c r="L129" s="2">
        <v>-66.202100000000002</v>
      </c>
      <c r="M129" s="2" t="s">
        <v>25</v>
      </c>
      <c r="N129" s="2">
        <v>1903</v>
      </c>
      <c r="O129" s="2" t="s">
        <v>508</v>
      </c>
      <c r="P129" s="2">
        <v>54</v>
      </c>
      <c r="Q129" s="2">
        <v>4</v>
      </c>
      <c r="R129" s="2">
        <f>IFERROR(VLOOKUP(A129,'[1]Recintos Cochabamba'!A$1:R$838,17,FALSE),0)</f>
        <v>4</v>
      </c>
      <c r="S129" s="3">
        <v>0</v>
      </c>
    </row>
    <row r="130" spans="1:19" x14ac:dyDescent="0.25">
      <c r="A130" s="2">
        <v>1904</v>
      </c>
      <c r="B130" s="2" t="s">
        <v>19</v>
      </c>
      <c r="C130" s="2" t="s">
        <v>20</v>
      </c>
      <c r="D130" s="2" t="s">
        <v>19</v>
      </c>
      <c r="E130" s="2" t="s">
        <v>19</v>
      </c>
      <c r="F130" s="2" t="s">
        <v>509</v>
      </c>
      <c r="G130" s="2" t="s">
        <v>510</v>
      </c>
      <c r="H130" s="2" t="s">
        <v>511</v>
      </c>
      <c r="I130" s="2">
        <v>22</v>
      </c>
      <c r="J130" s="2" t="s">
        <v>24</v>
      </c>
      <c r="K130" s="2">
        <v>-17.474</v>
      </c>
      <c r="L130" s="2">
        <v>-66.132199999999997</v>
      </c>
      <c r="M130" s="2" t="s">
        <v>25</v>
      </c>
      <c r="N130" s="2">
        <v>1904</v>
      </c>
      <c r="O130" s="2" t="s">
        <v>512</v>
      </c>
      <c r="P130" s="2">
        <v>52</v>
      </c>
      <c r="Q130" s="2">
        <v>15</v>
      </c>
      <c r="R130" s="2">
        <f>IFERROR(VLOOKUP(A130,'[1]Recintos Cochabamba'!A$1:R$838,17,FALSE),0)</f>
        <v>13</v>
      </c>
      <c r="S130" s="3">
        <f>IFERROR(VLOOKUP(A130,'[1]Recintos Cochabamba'!A$1:T$838,18,FALSE),0)</f>
        <v>0.89739706872576974</v>
      </c>
    </row>
    <row r="131" spans="1:19" x14ac:dyDescent="0.25">
      <c r="A131" s="2">
        <v>1905</v>
      </c>
      <c r="B131" s="2" t="s">
        <v>19</v>
      </c>
      <c r="C131" s="2" t="s">
        <v>20</v>
      </c>
      <c r="D131" s="2" t="s">
        <v>19</v>
      </c>
      <c r="E131" s="2" t="s">
        <v>19</v>
      </c>
      <c r="F131" s="2" t="s">
        <v>513</v>
      </c>
      <c r="G131" s="2" t="s">
        <v>514</v>
      </c>
      <c r="H131" s="2" t="s">
        <v>317</v>
      </c>
      <c r="I131" s="2">
        <v>22</v>
      </c>
      <c r="J131" s="2" t="s">
        <v>24</v>
      </c>
      <c r="K131" s="2">
        <v>-17.471800000000002</v>
      </c>
      <c r="L131" s="2">
        <v>-66.179299999999998</v>
      </c>
      <c r="M131" s="2" t="s">
        <v>25</v>
      </c>
      <c r="N131" s="2">
        <v>1905</v>
      </c>
      <c r="O131" s="2" t="s">
        <v>515</v>
      </c>
      <c r="P131" s="2">
        <v>28</v>
      </c>
      <c r="Q131" s="2">
        <v>9</v>
      </c>
      <c r="R131" s="2">
        <f>IFERROR(VLOOKUP(A131,'[1]Recintos Cochabamba'!A$1:R$838,17,FALSE),0)</f>
        <v>18</v>
      </c>
      <c r="S131" s="3">
        <f>IFERROR(VLOOKUP(A131,'[1]Recintos Cochabamba'!A$1:T$838,18,FALSE),0)</f>
        <v>0.75946976386284804</v>
      </c>
    </row>
    <row r="132" spans="1:19" x14ac:dyDescent="0.25">
      <c r="A132" s="2">
        <v>1906</v>
      </c>
      <c r="B132" s="2" t="s">
        <v>19</v>
      </c>
      <c r="C132" s="2" t="s">
        <v>20</v>
      </c>
      <c r="D132" s="2" t="s">
        <v>19</v>
      </c>
      <c r="E132" s="2" t="s">
        <v>19</v>
      </c>
      <c r="F132" s="2" t="s">
        <v>516</v>
      </c>
      <c r="G132" s="2" t="s">
        <v>517</v>
      </c>
      <c r="H132" s="2" t="s">
        <v>518</v>
      </c>
      <c r="I132" s="2">
        <v>21</v>
      </c>
      <c r="J132" s="2" t="s">
        <v>24</v>
      </c>
      <c r="K132" s="2">
        <v>-17.434999999999999</v>
      </c>
      <c r="L132" s="2">
        <v>-66.151399999999995</v>
      </c>
      <c r="M132" s="2" t="s">
        <v>25</v>
      </c>
      <c r="N132" s="2">
        <v>1906</v>
      </c>
      <c r="O132" s="2" t="s">
        <v>519</v>
      </c>
      <c r="P132" s="2">
        <v>16</v>
      </c>
      <c r="Q132" s="2">
        <v>5</v>
      </c>
      <c r="R132" s="2">
        <f>IFERROR(VLOOKUP(A132,'[1]Recintos Cochabamba'!A$1:R$838,17,FALSE),0)</f>
        <v>4</v>
      </c>
      <c r="S132" s="3">
        <f>IFERROR(VLOOKUP(A132,'[1]Recintos Cochabamba'!A$1:T$838,18,FALSE),0)</f>
        <v>0.5716644616049249</v>
      </c>
    </row>
    <row r="133" spans="1:19" x14ac:dyDescent="0.25">
      <c r="A133" s="2">
        <v>1907</v>
      </c>
      <c r="B133" s="2" t="s">
        <v>19</v>
      </c>
      <c r="C133" s="2" t="s">
        <v>20</v>
      </c>
      <c r="D133" s="2" t="s">
        <v>19</v>
      </c>
      <c r="E133" s="2" t="s">
        <v>19</v>
      </c>
      <c r="F133" s="2" t="s">
        <v>520</v>
      </c>
      <c r="G133" s="2" t="s">
        <v>521</v>
      </c>
      <c r="H133" s="2" t="s">
        <v>522</v>
      </c>
      <c r="I133" s="2">
        <v>21</v>
      </c>
      <c r="J133" s="2" t="s">
        <v>24</v>
      </c>
      <c r="K133" s="2">
        <v>-17.439499999999999</v>
      </c>
      <c r="L133" s="2">
        <v>-66.149799999999999</v>
      </c>
      <c r="M133" s="2" t="s">
        <v>25</v>
      </c>
      <c r="N133" s="2">
        <v>1907</v>
      </c>
      <c r="O133" s="2" t="s">
        <v>523</v>
      </c>
      <c r="P133" s="2">
        <v>16</v>
      </c>
      <c r="Q133" s="2">
        <v>5</v>
      </c>
      <c r="R133" s="2">
        <f>IFERROR(VLOOKUP(A133,'[1]Recintos Cochabamba'!A$1:R$838,17,FALSE),0)</f>
        <v>5</v>
      </c>
      <c r="S133" s="3">
        <f>IFERROR(VLOOKUP(A133,'[1]Recintos Cochabamba'!A$1:T$838,18,FALSE),0)</f>
        <v>0.54360363859990057</v>
      </c>
    </row>
    <row r="134" spans="1:19" x14ac:dyDescent="0.25">
      <c r="A134" s="2">
        <v>1908</v>
      </c>
      <c r="B134" s="2" t="s">
        <v>19</v>
      </c>
      <c r="C134" s="2" t="s">
        <v>20</v>
      </c>
      <c r="D134" s="2" t="s">
        <v>19</v>
      </c>
      <c r="E134" s="2" t="s">
        <v>19</v>
      </c>
      <c r="F134" s="2" t="s">
        <v>524</v>
      </c>
      <c r="G134" s="2" t="s">
        <v>525</v>
      </c>
      <c r="H134" s="2" t="s">
        <v>526</v>
      </c>
      <c r="I134" s="2">
        <v>22</v>
      </c>
      <c r="J134" s="2" t="s">
        <v>24</v>
      </c>
      <c r="K134" s="2">
        <v>-17.468900000000001</v>
      </c>
      <c r="L134" s="2">
        <v>-66.151200000000003</v>
      </c>
      <c r="M134" s="2" t="s">
        <v>25</v>
      </c>
      <c r="N134" s="2">
        <v>1908</v>
      </c>
      <c r="O134" s="2" t="s">
        <v>527</v>
      </c>
      <c r="P134" s="2">
        <v>28</v>
      </c>
      <c r="Q134" s="2">
        <v>9</v>
      </c>
      <c r="R134" s="2">
        <f>IFERROR(VLOOKUP(A134,'[1]Recintos Cochabamba'!A$1:R$838,17,FALSE),0)</f>
        <v>20</v>
      </c>
      <c r="S134" s="3">
        <f>IFERROR(VLOOKUP(A134,'[1]Recintos Cochabamba'!A$1:T$838,18,FALSE),0)</f>
        <v>0.85865203079865748</v>
      </c>
    </row>
    <row r="135" spans="1:19" x14ac:dyDescent="0.25">
      <c r="A135" s="2">
        <v>1909</v>
      </c>
      <c r="B135" s="2" t="s">
        <v>19</v>
      </c>
      <c r="C135" s="2" t="s">
        <v>20</v>
      </c>
      <c r="D135" s="2" t="s">
        <v>19</v>
      </c>
      <c r="E135" s="2" t="s">
        <v>19</v>
      </c>
      <c r="F135" s="2" t="s">
        <v>528</v>
      </c>
      <c r="G135" s="2" t="s">
        <v>529</v>
      </c>
      <c r="H135" s="2" t="s">
        <v>530</v>
      </c>
      <c r="I135" s="2">
        <v>22</v>
      </c>
      <c r="J135" s="2" t="s">
        <v>24</v>
      </c>
      <c r="K135" s="2">
        <v>-17.489999999999998</v>
      </c>
      <c r="L135" s="2">
        <v>-66.178399999999996</v>
      </c>
      <c r="M135" s="2" t="s">
        <v>25</v>
      </c>
      <c r="N135" s="2">
        <v>1909</v>
      </c>
      <c r="O135" s="2" t="s">
        <v>531</v>
      </c>
      <c r="P135" s="2">
        <v>28</v>
      </c>
      <c r="Q135" s="2">
        <v>9</v>
      </c>
      <c r="R135" s="2">
        <f>IFERROR(VLOOKUP(A135,'[1]Recintos Cochabamba'!A$1:R$838,17,FALSE),0)</f>
        <v>16</v>
      </c>
      <c r="S135" s="3">
        <f>IFERROR(VLOOKUP(A135,'[1]Recintos Cochabamba'!A$1:T$838,18,FALSE),0)</f>
        <v>0.84388280003664207</v>
      </c>
    </row>
    <row r="136" spans="1:19" x14ac:dyDescent="0.25">
      <c r="A136" s="2">
        <v>1910</v>
      </c>
      <c r="B136" s="2" t="s">
        <v>19</v>
      </c>
      <c r="C136" s="2" t="s">
        <v>20</v>
      </c>
      <c r="D136" s="2" t="s">
        <v>19</v>
      </c>
      <c r="E136" s="2" t="s">
        <v>19</v>
      </c>
      <c r="F136" s="2" t="s">
        <v>532</v>
      </c>
      <c r="G136" s="2" t="s">
        <v>533</v>
      </c>
      <c r="H136" s="2" t="s">
        <v>534</v>
      </c>
      <c r="I136" s="2">
        <v>22</v>
      </c>
      <c r="J136" s="2" t="s">
        <v>24</v>
      </c>
      <c r="K136" s="2">
        <v>-17.455200000000001</v>
      </c>
      <c r="L136" s="2">
        <v>-66.157300000000006</v>
      </c>
      <c r="M136" s="2" t="s">
        <v>25</v>
      </c>
      <c r="N136" s="2">
        <v>1910</v>
      </c>
      <c r="O136" s="2" t="s">
        <v>535</v>
      </c>
      <c r="P136" s="2">
        <v>28</v>
      </c>
      <c r="Q136" s="2">
        <v>9</v>
      </c>
      <c r="R136" s="2">
        <f>IFERROR(VLOOKUP(A136,'[1]Recintos Cochabamba'!A$1:R$838,17,FALSE),0)</f>
        <v>2</v>
      </c>
      <c r="S136" s="3">
        <f>IFERROR(VLOOKUP(A136,'[1]Recintos Cochabamba'!A$1:T$838,18,FALSE),0)</f>
        <v>0.6256985863898934</v>
      </c>
    </row>
    <row r="137" spans="1:19" x14ac:dyDescent="0.25">
      <c r="A137" s="2">
        <v>1911</v>
      </c>
      <c r="B137" s="2" t="s">
        <v>19</v>
      </c>
      <c r="C137" s="2" t="s">
        <v>20</v>
      </c>
      <c r="D137" s="2" t="s">
        <v>19</v>
      </c>
      <c r="E137" s="2" t="s">
        <v>19</v>
      </c>
      <c r="F137" s="2" t="s">
        <v>536</v>
      </c>
      <c r="G137" s="2" t="s">
        <v>76</v>
      </c>
      <c r="H137" s="2" t="s">
        <v>537</v>
      </c>
      <c r="I137" s="2">
        <v>20</v>
      </c>
      <c r="J137" s="2" t="s">
        <v>24</v>
      </c>
      <c r="K137" s="2">
        <v>-17.378091000000001</v>
      </c>
      <c r="L137" s="2">
        <v>-66.158642999999998</v>
      </c>
      <c r="M137" s="2" t="s">
        <v>25</v>
      </c>
      <c r="N137" s="2">
        <v>1911</v>
      </c>
      <c r="O137" s="2" t="s">
        <v>538</v>
      </c>
      <c r="P137" s="2">
        <v>13</v>
      </c>
      <c r="Q137" s="2">
        <v>12</v>
      </c>
      <c r="R137" s="2">
        <f>IFERROR(VLOOKUP(A137,'[1]Recintos Cochabamba'!A$1:R$838,17,FALSE),0)</f>
        <v>4</v>
      </c>
      <c r="S137" s="3">
        <f>IFERROR(VLOOKUP(A137,'[1]Recintos Cochabamba'!A$1:T$838,18,FALSE),0)</f>
        <v>0.13594806068934573</v>
      </c>
    </row>
    <row r="138" spans="1:19" x14ac:dyDescent="0.25">
      <c r="A138" s="2">
        <v>1912</v>
      </c>
      <c r="B138" s="2" t="s">
        <v>19</v>
      </c>
      <c r="C138" s="2" t="s">
        <v>20</v>
      </c>
      <c r="D138" s="2" t="s">
        <v>19</v>
      </c>
      <c r="E138" s="2" t="s">
        <v>19</v>
      </c>
      <c r="F138" s="2" t="s">
        <v>539</v>
      </c>
      <c r="G138" s="2" t="s">
        <v>141</v>
      </c>
      <c r="H138" s="2" t="s">
        <v>540</v>
      </c>
      <c r="I138" s="2">
        <v>20</v>
      </c>
      <c r="J138" s="2" t="s">
        <v>24</v>
      </c>
      <c r="K138" s="2">
        <v>-17.391151000000001</v>
      </c>
      <c r="L138" s="2">
        <v>-66.168721000000005</v>
      </c>
      <c r="M138" s="2" t="s">
        <v>25</v>
      </c>
      <c r="N138" s="2">
        <v>1912</v>
      </c>
      <c r="O138" s="2" t="s">
        <v>541</v>
      </c>
      <c r="P138" s="2">
        <v>13</v>
      </c>
      <c r="Q138" s="2">
        <v>12</v>
      </c>
      <c r="R138" s="2">
        <f>IFERROR(VLOOKUP(A138,'[1]Recintos Cochabamba'!A$1:R$838,17,FALSE),0)</f>
        <v>7</v>
      </c>
      <c r="S138" s="3">
        <f>IFERROR(VLOOKUP(A138,'[1]Recintos Cochabamba'!A$1:T$838,18,FALSE),0)</f>
        <v>0.17386888132517841</v>
      </c>
    </row>
    <row r="139" spans="1:19" x14ac:dyDescent="0.25">
      <c r="A139" s="2">
        <v>1913</v>
      </c>
      <c r="B139" s="2" t="s">
        <v>19</v>
      </c>
      <c r="C139" s="2" t="s">
        <v>20</v>
      </c>
      <c r="D139" s="2" t="s">
        <v>19</v>
      </c>
      <c r="E139" s="2" t="s">
        <v>19</v>
      </c>
      <c r="F139" s="2" t="s">
        <v>542</v>
      </c>
      <c r="G139" s="2" t="s">
        <v>543</v>
      </c>
      <c r="H139" s="2" t="s">
        <v>544</v>
      </c>
      <c r="I139" s="2">
        <v>20</v>
      </c>
      <c r="J139" s="2" t="s">
        <v>24</v>
      </c>
      <c r="K139" s="2">
        <v>-17.373356000000001</v>
      </c>
      <c r="L139" s="2">
        <v>-66.143776000000003</v>
      </c>
      <c r="M139" s="2" t="s">
        <v>25</v>
      </c>
      <c r="N139" s="2">
        <v>1913</v>
      </c>
      <c r="O139" s="2" t="s">
        <v>545</v>
      </c>
      <c r="P139" s="2">
        <v>13</v>
      </c>
      <c r="Q139" s="2">
        <v>12</v>
      </c>
      <c r="R139" s="2">
        <f>IFERROR(VLOOKUP(A139,'[1]Recintos Cochabamba'!A$1:R$838,17,FALSE),0)</f>
        <v>23</v>
      </c>
      <c r="S139" s="3">
        <f>IFERROR(VLOOKUP(A139,'[1]Recintos Cochabamba'!A$1:T$838,18,FALSE),0)</f>
        <v>0.18403572446567623</v>
      </c>
    </row>
    <row r="140" spans="1:19" x14ac:dyDescent="0.25">
      <c r="A140" s="2">
        <v>1914</v>
      </c>
      <c r="B140" s="2" t="s">
        <v>19</v>
      </c>
      <c r="C140" s="2" t="s">
        <v>20</v>
      </c>
      <c r="D140" s="2" t="s">
        <v>19</v>
      </c>
      <c r="E140" s="2" t="s">
        <v>19</v>
      </c>
      <c r="F140" s="2" t="s">
        <v>546</v>
      </c>
      <c r="G140" s="2" t="s">
        <v>547</v>
      </c>
      <c r="H140" s="2" t="s">
        <v>548</v>
      </c>
      <c r="I140" s="2">
        <v>20</v>
      </c>
      <c r="J140" s="2" t="s">
        <v>24</v>
      </c>
      <c r="K140" s="2">
        <v>-17.389790999999999</v>
      </c>
      <c r="L140" s="2">
        <v>-66.193049999999999</v>
      </c>
      <c r="M140" s="2" t="s">
        <v>25</v>
      </c>
      <c r="N140" s="2">
        <v>1914</v>
      </c>
      <c r="O140" s="2" t="s">
        <v>549</v>
      </c>
      <c r="P140" s="2">
        <v>23</v>
      </c>
      <c r="Q140" s="2">
        <v>3</v>
      </c>
      <c r="R140" s="2">
        <f>IFERROR(VLOOKUP(A140,'[1]Recintos Cochabamba'!A$1:R$838,17,FALSE),0)</f>
        <v>7</v>
      </c>
      <c r="S140" s="3">
        <f>IFERROR(VLOOKUP(A140,'[1]Recintos Cochabamba'!A$1:T$838,18,FALSE),0)</f>
        <v>0.23809603697750231</v>
      </c>
    </row>
    <row r="141" spans="1:19" x14ac:dyDescent="0.25">
      <c r="A141" s="2">
        <v>1915</v>
      </c>
      <c r="B141" s="2" t="s">
        <v>19</v>
      </c>
      <c r="C141" s="2" t="s">
        <v>20</v>
      </c>
      <c r="D141" s="2" t="s">
        <v>19</v>
      </c>
      <c r="E141" s="2" t="s">
        <v>19</v>
      </c>
      <c r="F141" s="2" t="s">
        <v>550</v>
      </c>
      <c r="G141" s="2" t="s">
        <v>52</v>
      </c>
      <c r="H141" s="2" t="s">
        <v>551</v>
      </c>
      <c r="I141" s="2">
        <v>20</v>
      </c>
      <c r="J141" s="2" t="s">
        <v>24</v>
      </c>
      <c r="K141" s="2">
        <v>-17.360479000000002</v>
      </c>
      <c r="L141" s="2">
        <v>-66.158581999999996</v>
      </c>
      <c r="M141" s="2" t="s">
        <v>25</v>
      </c>
      <c r="N141" s="2">
        <v>1915</v>
      </c>
      <c r="O141" s="2" t="s">
        <v>552</v>
      </c>
      <c r="P141" s="2">
        <v>19</v>
      </c>
      <c r="Q141" s="2">
        <v>2</v>
      </c>
      <c r="R141" s="2">
        <f>IFERROR(VLOOKUP(A141,'[1]Recintos Cochabamba'!A$1:R$838,17,FALSE),0)</f>
        <v>3</v>
      </c>
      <c r="S141" s="3">
        <f>IFERROR(VLOOKUP(A141,'[1]Recintos Cochabamba'!A$1:T$838,18,FALSE),0)</f>
        <v>0.29773635655022784</v>
      </c>
    </row>
    <row r="142" spans="1:19" x14ac:dyDescent="0.25">
      <c r="A142" s="2">
        <v>1916</v>
      </c>
      <c r="B142" s="2" t="s">
        <v>19</v>
      </c>
      <c r="C142" s="2" t="s">
        <v>20</v>
      </c>
      <c r="D142" s="2" t="s">
        <v>19</v>
      </c>
      <c r="E142" s="2" t="s">
        <v>19</v>
      </c>
      <c r="F142" s="2" t="s">
        <v>553</v>
      </c>
      <c r="G142" s="2" t="s">
        <v>466</v>
      </c>
      <c r="H142" s="2" t="s">
        <v>554</v>
      </c>
      <c r="I142" s="2">
        <v>20</v>
      </c>
      <c r="J142" s="2" t="s">
        <v>24</v>
      </c>
      <c r="K142" s="2">
        <v>-17.373906000000002</v>
      </c>
      <c r="L142" s="2">
        <v>-66.181015000000002</v>
      </c>
      <c r="M142" s="2" t="s">
        <v>25</v>
      </c>
      <c r="N142" s="2">
        <v>1916</v>
      </c>
      <c r="O142" s="2" t="s">
        <v>555</v>
      </c>
      <c r="P142" s="2">
        <v>23</v>
      </c>
      <c r="Q142" s="2">
        <v>3</v>
      </c>
      <c r="R142" s="2">
        <f>IFERROR(VLOOKUP(A142,'[1]Recintos Cochabamba'!A$1:R$838,17,FALSE),0)</f>
        <v>8</v>
      </c>
      <c r="S142" s="3">
        <f>IFERROR(VLOOKUP(A142,'[1]Recintos Cochabamba'!A$1:T$838,18,FALSE),0)</f>
        <v>0.13687992461635232</v>
      </c>
    </row>
    <row r="143" spans="1:19" x14ac:dyDescent="0.25">
      <c r="A143" s="2">
        <v>1917</v>
      </c>
      <c r="B143" s="2" t="s">
        <v>19</v>
      </c>
      <c r="C143" s="2" t="s">
        <v>20</v>
      </c>
      <c r="D143" s="2" t="s">
        <v>19</v>
      </c>
      <c r="E143" s="2" t="s">
        <v>19</v>
      </c>
      <c r="F143" s="2" t="s">
        <v>556</v>
      </c>
      <c r="G143" s="2" t="s">
        <v>28</v>
      </c>
      <c r="H143" s="2" t="s">
        <v>557</v>
      </c>
      <c r="I143" s="2">
        <v>20</v>
      </c>
      <c r="J143" s="2" t="s">
        <v>24</v>
      </c>
      <c r="K143" s="2">
        <v>-17.34225</v>
      </c>
      <c r="L143" s="2">
        <v>-66.178681999999995</v>
      </c>
      <c r="M143" s="2" t="s">
        <v>25</v>
      </c>
      <c r="N143" s="2">
        <v>1917</v>
      </c>
      <c r="O143" s="2" t="s">
        <v>558</v>
      </c>
      <c r="P143" s="2">
        <v>19</v>
      </c>
      <c r="Q143" s="2">
        <v>2</v>
      </c>
      <c r="R143" s="2">
        <f>IFERROR(VLOOKUP(A143,'[1]Recintos Cochabamba'!A$1:R$838,17,FALSE),0)</f>
        <v>2</v>
      </c>
      <c r="S143" s="3">
        <f>IFERROR(VLOOKUP(A143,'[1]Recintos Cochabamba'!A$1:T$838,18,FALSE),0)</f>
        <v>0.54773869346733672</v>
      </c>
    </row>
    <row r="144" spans="1:19" x14ac:dyDescent="0.25">
      <c r="A144" s="2">
        <v>1918</v>
      </c>
      <c r="B144" s="2" t="s">
        <v>19</v>
      </c>
      <c r="C144" s="2" t="s">
        <v>20</v>
      </c>
      <c r="D144" s="2" t="s">
        <v>19</v>
      </c>
      <c r="E144" s="2" t="s">
        <v>19</v>
      </c>
      <c r="F144" s="2" t="s">
        <v>559</v>
      </c>
      <c r="G144" s="2" t="s">
        <v>265</v>
      </c>
      <c r="H144" s="2" t="s">
        <v>560</v>
      </c>
      <c r="I144" s="2">
        <v>21</v>
      </c>
      <c r="J144" s="2" t="s">
        <v>24</v>
      </c>
      <c r="K144" s="2">
        <v>-17.439464000000001</v>
      </c>
      <c r="L144" s="2">
        <v>-66.117405000000005</v>
      </c>
      <c r="M144" s="2" t="s">
        <v>25</v>
      </c>
      <c r="N144" s="2">
        <v>1918</v>
      </c>
      <c r="O144" s="2" t="s">
        <v>561</v>
      </c>
      <c r="P144" s="2">
        <v>15</v>
      </c>
      <c r="Q144" s="2">
        <v>14</v>
      </c>
      <c r="R144" s="2">
        <f>IFERROR(VLOOKUP(A144,'[1]Recintos Cochabamba'!A$1:R$838,17,FALSE),0)</f>
        <v>4</v>
      </c>
      <c r="S144" s="3">
        <f>IFERROR(VLOOKUP(A144,'[1]Recintos Cochabamba'!A$1:T$838,18,FALSE),0)</f>
        <v>0.73348722048848425</v>
      </c>
    </row>
    <row r="145" spans="1:19" x14ac:dyDescent="0.25">
      <c r="A145" s="2">
        <v>1919</v>
      </c>
      <c r="B145" s="2" t="s">
        <v>19</v>
      </c>
      <c r="C145" s="2" t="s">
        <v>20</v>
      </c>
      <c r="D145" s="2" t="s">
        <v>19</v>
      </c>
      <c r="E145" s="2" t="s">
        <v>19</v>
      </c>
      <c r="F145" s="2" t="s">
        <v>562</v>
      </c>
      <c r="G145" s="2" t="s">
        <v>563</v>
      </c>
      <c r="H145" s="2" t="s">
        <v>564</v>
      </c>
      <c r="I145" s="2">
        <v>21</v>
      </c>
      <c r="J145" s="2" t="s">
        <v>24</v>
      </c>
      <c r="K145" s="2">
        <v>-17.439328</v>
      </c>
      <c r="L145" s="2">
        <v>-66.139735999999999</v>
      </c>
      <c r="M145" s="2" t="s">
        <v>25</v>
      </c>
      <c r="N145" s="2">
        <v>1919</v>
      </c>
      <c r="O145" s="2" t="s">
        <v>565</v>
      </c>
      <c r="P145" s="2">
        <v>14</v>
      </c>
      <c r="Q145" s="2">
        <v>8</v>
      </c>
      <c r="R145" s="2">
        <f>IFERROR(VLOOKUP(A145,'[1]Recintos Cochabamba'!A$1:R$838,17,FALSE),0)</f>
        <v>2</v>
      </c>
      <c r="S145" s="3">
        <f>IFERROR(VLOOKUP(A145,'[1]Recintos Cochabamba'!A$1:T$838,18,FALSE),0)</f>
        <v>0.75</v>
      </c>
    </row>
    <row r="146" spans="1:19" x14ac:dyDescent="0.25">
      <c r="A146" s="2">
        <v>1920</v>
      </c>
      <c r="B146" s="2" t="s">
        <v>19</v>
      </c>
      <c r="C146" s="2" t="s">
        <v>20</v>
      </c>
      <c r="D146" s="2" t="s">
        <v>19</v>
      </c>
      <c r="E146" s="2" t="s">
        <v>19</v>
      </c>
      <c r="F146" s="2" t="s">
        <v>566</v>
      </c>
      <c r="G146" s="2" t="s">
        <v>567</v>
      </c>
      <c r="H146" s="2" t="s">
        <v>568</v>
      </c>
      <c r="I146" s="2">
        <v>21</v>
      </c>
      <c r="J146" s="2" t="s">
        <v>24</v>
      </c>
      <c r="K146" s="2">
        <v>-17.437137</v>
      </c>
      <c r="L146" s="2">
        <v>-66.135852</v>
      </c>
      <c r="M146" s="2" t="s">
        <v>25</v>
      </c>
      <c r="N146" s="2">
        <v>1920</v>
      </c>
      <c r="O146" s="2" t="s">
        <v>569</v>
      </c>
      <c r="P146" s="2">
        <v>14</v>
      </c>
      <c r="Q146" s="2">
        <v>8</v>
      </c>
      <c r="R146" s="2">
        <f>IFERROR(VLOOKUP(A146,'[1]Recintos Cochabamba'!A$1:R$838,17,FALSE),0)</f>
        <v>3</v>
      </c>
      <c r="S146" s="3">
        <f>IFERROR(VLOOKUP(A146,'[1]Recintos Cochabamba'!A$1:T$838,18,FALSE),0)</f>
        <v>0.85597434869030931</v>
      </c>
    </row>
    <row r="147" spans="1:19" x14ac:dyDescent="0.25">
      <c r="A147" s="2">
        <v>1921</v>
      </c>
      <c r="B147" s="2" t="s">
        <v>19</v>
      </c>
      <c r="C147" s="2" t="s">
        <v>20</v>
      </c>
      <c r="D147" s="2" t="s">
        <v>19</v>
      </c>
      <c r="E147" s="2" t="s">
        <v>19</v>
      </c>
      <c r="F147" s="2" t="s">
        <v>570</v>
      </c>
      <c r="G147" s="2" t="s">
        <v>571</v>
      </c>
      <c r="H147" s="2" t="s">
        <v>572</v>
      </c>
      <c r="I147" s="2">
        <v>21</v>
      </c>
      <c r="J147" s="2" t="s">
        <v>24</v>
      </c>
      <c r="K147" s="2">
        <v>-17.415824000000001</v>
      </c>
      <c r="L147" s="2">
        <v>-66.146726999999998</v>
      </c>
      <c r="M147" s="2" t="s">
        <v>25</v>
      </c>
      <c r="N147" s="2">
        <v>1921</v>
      </c>
      <c r="O147" s="2" t="s">
        <v>573</v>
      </c>
      <c r="P147" s="2">
        <v>11</v>
      </c>
      <c r="Q147" s="2">
        <v>6</v>
      </c>
      <c r="R147" s="2">
        <f>IFERROR(VLOOKUP(A147,'[1]Recintos Cochabamba'!A$1:R$838,17,FALSE),0)</f>
        <v>2</v>
      </c>
      <c r="S147" s="3">
        <f>IFERROR(VLOOKUP(A147,'[1]Recintos Cochabamba'!A$1:T$838,18,FALSE),0)</f>
        <v>0.5950413223140496</v>
      </c>
    </row>
    <row r="148" spans="1:19" x14ac:dyDescent="0.25">
      <c r="A148" s="2">
        <v>1922</v>
      </c>
      <c r="B148" s="2" t="s">
        <v>19</v>
      </c>
      <c r="C148" s="2" t="s">
        <v>20</v>
      </c>
      <c r="D148" s="2" t="s">
        <v>19</v>
      </c>
      <c r="E148" s="2" t="s">
        <v>19</v>
      </c>
      <c r="F148" s="2" t="s">
        <v>574</v>
      </c>
      <c r="G148" s="2" t="s">
        <v>525</v>
      </c>
      <c r="H148" s="2" t="s">
        <v>575</v>
      </c>
      <c r="I148" s="2">
        <v>22</v>
      </c>
      <c r="J148" s="2" t="s">
        <v>24</v>
      </c>
      <c r="K148" s="2">
        <v>-17.469251</v>
      </c>
      <c r="L148" s="2">
        <v>-66.150582</v>
      </c>
      <c r="M148" s="2" t="s">
        <v>25</v>
      </c>
      <c r="N148" s="2">
        <v>1922</v>
      </c>
      <c r="O148" s="2" t="s">
        <v>576</v>
      </c>
      <c r="P148" s="2">
        <v>28</v>
      </c>
      <c r="Q148" s="2">
        <v>9</v>
      </c>
      <c r="R148" s="2">
        <f>IFERROR(VLOOKUP(A148,'[1]Recintos Cochabamba'!A$1:R$838,17,FALSE),0)</f>
        <v>8</v>
      </c>
      <c r="S148" s="3">
        <f>IFERROR(VLOOKUP(A148,'[1]Recintos Cochabamba'!A$1:T$838,18,FALSE),0)</f>
        <v>0.83688003267592492</v>
      </c>
    </row>
    <row r="149" spans="1:19" x14ac:dyDescent="0.25">
      <c r="A149" s="2">
        <v>1923</v>
      </c>
      <c r="B149" s="2" t="s">
        <v>19</v>
      </c>
      <c r="C149" s="2" t="s">
        <v>20</v>
      </c>
      <c r="D149" s="2" t="s">
        <v>19</v>
      </c>
      <c r="E149" s="2" t="s">
        <v>19</v>
      </c>
      <c r="F149" s="2" t="s">
        <v>577</v>
      </c>
      <c r="G149" s="2" t="s">
        <v>578</v>
      </c>
      <c r="H149" s="2" t="s">
        <v>579</v>
      </c>
      <c r="I149" s="2">
        <v>22</v>
      </c>
      <c r="J149" s="2" t="s">
        <v>24</v>
      </c>
      <c r="K149" s="2">
        <v>-17.472442999999998</v>
      </c>
      <c r="L149" s="2">
        <v>-66.209187</v>
      </c>
      <c r="M149" s="2" t="s">
        <v>25</v>
      </c>
      <c r="N149" s="2">
        <v>1923</v>
      </c>
      <c r="O149" s="2" t="s">
        <v>580</v>
      </c>
      <c r="P149" s="2">
        <v>28</v>
      </c>
      <c r="Q149" s="2">
        <v>9</v>
      </c>
      <c r="R149" s="2">
        <f>IFERROR(VLOOKUP(A149,'[1]Recintos Cochabamba'!A$1:R$838,17,FALSE),0)</f>
        <v>2</v>
      </c>
      <c r="S149" s="3">
        <f>IFERROR(VLOOKUP(A149,'[1]Recintos Cochabamba'!A$1:T$838,18,FALSE),0)</f>
        <v>0.9191757779646762</v>
      </c>
    </row>
    <row r="150" spans="1:19" x14ac:dyDescent="0.25">
      <c r="A150" s="2">
        <v>1924</v>
      </c>
      <c r="B150" s="2" t="s">
        <v>19</v>
      </c>
      <c r="C150" s="2" t="s">
        <v>20</v>
      </c>
      <c r="D150" s="2" t="s">
        <v>19</v>
      </c>
      <c r="E150" s="2" t="s">
        <v>19</v>
      </c>
      <c r="F150" s="2" t="s">
        <v>581</v>
      </c>
      <c r="G150" s="2" t="s">
        <v>582</v>
      </c>
      <c r="H150" s="2" t="s">
        <v>583</v>
      </c>
      <c r="I150" s="2">
        <v>22</v>
      </c>
      <c r="J150" s="2" t="s">
        <v>24</v>
      </c>
      <c r="K150" s="2">
        <v>-17.482205</v>
      </c>
      <c r="L150" s="2">
        <v>-66.181011999999996</v>
      </c>
      <c r="M150" s="2" t="s">
        <v>25</v>
      </c>
      <c r="N150" s="2">
        <v>1924</v>
      </c>
      <c r="O150" s="2" t="s">
        <v>584</v>
      </c>
      <c r="P150" s="2">
        <v>28</v>
      </c>
      <c r="Q150" s="2">
        <v>9</v>
      </c>
      <c r="R150" s="2">
        <f>IFERROR(VLOOKUP(A150,'[1]Recintos Cochabamba'!A$1:R$838,17,FALSE),0)</f>
        <v>2</v>
      </c>
      <c r="S150" s="3">
        <f>IFERROR(VLOOKUP(A150,'[1]Recintos Cochabamba'!A$1:T$838,18,FALSE),0)</f>
        <v>0.91082802547770703</v>
      </c>
    </row>
    <row r="151" spans="1:19" x14ac:dyDescent="0.25">
      <c r="A151" s="2">
        <v>1925</v>
      </c>
      <c r="B151" s="2" t="s">
        <v>19</v>
      </c>
      <c r="C151" s="2" t="s">
        <v>20</v>
      </c>
      <c r="D151" s="2" t="s">
        <v>19</v>
      </c>
      <c r="E151" s="2" t="s">
        <v>19</v>
      </c>
      <c r="F151" s="2" t="s">
        <v>585</v>
      </c>
      <c r="G151" s="2" t="s">
        <v>586</v>
      </c>
      <c r="H151" s="2" t="s">
        <v>587</v>
      </c>
      <c r="I151" s="2">
        <v>20</v>
      </c>
      <c r="J151" s="2" t="s">
        <v>24</v>
      </c>
      <c r="K151" s="2">
        <v>-17.397455000000001</v>
      </c>
      <c r="L151" s="2">
        <v>-66.207303999999993</v>
      </c>
      <c r="M151" s="2" t="s">
        <v>25</v>
      </c>
      <c r="N151" s="2">
        <v>1925</v>
      </c>
      <c r="O151" s="2" t="s">
        <v>588</v>
      </c>
      <c r="P151" s="2">
        <v>54</v>
      </c>
      <c r="Q151" s="2">
        <v>4</v>
      </c>
      <c r="R151" s="2">
        <f>IFERROR(VLOOKUP(A151,'[1]Recintos Cochabamba'!A$1:R$838,17,FALSE),0)</f>
        <v>7</v>
      </c>
      <c r="S151" s="3">
        <f>IFERROR(VLOOKUP(A151,'[1]Recintos Cochabamba'!A$1:T$838,18,FALSE),0)</f>
        <v>0.44599260391166506</v>
      </c>
    </row>
    <row r="152" spans="1:19" x14ac:dyDescent="0.25">
      <c r="A152" s="2">
        <v>1926</v>
      </c>
      <c r="B152" s="2" t="s">
        <v>19</v>
      </c>
      <c r="C152" s="2" t="s">
        <v>20</v>
      </c>
      <c r="D152" s="2" t="s">
        <v>19</v>
      </c>
      <c r="E152" s="2" t="s">
        <v>19</v>
      </c>
      <c r="F152" s="2" t="s">
        <v>589</v>
      </c>
      <c r="G152" s="2" t="s">
        <v>129</v>
      </c>
      <c r="H152" s="2" t="s">
        <v>590</v>
      </c>
      <c r="I152" s="2">
        <v>20</v>
      </c>
      <c r="J152" s="2" t="s">
        <v>24</v>
      </c>
      <c r="K152" s="2">
        <v>-17.397715000000002</v>
      </c>
      <c r="L152" s="2">
        <v>-66.182450000000003</v>
      </c>
      <c r="M152" s="2" t="s">
        <v>25</v>
      </c>
      <c r="N152" s="2">
        <v>1926</v>
      </c>
      <c r="O152" s="2" t="s">
        <v>591</v>
      </c>
      <c r="P152" s="2">
        <v>54</v>
      </c>
      <c r="Q152" s="2">
        <v>4</v>
      </c>
      <c r="R152" s="2">
        <f>IFERROR(VLOOKUP(A152,'[1]Recintos Cochabamba'!A$1:R$838,17,FALSE),0)</f>
        <v>3</v>
      </c>
      <c r="S152" s="3">
        <f>IFERROR(VLOOKUP(A152,'[1]Recintos Cochabamba'!A$1:T$838,18,FALSE),0)</f>
        <v>0.31973652405124486</v>
      </c>
    </row>
    <row r="153" spans="1:19" x14ac:dyDescent="0.25">
      <c r="A153" s="2">
        <v>1927</v>
      </c>
      <c r="B153" s="2" t="s">
        <v>19</v>
      </c>
      <c r="C153" s="2" t="s">
        <v>20</v>
      </c>
      <c r="D153" s="2" t="s">
        <v>19</v>
      </c>
      <c r="E153" s="2" t="s">
        <v>19</v>
      </c>
      <c r="F153" s="2" t="s">
        <v>592</v>
      </c>
      <c r="G153" s="2" t="s">
        <v>281</v>
      </c>
      <c r="H153" s="2" t="s">
        <v>593</v>
      </c>
      <c r="I153" s="2">
        <v>21</v>
      </c>
      <c r="J153" s="2" t="s">
        <v>24</v>
      </c>
      <c r="K153" s="2">
        <v>-17.439902</v>
      </c>
      <c r="L153" s="2">
        <v>-66.161219000000003</v>
      </c>
      <c r="M153" s="2" t="s">
        <v>25</v>
      </c>
      <c r="N153" s="2">
        <v>1927</v>
      </c>
      <c r="O153" s="2" t="s">
        <v>594</v>
      </c>
      <c r="P153" s="2">
        <v>16</v>
      </c>
      <c r="Q153" s="2">
        <v>5</v>
      </c>
      <c r="R153" s="2">
        <f>IFERROR(VLOOKUP(A153,'[1]Recintos Cochabamba'!A$1:R$838,17,FALSE),0)</f>
        <v>2</v>
      </c>
      <c r="S153" s="3">
        <f>IFERROR(VLOOKUP(A153,'[1]Recintos Cochabamba'!A$1:T$838,18,FALSE),0)</f>
        <v>0.42857142857142855</v>
      </c>
    </row>
    <row r="154" spans="1:19" x14ac:dyDescent="0.25">
      <c r="A154" s="2">
        <v>1928</v>
      </c>
      <c r="B154" s="2" t="s">
        <v>19</v>
      </c>
      <c r="C154" s="2" t="s">
        <v>20</v>
      </c>
      <c r="D154" s="2" t="s">
        <v>19</v>
      </c>
      <c r="E154" s="2" t="s">
        <v>19</v>
      </c>
      <c r="F154" s="2" t="s">
        <v>595</v>
      </c>
      <c r="G154" s="2" t="s">
        <v>596</v>
      </c>
      <c r="H154" s="2" t="s">
        <v>597</v>
      </c>
      <c r="I154" s="2">
        <v>20</v>
      </c>
      <c r="J154" s="2" t="s">
        <v>24</v>
      </c>
      <c r="K154" s="2">
        <v>-17.348139</v>
      </c>
      <c r="L154" s="2">
        <v>-66.168953000000002</v>
      </c>
      <c r="M154" s="2" t="s">
        <v>25</v>
      </c>
      <c r="N154" s="2">
        <v>1928</v>
      </c>
      <c r="O154" s="2" t="s">
        <v>598</v>
      </c>
      <c r="P154" s="2">
        <v>19</v>
      </c>
      <c r="Q154" s="2">
        <v>2</v>
      </c>
      <c r="R154" s="2">
        <f>IFERROR(VLOOKUP(A154,'[1]Recintos Cochabamba'!A$1:R$838,17,FALSE),0)</f>
        <v>11</v>
      </c>
      <c r="S154" s="3">
        <f>IFERROR(VLOOKUP(A154,'[1]Recintos Cochabamba'!A$1:T$838,18,FALSE),0)</f>
        <v>0.46866387193245584</v>
      </c>
    </row>
    <row r="155" spans="1:19" x14ac:dyDescent="0.25">
      <c r="A155" s="2">
        <v>1929</v>
      </c>
      <c r="B155" s="2" t="s">
        <v>19</v>
      </c>
      <c r="C155" s="2" t="s">
        <v>20</v>
      </c>
      <c r="D155" s="2" t="s">
        <v>19</v>
      </c>
      <c r="E155" s="2" t="s">
        <v>19</v>
      </c>
      <c r="F155" s="2" t="s">
        <v>599</v>
      </c>
      <c r="G155" s="2" t="s">
        <v>600</v>
      </c>
      <c r="H155" s="2" t="s">
        <v>601</v>
      </c>
      <c r="I155" s="2">
        <v>22</v>
      </c>
      <c r="J155" s="2" t="s">
        <v>24</v>
      </c>
      <c r="K155" s="2">
        <v>-17.476937</v>
      </c>
      <c r="L155" s="2">
        <v>-66.119957999999997</v>
      </c>
      <c r="M155" s="2" t="s">
        <v>25</v>
      </c>
      <c r="N155" s="2">
        <v>1929</v>
      </c>
      <c r="O155" s="2" t="s">
        <v>602</v>
      </c>
      <c r="P155" s="2">
        <v>52</v>
      </c>
      <c r="Q155" s="2">
        <v>15</v>
      </c>
      <c r="R155" s="2">
        <f>IFERROR(VLOOKUP(A155,'[1]Recintos Cochabamba'!A$1:R$838,17,FALSE),0)</f>
        <v>16</v>
      </c>
      <c r="S155" s="3">
        <f>IFERROR(VLOOKUP(A155,'[1]Recintos Cochabamba'!A$1:T$838,18,FALSE),0)</f>
        <v>0.89593711216447369</v>
      </c>
    </row>
    <row r="156" spans="1:19" x14ac:dyDescent="0.25">
      <c r="A156" s="2">
        <v>1930</v>
      </c>
      <c r="B156" s="2" t="s">
        <v>19</v>
      </c>
      <c r="C156" s="2" t="s">
        <v>20</v>
      </c>
      <c r="D156" s="2" t="s">
        <v>19</v>
      </c>
      <c r="E156" s="2" t="s">
        <v>19</v>
      </c>
      <c r="F156" s="2" t="s">
        <v>603</v>
      </c>
      <c r="G156" s="2" t="s">
        <v>149</v>
      </c>
      <c r="H156" s="2" t="s">
        <v>604</v>
      </c>
      <c r="I156" s="2">
        <v>21</v>
      </c>
      <c r="J156" s="2" t="s">
        <v>24</v>
      </c>
      <c r="K156" s="2">
        <v>-17.390502999999999</v>
      </c>
      <c r="L156" s="2">
        <v>-66.161026000000007</v>
      </c>
      <c r="M156" s="2" t="s">
        <v>25</v>
      </c>
      <c r="N156" s="2">
        <v>1930</v>
      </c>
      <c r="O156" s="2" t="s">
        <v>605</v>
      </c>
      <c r="P156" s="2">
        <v>17</v>
      </c>
      <c r="Q156" s="2">
        <v>10</v>
      </c>
      <c r="R156" s="2">
        <f>IFERROR(VLOOKUP(A156,'[1]Recintos Cochabamba'!A$1:R$838,17,FALSE),0)</f>
        <v>4</v>
      </c>
      <c r="S156" s="3">
        <f>IFERROR(VLOOKUP(A156,'[1]Recintos Cochabamba'!A$1:T$838,18,FALSE),0)</f>
        <v>0.18070224147504854</v>
      </c>
    </row>
    <row r="157" spans="1:19" x14ac:dyDescent="0.25">
      <c r="A157" s="2">
        <v>1931</v>
      </c>
      <c r="B157" s="2" t="s">
        <v>19</v>
      </c>
      <c r="C157" s="2" t="s">
        <v>20</v>
      </c>
      <c r="D157" s="2" t="s">
        <v>19</v>
      </c>
      <c r="E157" s="2" t="s">
        <v>19</v>
      </c>
      <c r="F157" s="2" t="s">
        <v>606</v>
      </c>
      <c r="G157" s="2" t="s">
        <v>607</v>
      </c>
      <c r="H157" s="2" t="s">
        <v>608</v>
      </c>
      <c r="I157" s="2">
        <v>21</v>
      </c>
      <c r="J157" s="2" t="s">
        <v>24</v>
      </c>
      <c r="K157" s="2">
        <v>-17.466683</v>
      </c>
      <c r="L157" s="2">
        <v>-66.113129000000001</v>
      </c>
      <c r="M157" s="2" t="s">
        <v>25</v>
      </c>
      <c r="N157" s="2">
        <v>1931</v>
      </c>
      <c r="O157" s="2" t="s">
        <v>609</v>
      </c>
      <c r="P157" s="2">
        <v>14</v>
      </c>
      <c r="Q157" s="2">
        <v>8</v>
      </c>
      <c r="R157" s="2">
        <f>IFERROR(VLOOKUP(A157,'[1]Recintos Cochabamba'!A$1:R$838,17,FALSE),0)</f>
        <v>7</v>
      </c>
      <c r="S157" s="3">
        <f>IFERROR(VLOOKUP(A157,'[1]Recintos Cochabamba'!A$1:T$838,18,FALSE),0)</f>
        <v>0.63801440808502219</v>
      </c>
    </row>
    <row r="158" spans="1:19" x14ac:dyDescent="0.25">
      <c r="A158" s="2">
        <v>1932</v>
      </c>
      <c r="B158" s="2" t="s">
        <v>19</v>
      </c>
      <c r="C158" s="2" t="s">
        <v>20</v>
      </c>
      <c r="D158" s="2" t="s">
        <v>19</v>
      </c>
      <c r="E158" s="2" t="s">
        <v>19</v>
      </c>
      <c r="F158" s="2" t="s">
        <v>610</v>
      </c>
      <c r="G158" s="2" t="s">
        <v>611</v>
      </c>
      <c r="H158" s="2" t="s">
        <v>612</v>
      </c>
      <c r="I158" s="2">
        <v>21</v>
      </c>
      <c r="J158" s="2" t="s">
        <v>24</v>
      </c>
      <c r="K158" s="2">
        <v>-17.480595000000001</v>
      </c>
      <c r="L158" s="2">
        <v>-66.100886000000003</v>
      </c>
      <c r="M158" s="2" t="s">
        <v>25</v>
      </c>
      <c r="N158" s="2">
        <v>1932</v>
      </c>
      <c r="O158" s="2" t="s">
        <v>613</v>
      </c>
      <c r="P158" s="2">
        <v>14</v>
      </c>
      <c r="Q158" s="2">
        <v>8</v>
      </c>
      <c r="R158" s="2">
        <f>IFERROR(VLOOKUP(A158,'[1]Recintos Cochabamba'!A$1:R$838,17,FALSE),0)</f>
        <v>7</v>
      </c>
      <c r="S158" s="3">
        <f>IFERROR(VLOOKUP(A158,'[1]Recintos Cochabamba'!A$1:T$838,18,FALSE),0)</f>
        <v>0.83432971074445561</v>
      </c>
    </row>
    <row r="159" spans="1:19" x14ac:dyDescent="0.25">
      <c r="A159" s="2">
        <v>1933</v>
      </c>
      <c r="B159" s="2" t="s">
        <v>19</v>
      </c>
      <c r="C159" s="2" t="s">
        <v>20</v>
      </c>
      <c r="D159" s="2" t="s">
        <v>19</v>
      </c>
      <c r="E159" s="2" t="s">
        <v>19</v>
      </c>
      <c r="F159" s="2" t="s">
        <v>614</v>
      </c>
      <c r="G159" s="2" t="s">
        <v>615</v>
      </c>
      <c r="H159" s="2" t="s">
        <v>616</v>
      </c>
      <c r="I159" s="2">
        <v>21</v>
      </c>
      <c r="J159" s="2" t="s">
        <v>24</v>
      </c>
      <c r="K159" s="2">
        <v>-17.457484999999998</v>
      </c>
      <c r="L159" s="2">
        <v>-66.113020000000006</v>
      </c>
      <c r="M159" s="2" t="s">
        <v>25</v>
      </c>
      <c r="N159" s="2">
        <v>1933</v>
      </c>
      <c r="O159" s="2" t="s">
        <v>617</v>
      </c>
      <c r="P159" s="2">
        <v>15</v>
      </c>
      <c r="Q159" s="2">
        <v>14</v>
      </c>
      <c r="R159" s="2">
        <f>IFERROR(VLOOKUP(A159,'[1]Recintos Cochabamba'!A$1:R$838,17,FALSE),0)</f>
        <v>1</v>
      </c>
      <c r="S159" s="3">
        <f>IFERROR(VLOOKUP(A159,'[1]Recintos Cochabamba'!A$1:T$838,18,FALSE),0)</f>
        <v>0.87903225806451613</v>
      </c>
    </row>
    <row r="160" spans="1:19" x14ac:dyDescent="0.25">
      <c r="A160" s="2">
        <v>1934</v>
      </c>
      <c r="B160" s="2" t="s">
        <v>19</v>
      </c>
      <c r="C160" s="2" t="s">
        <v>20</v>
      </c>
      <c r="D160" s="2" t="s">
        <v>19</v>
      </c>
      <c r="E160" s="2" t="s">
        <v>19</v>
      </c>
      <c r="F160" s="2" t="s">
        <v>618</v>
      </c>
      <c r="G160" s="2" t="s">
        <v>157</v>
      </c>
      <c r="H160" s="2" t="s">
        <v>619</v>
      </c>
      <c r="I160" s="2">
        <v>21</v>
      </c>
      <c r="J160" s="2" t="s">
        <v>24</v>
      </c>
      <c r="K160" s="2">
        <v>-17.395751000000001</v>
      </c>
      <c r="L160" s="2">
        <v>-66.159833000000006</v>
      </c>
      <c r="M160" s="2" t="s">
        <v>25</v>
      </c>
      <c r="N160" s="2">
        <v>1934</v>
      </c>
      <c r="O160" s="2" t="s">
        <v>620</v>
      </c>
      <c r="P160" s="2">
        <v>17</v>
      </c>
      <c r="Q160" s="2">
        <v>10</v>
      </c>
      <c r="R160" s="2">
        <f>IFERROR(VLOOKUP(A160,'[1]Recintos Cochabamba'!A$1:R$838,17,FALSE),0)</f>
        <v>1</v>
      </c>
      <c r="S160" s="3">
        <f>IFERROR(VLOOKUP(A160,'[1]Recintos Cochabamba'!A$1:T$838,18,FALSE),0)</f>
        <v>0.42307692307692307</v>
      </c>
    </row>
    <row r="161" spans="1:19" x14ac:dyDescent="0.25">
      <c r="A161" s="2">
        <v>1935</v>
      </c>
      <c r="B161" s="2" t="s">
        <v>19</v>
      </c>
      <c r="C161" s="2" t="s">
        <v>20</v>
      </c>
      <c r="D161" s="2" t="s">
        <v>19</v>
      </c>
      <c r="E161" s="2" t="s">
        <v>19</v>
      </c>
      <c r="F161" s="2" t="s">
        <v>621</v>
      </c>
      <c r="G161" s="2" t="s">
        <v>281</v>
      </c>
      <c r="H161" s="2" t="s">
        <v>622</v>
      </c>
      <c r="I161" s="2">
        <v>21</v>
      </c>
      <c r="J161" s="2" t="s">
        <v>24</v>
      </c>
      <c r="K161" s="2">
        <v>-17.428363000000001</v>
      </c>
      <c r="L161" s="2">
        <v>-66.157720999999995</v>
      </c>
      <c r="M161" s="2" t="s">
        <v>25</v>
      </c>
      <c r="N161" s="2">
        <v>1935</v>
      </c>
      <c r="O161" s="2" t="s">
        <v>623</v>
      </c>
      <c r="P161" s="2">
        <v>16</v>
      </c>
      <c r="Q161" s="2">
        <v>5</v>
      </c>
      <c r="R161" s="2">
        <f>IFERROR(VLOOKUP(A161,'[1]Recintos Cochabamba'!A$1:R$838,17,FALSE),0)</f>
        <v>3</v>
      </c>
      <c r="S161" s="3">
        <f>IFERROR(VLOOKUP(A161,'[1]Recintos Cochabamba'!A$1:T$838,18,FALSE),0)</f>
        <v>0.46509986973512807</v>
      </c>
    </row>
    <row r="162" spans="1:19" x14ac:dyDescent="0.25">
      <c r="A162" s="2">
        <v>1936</v>
      </c>
      <c r="B162" s="2" t="s">
        <v>19</v>
      </c>
      <c r="C162" s="2" t="s">
        <v>20</v>
      </c>
      <c r="D162" s="2" t="s">
        <v>19</v>
      </c>
      <c r="E162" s="2" t="s">
        <v>19</v>
      </c>
      <c r="F162" s="2" t="s">
        <v>624</v>
      </c>
      <c r="G162" s="2" t="s">
        <v>265</v>
      </c>
      <c r="H162" s="2" t="s">
        <v>625</v>
      </c>
      <c r="I162" s="2">
        <v>21</v>
      </c>
      <c r="J162" s="2" t="s">
        <v>24</v>
      </c>
      <c r="K162" s="2">
        <v>-17.439696999999999</v>
      </c>
      <c r="L162" s="2">
        <v>-66.117216999999997</v>
      </c>
      <c r="M162" s="2" t="s">
        <v>25</v>
      </c>
      <c r="N162" s="2">
        <v>1936</v>
      </c>
      <c r="O162" s="2" t="s">
        <v>626</v>
      </c>
      <c r="P162" s="2">
        <v>15</v>
      </c>
      <c r="Q162" s="2">
        <v>14</v>
      </c>
      <c r="R162" s="2">
        <f>IFERROR(VLOOKUP(A162,'[1]Recintos Cochabamba'!A$1:R$838,17,FALSE),0)</f>
        <v>7</v>
      </c>
      <c r="S162" s="3">
        <f>IFERROR(VLOOKUP(A162,'[1]Recintos Cochabamba'!A$1:T$838,18,FALSE),0)</f>
        <v>0.74013352326049531</v>
      </c>
    </row>
    <row r="163" spans="1:19" x14ac:dyDescent="0.25">
      <c r="A163" s="2">
        <v>1937</v>
      </c>
      <c r="B163" s="2" t="s">
        <v>19</v>
      </c>
      <c r="C163" s="2" t="s">
        <v>20</v>
      </c>
      <c r="D163" s="2" t="s">
        <v>19</v>
      </c>
      <c r="E163" s="2" t="s">
        <v>19</v>
      </c>
      <c r="F163" s="2" t="s">
        <v>627</v>
      </c>
      <c r="G163" s="2" t="s">
        <v>200</v>
      </c>
      <c r="H163" s="2" t="s">
        <v>628</v>
      </c>
      <c r="I163" s="2">
        <v>21</v>
      </c>
      <c r="J163" s="2" t="s">
        <v>24</v>
      </c>
      <c r="K163" s="2">
        <v>-17.404477</v>
      </c>
      <c r="L163" s="2">
        <v>-66.148026999999999</v>
      </c>
      <c r="M163" s="2" t="s">
        <v>25</v>
      </c>
      <c r="N163" s="2">
        <v>1937</v>
      </c>
      <c r="O163" s="2" t="s">
        <v>629</v>
      </c>
      <c r="P163" s="2">
        <v>11</v>
      </c>
      <c r="Q163" s="2">
        <v>6</v>
      </c>
      <c r="R163" s="2">
        <f>IFERROR(VLOOKUP(A163,'[1]Recintos Cochabamba'!A$1:R$838,17,FALSE),0)</f>
        <v>1</v>
      </c>
      <c r="S163" s="3">
        <f>IFERROR(VLOOKUP(A163,'[1]Recintos Cochabamba'!A$1:T$838,18,FALSE),0)</f>
        <v>0.72972972972972971</v>
      </c>
    </row>
    <row r="164" spans="1:19" x14ac:dyDescent="0.25">
      <c r="A164" s="2">
        <v>1938</v>
      </c>
      <c r="B164" s="2" t="s">
        <v>19</v>
      </c>
      <c r="C164" s="2" t="s">
        <v>20</v>
      </c>
      <c r="D164" s="2" t="s">
        <v>19</v>
      </c>
      <c r="E164" s="2" t="s">
        <v>19</v>
      </c>
      <c r="F164" s="2" t="s">
        <v>630</v>
      </c>
      <c r="G164" s="2" t="s">
        <v>567</v>
      </c>
      <c r="H164" s="2" t="s">
        <v>631</v>
      </c>
      <c r="I164" s="2">
        <v>21</v>
      </c>
      <c r="J164" s="2" t="s">
        <v>24</v>
      </c>
      <c r="K164" s="2">
        <v>-17.443417</v>
      </c>
      <c r="L164" s="2">
        <v>-66.136043999999998</v>
      </c>
      <c r="M164" s="2" t="s">
        <v>25</v>
      </c>
      <c r="N164" s="2">
        <v>1938</v>
      </c>
      <c r="O164" s="2" t="s">
        <v>632</v>
      </c>
      <c r="P164" s="2">
        <v>14</v>
      </c>
      <c r="Q164" s="2">
        <v>8</v>
      </c>
      <c r="R164" s="2">
        <f>IFERROR(VLOOKUP(A164,'[1]Recintos Cochabamba'!A$1:R$838,17,FALSE),0)</f>
        <v>7</v>
      </c>
      <c r="S164" s="3">
        <f>IFERROR(VLOOKUP(A164,'[1]Recintos Cochabamba'!A$1:T$838,18,FALSE),0)</f>
        <v>0.66926980928533908</v>
      </c>
    </row>
    <row r="165" spans="1:19" x14ac:dyDescent="0.25">
      <c r="A165" s="2">
        <v>1939</v>
      </c>
      <c r="B165" s="2" t="s">
        <v>19</v>
      </c>
      <c r="C165" s="2" t="s">
        <v>20</v>
      </c>
      <c r="D165" s="2" t="s">
        <v>19</v>
      </c>
      <c r="E165" s="2" t="s">
        <v>19</v>
      </c>
      <c r="F165" s="2" t="s">
        <v>633</v>
      </c>
      <c r="G165" s="2" t="s">
        <v>297</v>
      </c>
      <c r="H165" s="2" t="s">
        <v>634</v>
      </c>
      <c r="I165" s="2">
        <v>21</v>
      </c>
      <c r="J165" s="2" t="s">
        <v>24</v>
      </c>
      <c r="K165" s="2">
        <v>-17.439799000000001</v>
      </c>
      <c r="L165" s="2">
        <v>-66.123193999999998</v>
      </c>
      <c r="M165" s="2" t="s">
        <v>25</v>
      </c>
      <c r="N165" s="2">
        <v>1939</v>
      </c>
      <c r="O165" s="2" t="s">
        <v>635</v>
      </c>
      <c r="P165" s="2">
        <v>12</v>
      </c>
      <c r="Q165" s="2">
        <v>7</v>
      </c>
      <c r="R165" s="2">
        <f>IFERROR(VLOOKUP(A165,'[1]Recintos Cochabamba'!A$1:R$838,17,FALSE),0)</f>
        <v>2</v>
      </c>
      <c r="S165" s="3">
        <f>IFERROR(VLOOKUP(A165,'[1]Recintos Cochabamba'!A$1:T$838,18,FALSE),0)</f>
        <v>0.57558626465661644</v>
      </c>
    </row>
    <row r="166" spans="1:19" x14ac:dyDescent="0.25">
      <c r="A166" s="2">
        <v>1940</v>
      </c>
      <c r="B166" s="2" t="s">
        <v>19</v>
      </c>
      <c r="C166" s="2" t="s">
        <v>20</v>
      </c>
      <c r="D166" s="2" t="s">
        <v>19</v>
      </c>
      <c r="E166" s="2" t="s">
        <v>19</v>
      </c>
      <c r="F166" s="2" t="s">
        <v>636</v>
      </c>
      <c r="G166" s="2" t="s">
        <v>637</v>
      </c>
      <c r="H166" s="2" t="s">
        <v>638</v>
      </c>
      <c r="I166" s="2">
        <v>22</v>
      </c>
      <c r="J166" s="2" t="s">
        <v>24</v>
      </c>
      <c r="K166" s="2">
        <v>-17.443460999999999</v>
      </c>
      <c r="L166" s="2">
        <v>-66.153174000000007</v>
      </c>
      <c r="M166" s="2" t="s">
        <v>25</v>
      </c>
      <c r="N166" s="2">
        <v>1940</v>
      </c>
      <c r="O166" s="2" t="s">
        <v>639</v>
      </c>
      <c r="P166" s="2">
        <v>28</v>
      </c>
      <c r="Q166" s="2">
        <v>9</v>
      </c>
      <c r="R166" s="2">
        <f>IFERROR(VLOOKUP(A166,'[1]Recintos Cochabamba'!A$1:R$838,17,FALSE),0)</f>
        <v>2</v>
      </c>
      <c r="S166" s="3">
        <f>IFERROR(VLOOKUP(A166,'[1]Recintos Cochabamba'!A$1:T$838,18,FALSE),0)</f>
        <v>0.61593211752786226</v>
      </c>
    </row>
    <row r="167" spans="1:19" x14ac:dyDescent="0.25">
      <c r="A167" s="2">
        <v>1941</v>
      </c>
      <c r="B167" s="2" t="s">
        <v>19</v>
      </c>
      <c r="C167" s="2" t="s">
        <v>20</v>
      </c>
      <c r="D167" s="2" t="s">
        <v>19</v>
      </c>
      <c r="E167" s="2" t="s">
        <v>19</v>
      </c>
      <c r="F167" s="2" t="s">
        <v>640</v>
      </c>
      <c r="G167" s="2" t="s">
        <v>641</v>
      </c>
      <c r="H167" s="2" t="s">
        <v>642</v>
      </c>
      <c r="I167" s="2">
        <v>22</v>
      </c>
      <c r="J167" s="2" t="s">
        <v>24</v>
      </c>
      <c r="K167" s="2">
        <v>-17.443436999999999</v>
      </c>
      <c r="L167" s="2">
        <v>-66.196198999999993</v>
      </c>
      <c r="M167" s="2" t="s">
        <v>25</v>
      </c>
      <c r="N167" s="2">
        <v>1941</v>
      </c>
      <c r="O167" s="2" t="s">
        <v>643</v>
      </c>
      <c r="P167" s="2">
        <v>28</v>
      </c>
      <c r="Q167" s="2">
        <v>9</v>
      </c>
      <c r="R167" s="2">
        <f>IFERROR(VLOOKUP(A167,'[1]Recintos Cochabamba'!A$1:R$838,17,FALSE),0)</f>
        <v>9</v>
      </c>
      <c r="S167" s="3">
        <f>IFERROR(VLOOKUP(A167,'[1]Recintos Cochabamba'!A$1:T$838,18,FALSE),0)</f>
        <v>0.64403128420521671</v>
      </c>
    </row>
    <row r="168" spans="1:19" x14ac:dyDescent="0.25">
      <c r="A168" s="2">
        <v>1942</v>
      </c>
      <c r="B168" s="2" t="s">
        <v>19</v>
      </c>
      <c r="C168" s="2" t="s">
        <v>20</v>
      </c>
      <c r="D168" s="2" t="s">
        <v>19</v>
      </c>
      <c r="E168" s="2" t="s">
        <v>19</v>
      </c>
      <c r="F168" s="4" t="s">
        <v>644</v>
      </c>
      <c r="G168" s="2" t="s">
        <v>186</v>
      </c>
      <c r="H168" s="2" t="s">
        <v>645</v>
      </c>
      <c r="I168" s="2">
        <v>21</v>
      </c>
      <c r="J168" s="2" t="s">
        <v>24</v>
      </c>
      <c r="K168" s="2">
        <v>-17.397765</v>
      </c>
      <c r="L168" s="2">
        <v>-66.138660000000002</v>
      </c>
      <c r="M168" s="2" t="s">
        <v>25</v>
      </c>
      <c r="N168" s="2">
        <v>1942</v>
      </c>
      <c r="O168" s="2" t="s">
        <v>646</v>
      </c>
      <c r="P168" s="2">
        <v>10</v>
      </c>
      <c r="Q168" s="2">
        <v>11</v>
      </c>
      <c r="R168" s="2">
        <f>IFERROR(VLOOKUP(A168,'[1]Recintos Cochabamba'!A$1:R$838,17,FALSE),0)</f>
        <v>5</v>
      </c>
      <c r="S168" s="3">
        <f>IFERROR(VLOOKUP(A168,'[1]Recintos Cochabamba'!A$1:T$838,18,FALSE),0)</f>
        <v>0.30042873557304794</v>
      </c>
    </row>
    <row r="169" spans="1:19" x14ac:dyDescent="0.25">
      <c r="A169" s="2">
        <v>1943</v>
      </c>
      <c r="B169" s="2" t="s">
        <v>19</v>
      </c>
      <c r="C169" s="2" t="s">
        <v>20</v>
      </c>
      <c r="D169" s="2" t="s">
        <v>19</v>
      </c>
      <c r="E169" s="2" t="s">
        <v>19</v>
      </c>
      <c r="F169" s="2" t="s">
        <v>647</v>
      </c>
      <c r="G169" s="2" t="s">
        <v>648</v>
      </c>
      <c r="H169" s="2" t="s">
        <v>649</v>
      </c>
      <c r="I169" s="2">
        <v>20</v>
      </c>
      <c r="J169" s="2" t="s">
        <v>24</v>
      </c>
      <c r="K169" s="2">
        <v>-17.356829999999999</v>
      </c>
      <c r="L169" s="2">
        <v>-66.154276999999993</v>
      </c>
      <c r="M169" s="2" t="s">
        <v>25</v>
      </c>
      <c r="N169" s="2">
        <v>1943</v>
      </c>
      <c r="O169" s="2" t="s">
        <v>650</v>
      </c>
      <c r="P169" s="2">
        <v>19</v>
      </c>
      <c r="Q169" s="2">
        <v>2</v>
      </c>
      <c r="R169" s="2">
        <f>IFERROR(VLOOKUP(A169,'[1]Recintos Cochabamba'!A$1:R$838,17,FALSE),0)</f>
        <v>7</v>
      </c>
      <c r="S169" s="3">
        <f>IFERROR(VLOOKUP(A169,'[1]Recintos Cochabamba'!A$1:T$838,18,FALSE),0)</f>
        <v>0.30391893807853515</v>
      </c>
    </row>
    <row r="170" spans="1:19" x14ac:dyDescent="0.25">
      <c r="A170" s="2">
        <v>1944</v>
      </c>
      <c r="B170" s="2" t="s">
        <v>19</v>
      </c>
      <c r="C170" s="2" t="s">
        <v>20</v>
      </c>
      <c r="D170" s="2" t="s">
        <v>19</v>
      </c>
      <c r="E170" s="2" t="s">
        <v>19</v>
      </c>
      <c r="F170" s="2" t="s">
        <v>651</v>
      </c>
      <c r="G170" s="2" t="s">
        <v>652</v>
      </c>
      <c r="H170" s="2" t="s">
        <v>653</v>
      </c>
      <c r="I170" s="2">
        <v>20</v>
      </c>
      <c r="J170" s="2" t="s">
        <v>24</v>
      </c>
      <c r="K170" s="2">
        <v>-17.364903000000002</v>
      </c>
      <c r="L170" s="2">
        <v>-66.173878000000002</v>
      </c>
      <c r="M170" s="2" t="s">
        <v>25</v>
      </c>
      <c r="N170" s="2">
        <v>1944</v>
      </c>
      <c r="O170" s="2" t="s">
        <v>654</v>
      </c>
      <c r="P170" s="2">
        <v>19</v>
      </c>
      <c r="Q170" s="2">
        <v>2</v>
      </c>
      <c r="R170" s="2">
        <f>IFERROR(VLOOKUP(A170,'[1]Recintos Cochabamba'!A$1:R$838,17,FALSE),0)</f>
        <v>5</v>
      </c>
      <c r="S170" s="3">
        <f>IFERROR(VLOOKUP(A170,'[1]Recintos Cochabamba'!A$1:T$838,18,FALSE),0)</f>
        <v>0.20274953559634751</v>
      </c>
    </row>
    <row r="171" spans="1:19" x14ac:dyDescent="0.25">
      <c r="A171" s="2">
        <v>1945</v>
      </c>
      <c r="B171" s="2" t="s">
        <v>19</v>
      </c>
      <c r="C171" s="2" t="s">
        <v>20</v>
      </c>
      <c r="D171" s="2" t="s">
        <v>19</v>
      </c>
      <c r="E171" s="2" t="s">
        <v>19</v>
      </c>
      <c r="F171" s="2" t="s">
        <v>655</v>
      </c>
      <c r="G171" s="2" t="s">
        <v>145</v>
      </c>
      <c r="H171" s="2" t="s">
        <v>656</v>
      </c>
      <c r="I171" s="2">
        <v>22</v>
      </c>
      <c r="J171" s="2" t="s">
        <v>24</v>
      </c>
      <c r="K171" s="2">
        <v>-17.465192999999999</v>
      </c>
      <c r="L171" s="2">
        <v>-66.206000000000003</v>
      </c>
      <c r="M171" s="2" t="s">
        <v>25</v>
      </c>
      <c r="N171" s="2">
        <v>1945</v>
      </c>
      <c r="O171" s="2" t="s">
        <v>657</v>
      </c>
      <c r="P171" s="2">
        <v>28</v>
      </c>
      <c r="Q171" s="2">
        <v>9</v>
      </c>
      <c r="R171" s="2">
        <f>IFERROR(VLOOKUP(A171,'[1]Recintos Cochabamba'!A$1:R$838,17,FALSE),0)</f>
        <v>23</v>
      </c>
      <c r="S171" s="3">
        <f>IFERROR(VLOOKUP(A171,'[1]Recintos Cochabamba'!A$1:T$838,18,FALSE),0)</f>
        <v>0.85462532852585948</v>
      </c>
    </row>
    <row r="172" spans="1:19" x14ac:dyDescent="0.25">
      <c r="A172" s="2">
        <v>1946</v>
      </c>
      <c r="B172" s="2" t="s">
        <v>19</v>
      </c>
      <c r="C172" s="2" t="s">
        <v>20</v>
      </c>
      <c r="D172" s="2" t="s">
        <v>19</v>
      </c>
      <c r="E172" s="2" t="s">
        <v>19</v>
      </c>
      <c r="F172" s="2" t="s">
        <v>658</v>
      </c>
      <c r="G172" s="2" t="s">
        <v>659</v>
      </c>
      <c r="H172" s="2" t="s">
        <v>660</v>
      </c>
      <c r="I172" s="2">
        <v>22</v>
      </c>
      <c r="J172" s="2" t="s">
        <v>24</v>
      </c>
      <c r="K172" s="2">
        <v>-17.463887</v>
      </c>
      <c r="L172" s="2">
        <v>-66.135812999999999</v>
      </c>
      <c r="M172" s="2" t="s">
        <v>25</v>
      </c>
      <c r="N172" s="2">
        <v>1946</v>
      </c>
      <c r="O172" s="2" t="s">
        <v>661</v>
      </c>
      <c r="P172" s="2">
        <v>52</v>
      </c>
      <c r="Q172" s="2">
        <v>15</v>
      </c>
      <c r="R172" s="2">
        <f>IFERROR(VLOOKUP(A172,'[1]Recintos Cochabamba'!A$1:R$838,17,FALSE),0)</f>
        <v>8</v>
      </c>
      <c r="S172" s="3">
        <f>IFERROR(VLOOKUP(A172,'[1]Recintos Cochabamba'!A$1:T$838,18,FALSE),0)</f>
        <v>0.69406877617370233</v>
      </c>
    </row>
    <row r="173" spans="1:19" x14ac:dyDescent="0.25">
      <c r="A173" s="2">
        <v>1947</v>
      </c>
      <c r="B173" s="2" t="s">
        <v>19</v>
      </c>
      <c r="C173" s="2" t="s">
        <v>20</v>
      </c>
      <c r="D173" s="2" t="s">
        <v>19</v>
      </c>
      <c r="E173" s="2" t="s">
        <v>19</v>
      </c>
      <c r="F173" s="2" t="s">
        <v>662</v>
      </c>
      <c r="G173" s="2" t="s">
        <v>663</v>
      </c>
      <c r="H173" s="2" t="s">
        <v>664</v>
      </c>
      <c r="I173" s="2">
        <v>21</v>
      </c>
      <c r="J173" s="2" t="s">
        <v>24</v>
      </c>
      <c r="K173" s="2">
        <v>-17.431528</v>
      </c>
      <c r="L173" s="2">
        <v>-66.136751000000004</v>
      </c>
      <c r="M173" s="2" t="s">
        <v>25</v>
      </c>
      <c r="N173" s="2">
        <v>1947</v>
      </c>
      <c r="O173" s="2" t="s">
        <v>665</v>
      </c>
      <c r="P173" s="2">
        <v>14</v>
      </c>
      <c r="Q173" s="2">
        <v>8</v>
      </c>
      <c r="R173" s="2">
        <f>IFERROR(VLOOKUP(A173,'[1]Recintos Cochabamba'!A$1:R$838,17,FALSE),0)</f>
        <v>2</v>
      </c>
      <c r="S173" s="3">
        <v>0</v>
      </c>
    </row>
    <row r="174" spans="1:19" x14ac:dyDescent="0.25">
      <c r="A174" s="2">
        <v>1948</v>
      </c>
      <c r="B174" s="2" t="s">
        <v>19</v>
      </c>
      <c r="C174" s="2" t="s">
        <v>20</v>
      </c>
      <c r="D174" s="2" t="s">
        <v>19</v>
      </c>
      <c r="E174" s="2" t="s">
        <v>19</v>
      </c>
      <c r="F174" s="2" t="s">
        <v>666</v>
      </c>
      <c r="G174" s="2" t="s">
        <v>667</v>
      </c>
      <c r="H174" s="2" t="s">
        <v>668</v>
      </c>
      <c r="I174" s="2">
        <v>22</v>
      </c>
      <c r="J174" s="2" t="s">
        <v>24</v>
      </c>
      <c r="K174" s="2">
        <v>-17.452649999999998</v>
      </c>
      <c r="L174" s="2">
        <v>-66.147521999999995</v>
      </c>
      <c r="M174" s="2" t="s">
        <v>25</v>
      </c>
      <c r="N174" s="2">
        <v>1948</v>
      </c>
      <c r="O174" s="2" t="s">
        <v>669</v>
      </c>
      <c r="P174" s="2">
        <v>28</v>
      </c>
      <c r="Q174" s="2">
        <v>9</v>
      </c>
      <c r="R174" s="2">
        <f>IFERROR(VLOOKUP(A174,'[1]Recintos Cochabamba'!A$1:R$838,17,FALSE),0)</f>
        <v>2</v>
      </c>
      <c r="S174" s="3">
        <v>0</v>
      </c>
    </row>
    <row r="175" spans="1:19" x14ac:dyDescent="0.25">
      <c r="A175" s="2">
        <v>1949</v>
      </c>
      <c r="B175" s="2" t="s">
        <v>19</v>
      </c>
      <c r="C175" s="2" t="s">
        <v>20</v>
      </c>
      <c r="D175" s="2" t="s">
        <v>19</v>
      </c>
      <c r="E175" s="2" t="s">
        <v>19</v>
      </c>
      <c r="F175" s="2" t="s">
        <v>670</v>
      </c>
      <c r="G175" s="2" t="s">
        <v>671</v>
      </c>
      <c r="H175" s="2" t="s">
        <v>671</v>
      </c>
      <c r="I175" s="2">
        <v>22</v>
      </c>
      <c r="J175" s="2" t="s">
        <v>24</v>
      </c>
      <c r="K175" s="2">
        <v>-17.475456000000001</v>
      </c>
      <c r="L175" s="2">
        <v>-66.168816000000007</v>
      </c>
      <c r="M175" s="2" t="s">
        <v>25</v>
      </c>
      <c r="N175" s="2">
        <v>1949</v>
      </c>
      <c r="O175" s="2" t="s">
        <v>672</v>
      </c>
      <c r="P175" s="2">
        <v>28</v>
      </c>
      <c r="Q175" s="2">
        <v>9</v>
      </c>
      <c r="R175" s="2">
        <f>IFERROR(VLOOKUP(A175,'[1]Recintos Cochabamba'!A$1:R$838,17,FALSE),0)</f>
        <v>2</v>
      </c>
      <c r="S175" s="3">
        <v>0</v>
      </c>
    </row>
    <row r="176" spans="1:19" x14ac:dyDescent="0.25">
      <c r="A176" s="2">
        <v>1950</v>
      </c>
      <c r="B176" s="2" t="s">
        <v>19</v>
      </c>
      <c r="C176" s="2" t="s">
        <v>20</v>
      </c>
      <c r="D176" s="2" t="s">
        <v>19</v>
      </c>
      <c r="E176" s="2" t="s">
        <v>19</v>
      </c>
      <c r="F176" s="2" t="s">
        <v>673</v>
      </c>
      <c r="G176" s="2" t="s">
        <v>118</v>
      </c>
      <c r="H176" s="2" t="s">
        <v>674</v>
      </c>
      <c r="I176" s="2">
        <v>20</v>
      </c>
      <c r="J176" s="2" t="s">
        <v>24</v>
      </c>
      <c r="K176" s="2">
        <v>-17.397724</v>
      </c>
      <c r="L176" s="2">
        <v>-66.193972000000002</v>
      </c>
      <c r="M176" s="2" t="s">
        <v>25</v>
      </c>
      <c r="N176" s="2">
        <v>1950</v>
      </c>
      <c r="O176" s="2" t="s">
        <v>675</v>
      </c>
      <c r="P176" s="2">
        <v>54</v>
      </c>
      <c r="Q176" s="2">
        <v>4</v>
      </c>
      <c r="R176" s="2">
        <f>IFERROR(VLOOKUP(A176,'[1]Recintos Cochabamba'!A$1:R$838,17,FALSE),0)</f>
        <v>1</v>
      </c>
      <c r="S176" s="3">
        <v>0</v>
      </c>
    </row>
    <row r="177" spans="1:19" x14ac:dyDescent="0.25">
      <c r="A177" s="2">
        <v>1951</v>
      </c>
      <c r="B177" s="2" t="s">
        <v>19</v>
      </c>
      <c r="C177" s="2" t="s">
        <v>20</v>
      </c>
      <c r="D177" s="2" t="s">
        <v>19</v>
      </c>
      <c r="E177" s="2" t="s">
        <v>19</v>
      </c>
      <c r="F177" s="2" t="s">
        <v>676</v>
      </c>
      <c r="G177" s="2" t="s">
        <v>677</v>
      </c>
      <c r="H177" s="2" t="s">
        <v>678</v>
      </c>
      <c r="I177" s="2">
        <v>22</v>
      </c>
      <c r="J177" s="2" t="s">
        <v>24</v>
      </c>
      <c r="K177" s="2">
        <v>-17.474947</v>
      </c>
      <c r="L177" s="2">
        <v>-66.147394000000006</v>
      </c>
      <c r="M177" s="2" t="s">
        <v>25</v>
      </c>
      <c r="N177" s="2">
        <v>1951</v>
      </c>
      <c r="O177" s="2" t="s">
        <v>679</v>
      </c>
      <c r="P177" s="2">
        <v>28</v>
      </c>
      <c r="Q177" s="2">
        <v>9</v>
      </c>
      <c r="R177" s="2">
        <f>IFERROR(VLOOKUP(A177,'[1]Recintos Cochabamba'!A$1:R$838,17,FALSE),0)</f>
        <v>1</v>
      </c>
      <c r="S177" s="3">
        <v>0</v>
      </c>
    </row>
    <row r="178" spans="1:19" x14ac:dyDescent="0.25">
      <c r="A178" s="2">
        <v>1952</v>
      </c>
      <c r="B178" s="2" t="s">
        <v>19</v>
      </c>
      <c r="C178" s="2" t="s">
        <v>20</v>
      </c>
      <c r="D178" s="2" t="s">
        <v>19</v>
      </c>
      <c r="E178" s="2" t="s">
        <v>19</v>
      </c>
      <c r="F178" s="2" t="s">
        <v>680</v>
      </c>
      <c r="G178" s="2" t="s">
        <v>681</v>
      </c>
      <c r="H178" s="2" t="s">
        <v>682</v>
      </c>
      <c r="I178" s="2">
        <v>21</v>
      </c>
      <c r="J178" s="2" t="s">
        <v>24</v>
      </c>
      <c r="K178" s="2">
        <v>-17.426065000000001</v>
      </c>
      <c r="L178" s="2">
        <v>-66.1143</v>
      </c>
      <c r="M178" s="2" t="s">
        <v>25</v>
      </c>
      <c r="N178" s="2">
        <v>1952</v>
      </c>
      <c r="O178" s="2" t="s">
        <v>683</v>
      </c>
      <c r="P178" s="2">
        <v>15</v>
      </c>
      <c r="Q178" s="2">
        <v>14</v>
      </c>
      <c r="R178" s="2">
        <f>IFERROR(VLOOKUP(A178,'[1]Recintos Cochabamba'!A$1:R$838,17,FALSE),0)</f>
        <v>15</v>
      </c>
      <c r="S178" s="3">
        <v>0</v>
      </c>
    </row>
    <row r="179" spans="1:19" x14ac:dyDescent="0.25">
      <c r="A179" s="2">
        <v>1953</v>
      </c>
      <c r="B179" s="2" t="s">
        <v>19</v>
      </c>
      <c r="C179" s="2" t="s">
        <v>20</v>
      </c>
      <c r="D179" s="2" t="s">
        <v>19</v>
      </c>
      <c r="E179" s="2" t="s">
        <v>19</v>
      </c>
      <c r="F179" s="2" t="s">
        <v>684</v>
      </c>
      <c r="G179" s="2" t="s">
        <v>685</v>
      </c>
      <c r="H179" s="2" t="s">
        <v>686</v>
      </c>
      <c r="I179" s="2">
        <v>21</v>
      </c>
      <c r="J179" s="2" t="s">
        <v>24</v>
      </c>
      <c r="K179" s="2">
        <v>-17.452202</v>
      </c>
      <c r="L179" s="2">
        <v>-66.117013999999998</v>
      </c>
      <c r="M179" s="2" t="s">
        <v>25</v>
      </c>
      <c r="N179" s="2">
        <v>1953</v>
      </c>
      <c r="O179" s="2" t="s">
        <v>687</v>
      </c>
      <c r="P179" s="2">
        <v>15</v>
      </c>
      <c r="Q179" s="2">
        <v>14</v>
      </c>
      <c r="R179" s="2">
        <f>IFERROR(VLOOKUP(A179,'[1]Recintos Cochabamba'!A$1:R$838,17,FALSE),0)</f>
        <v>13</v>
      </c>
      <c r="S179" s="3">
        <v>0</v>
      </c>
    </row>
    <row r="180" spans="1:19" x14ac:dyDescent="0.25">
      <c r="A180" s="2">
        <v>1954</v>
      </c>
      <c r="B180" s="2" t="s">
        <v>19</v>
      </c>
      <c r="C180" s="2" t="s">
        <v>20</v>
      </c>
      <c r="D180" s="2" t="s">
        <v>19</v>
      </c>
      <c r="E180" s="2" t="s">
        <v>19</v>
      </c>
      <c r="F180" s="2" t="s">
        <v>688</v>
      </c>
      <c r="G180" s="2" t="s">
        <v>689</v>
      </c>
      <c r="H180" s="2" t="s">
        <v>690</v>
      </c>
      <c r="I180" s="2">
        <v>22</v>
      </c>
      <c r="J180" s="2" t="s">
        <v>24</v>
      </c>
      <c r="K180" s="2">
        <v>-17.475542999999998</v>
      </c>
      <c r="L180" s="2">
        <v>-66.240433999999993</v>
      </c>
      <c r="M180" s="2" t="s">
        <v>25</v>
      </c>
      <c r="N180" s="2">
        <v>1954</v>
      </c>
      <c r="O180" s="2" t="s">
        <v>691</v>
      </c>
      <c r="P180" s="2">
        <v>28</v>
      </c>
      <c r="Q180" s="2">
        <v>9</v>
      </c>
      <c r="R180" s="2">
        <f>IFERROR(VLOOKUP(A180,'[1]Recintos Cochabamba'!A$1:R$838,17,FALSE),0)</f>
        <v>2</v>
      </c>
      <c r="S180" s="3">
        <v>0</v>
      </c>
    </row>
    <row r="181" spans="1:19" x14ac:dyDescent="0.25">
      <c r="A181" s="2">
        <v>1955</v>
      </c>
      <c r="B181" s="2" t="s">
        <v>19</v>
      </c>
      <c r="C181" s="2" t="s">
        <v>20</v>
      </c>
      <c r="D181" s="2" t="s">
        <v>19</v>
      </c>
      <c r="E181" s="2" t="s">
        <v>19</v>
      </c>
      <c r="F181" s="2" t="s">
        <v>692</v>
      </c>
      <c r="G181" s="2" t="s">
        <v>693</v>
      </c>
      <c r="H181" s="2" t="s">
        <v>694</v>
      </c>
      <c r="I181" s="2">
        <v>20</v>
      </c>
      <c r="J181" s="2" t="s">
        <v>24</v>
      </c>
      <c r="K181" s="2">
        <v>-17.384716000000001</v>
      </c>
      <c r="L181" s="2">
        <v>-66.175331999999997</v>
      </c>
      <c r="M181" s="2" t="s">
        <v>25</v>
      </c>
      <c r="N181" s="2">
        <v>1955</v>
      </c>
      <c r="O181" s="2" t="s">
        <v>695</v>
      </c>
      <c r="P181" s="2">
        <v>13</v>
      </c>
      <c r="Q181" s="2">
        <v>12</v>
      </c>
      <c r="R181" s="2">
        <f>IFERROR(VLOOKUP(A181,'[1]Recintos Cochabamba'!A$1:R$838,17,FALSE),0)</f>
        <v>14</v>
      </c>
      <c r="S181" s="3">
        <v>0</v>
      </c>
    </row>
    <row r="182" spans="1:19" x14ac:dyDescent="0.25">
      <c r="A182" s="2">
        <v>1956</v>
      </c>
      <c r="B182" s="2" t="s">
        <v>19</v>
      </c>
      <c r="C182" s="2" t="s">
        <v>20</v>
      </c>
      <c r="D182" s="2" t="s">
        <v>19</v>
      </c>
      <c r="E182" s="2" t="s">
        <v>19</v>
      </c>
      <c r="F182" s="2" t="s">
        <v>696</v>
      </c>
      <c r="G182" s="2" t="s">
        <v>697</v>
      </c>
      <c r="H182" s="2" t="s">
        <v>698</v>
      </c>
      <c r="I182" s="2">
        <v>20</v>
      </c>
      <c r="J182" s="2" t="s">
        <v>24</v>
      </c>
      <c r="K182" s="2">
        <v>-17.373512999999999</v>
      </c>
      <c r="L182" s="2">
        <v>-66.163505000000001</v>
      </c>
      <c r="M182" s="2" t="s">
        <v>25</v>
      </c>
      <c r="N182" s="2">
        <v>1956</v>
      </c>
      <c r="O182" s="2" t="s">
        <v>699</v>
      </c>
      <c r="P182" s="2">
        <v>13</v>
      </c>
      <c r="Q182" s="2">
        <v>12</v>
      </c>
      <c r="R182" s="2">
        <f>IFERROR(VLOOKUP(A182,'[1]Recintos Cochabamba'!A$1:R$838,17,FALSE),0)</f>
        <v>7</v>
      </c>
      <c r="S182" s="3">
        <v>0</v>
      </c>
    </row>
    <row r="183" spans="1:19" x14ac:dyDescent="0.25">
      <c r="A183" s="2">
        <v>1957</v>
      </c>
      <c r="B183" s="2" t="s">
        <v>19</v>
      </c>
      <c r="C183" s="2" t="s">
        <v>20</v>
      </c>
      <c r="D183" s="2" t="s">
        <v>19</v>
      </c>
      <c r="E183" s="2" t="s">
        <v>19</v>
      </c>
      <c r="F183" s="2" t="s">
        <v>700</v>
      </c>
      <c r="G183" s="2" t="s">
        <v>133</v>
      </c>
      <c r="H183" s="2" t="s">
        <v>701</v>
      </c>
      <c r="I183" s="2">
        <v>20</v>
      </c>
      <c r="J183" s="2" t="s">
        <v>24</v>
      </c>
      <c r="K183" s="2">
        <v>-17.382687000000001</v>
      </c>
      <c r="L183" s="2">
        <v>-66.166218000000001</v>
      </c>
      <c r="M183" s="2" t="s">
        <v>25</v>
      </c>
      <c r="N183" s="2">
        <v>1957</v>
      </c>
      <c r="O183" s="2" t="s">
        <v>702</v>
      </c>
      <c r="P183" s="2">
        <v>13</v>
      </c>
      <c r="Q183" s="2">
        <v>12</v>
      </c>
      <c r="R183" s="2">
        <f>IFERROR(VLOOKUP(A183,'[1]Recintos Cochabamba'!A$1:R$838,17,FALSE),0)</f>
        <v>1</v>
      </c>
      <c r="S183" s="3">
        <v>0</v>
      </c>
    </row>
    <row r="184" spans="1:19" x14ac:dyDescent="0.25">
      <c r="A184" s="2">
        <v>1958</v>
      </c>
      <c r="B184" s="2" t="s">
        <v>19</v>
      </c>
      <c r="C184" s="2" t="s">
        <v>20</v>
      </c>
      <c r="D184" s="2" t="s">
        <v>19</v>
      </c>
      <c r="E184" s="2" t="s">
        <v>19</v>
      </c>
      <c r="F184" s="2" t="s">
        <v>703</v>
      </c>
      <c r="G184" s="2" t="s">
        <v>60</v>
      </c>
      <c r="H184" s="2" t="s">
        <v>704</v>
      </c>
      <c r="I184" s="2">
        <v>20</v>
      </c>
      <c r="J184" s="2" t="s">
        <v>24</v>
      </c>
      <c r="K184" s="2">
        <v>-17.365705999999999</v>
      </c>
      <c r="L184" s="2">
        <v>-66.148284000000004</v>
      </c>
      <c r="M184" s="2" t="s">
        <v>25</v>
      </c>
      <c r="N184" s="2">
        <v>1958</v>
      </c>
      <c r="O184" s="2" t="s">
        <v>705</v>
      </c>
      <c r="P184" s="2">
        <v>41</v>
      </c>
      <c r="Q184" s="2">
        <v>1</v>
      </c>
      <c r="R184" s="2">
        <f>IFERROR(VLOOKUP(A184,'[1]Recintos Cochabamba'!A$1:R$838,17,FALSE),0)</f>
        <v>1</v>
      </c>
      <c r="S184" s="3">
        <v>0</v>
      </c>
    </row>
    <row r="185" spans="1:19" x14ac:dyDescent="0.25">
      <c r="A185" s="2">
        <v>1959</v>
      </c>
      <c r="B185" s="2" t="s">
        <v>19</v>
      </c>
      <c r="C185" s="2" t="s">
        <v>20</v>
      </c>
      <c r="D185" s="2" t="s">
        <v>19</v>
      </c>
      <c r="E185" s="2" t="s">
        <v>19</v>
      </c>
      <c r="F185" s="2" t="s">
        <v>706</v>
      </c>
      <c r="G185" s="2" t="s">
        <v>122</v>
      </c>
      <c r="H185" s="2" t="s">
        <v>707</v>
      </c>
      <c r="I185" s="2">
        <v>20</v>
      </c>
      <c r="J185" s="2" t="s">
        <v>24</v>
      </c>
      <c r="K185" s="2">
        <v>-17.387101999999999</v>
      </c>
      <c r="L185" s="2">
        <v>-66.184901999999994</v>
      </c>
      <c r="M185" s="2" t="s">
        <v>25</v>
      </c>
      <c r="N185" s="2">
        <v>1959</v>
      </c>
      <c r="O185" s="2" t="s">
        <v>708</v>
      </c>
      <c r="P185" s="2">
        <v>23</v>
      </c>
      <c r="Q185" s="2">
        <v>3</v>
      </c>
      <c r="R185" s="2">
        <f>IFERROR(VLOOKUP(A185,'[1]Recintos Cochabamba'!A$1:R$838,17,FALSE),0)</f>
        <v>4</v>
      </c>
      <c r="S185" s="3">
        <v>0</v>
      </c>
    </row>
    <row r="186" spans="1:19" x14ac:dyDescent="0.25">
      <c r="A186" s="2">
        <v>1960</v>
      </c>
      <c r="B186" s="2" t="s">
        <v>19</v>
      </c>
      <c r="C186" s="2" t="s">
        <v>20</v>
      </c>
      <c r="D186" s="2" t="s">
        <v>19</v>
      </c>
      <c r="E186" s="2" t="s">
        <v>19</v>
      </c>
      <c r="F186" s="2" t="s">
        <v>709</v>
      </c>
      <c r="G186" s="2" t="s">
        <v>137</v>
      </c>
      <c r="H186" s="2" t="s">
        <v>710</v>
      </c>
      <c r="I186" s="2">
        <v>20</v>
      </c>
      <c r="J186" s="2" t="s">
        <v>24</v>
      </c>
      <c r="K186" s="2">
        <v>-17.391404000000001</v>
      </c>
      <c r="L186" s="2">
        <v>-66.17398</v>
      </c>
      <c r="M186" s="2" t="s">
        <v>25</v>
      </c>
      <c r="N186" s="2">
        <v>1960</v>
      </c>
      <c r="O186" s="2" t="s">
        <v>711</v>
      </c>
      <c r="P186" s="2">
        <v>13</v>
      </c>
      <c r="Q186" s="2">
        <v>12</v>
      </c>
      <c r="R186" s="2">
        <f>IFERROR(VLOOKUP(A186,'[1]Recintos Cochabamba'!A$1:R$838,17,FALSE),0)</f>
        <v>1</v>
      </c>
      <c r="S186" s="3">
        <v>0</v>
      </c>
    </row>
    <row r="187" spans="1:19" x14ac:dyDescent="0.25">
      <c r="A187" s="2">
        <v>1961</v>
      </c>
      <c r="B187" s="2" t="s">
        <v>19</v>
      </c>
      <c r="C187" s="2" t="s">
        <v>20</v>
      </c>
      <c r="D187" s="2" t="s">
        <v>19</v>
      </c>
      <c r="E187" s="2" t="s">
        <v>19</v>
      </c>
      <c r="F187" s="2" t="s">
        <v>712</v>
      </c>
      <c r="G187" s="2" t="s">
        <v>713</v>
      </c>
      <c r="H187" s="2" t="s">
        <v>714</v>
      </c>
      <c r="I187" s="2">
        <v>20</v>
      </c>
      <c r="J187" s="2" t="s">
        <v>24</v>
      </c>
      <c r="K187" s="2">
        <v>-17.350123</v>
      </c>
      <c r="L187" s="2">
        <v>-66.186161999999996</v>
      </c>
      <c r="M187" s="2" t="s">
        <v>25</v>
      </c>
      <c r="N187" s="2">
        <v>1961</v>
      </c>
      <c r="O187" s="2" t="s">
        <v>715</v>
      </c>
      <c r="P187" s="2">
        <v>19</v>
      </c>
      <c r="Q187" s="2">
        <v>2</v>
      </c>
      <c r="R187" s="2">
        <f>IFERROR(VLOOKUP(A187,'[1]Recintos Cochabamba'!A$1:R$838,17,FALSE),0)</f>
        <v>3</v>
      </c>
      <c r="S187" s="3">
        <v>0</v>
      </c>
    </row>
    <row r="188" spans="1:19" x14ac:dyDescent="0.25">
      <c r="A188" s="2">
        <v>1962</v>
      </c>
      <c r="B188" s="2" t="s">
        <v>19</v>
      </c>
      <c r="C188" s="2" t="s">
        <v>20</v>
      </c>
      <c r="D188" s="2" t="s">
        <v>19</v>
      </c>
      <c r="E188" s="2" t="s">
        <v>19</v>
      </c>
      <c r="F188" s="2" t="s">
        <v>716</v>
      </c>
      <c r="G188" s="2" t="s">
        <v>102</v>
      </c>
      <c r="H188" s="2" t="s">
        <v>717</v>
      </c>
      <c r="I188" s="2">
        <v>20</v>
      </c>
      <c r="J188" s="2" t="s">
        <v>24</v>
      </c>
      <c r="K188" s="2">
        <v>-17.373521</v>
      </c>
      <c r="L188" s="2">
        <v>-66.188421000000005</v>
      </c>
      <c r="M188" s="2" t="s">
        <v>25</v>
      </c>
      <c r="N188" s="2">
        <v>1962</v>
      </c>
      <c r="O188" s="2" t="s">
        <v>718</v>
      </c>
      <c r="P188" s="2">
        <v>23</v>
      </c>
      <c r="Q188" s="2">
        <v>3</v>
      </c>
      <c r="R188" s="2">
        <f>IFERROR(VLOOKUP(A188,'[1]Recintos Cochabamba'!A$1:R$838,17,FALSE),0)</f>
        <v>3</v>
      </c>
      <c r="S188" s="3">
        <v>0</v>
      </c>
    </row>
    <row r="189" spans="1:19" x14ac:dyDescent="0.25">
      <c r="A189" s="2">
        <v>1963</v>
      </c>
      <c r="B189" s="2" t="s">
        <v>19</v>
      </c>
      <c r="C189" s="2" t="s">
        <v>20</v>
      </c>
      <c r="D189" s="2" t="s">
        <v>19</v>
      </c>
      <c r="E189" s="2" t="s">
        <v>19</v>
      </c>
      <c r="F189" s="2" t="s">
        <v>719</v>
      </c>
      <c r="G189" s="2" t="s">
        <v>720</v>
      </c>
      <c r="H189" s="2" t="s">
        <v>721</v>
      </c>
      <c r="I189" s="2">
        <v>21</v>
      </c>
      <c r="J189" s="2" t="s">
        <v>24</v>
      </c>
      <c r="K189" s="2">
        <v>-17.386423000000001</v>
      </c>
      <c r="L189" s="2">
        <v>-66.158760000000001</v>
      </c>
      <c r="M189" s="2" t="s">
        <v>25</v>
      </c>
      <c r="N189" s="2">
        <v>1963</v>
      </c>
      <c r="O189" s="2" t="s">
        <v>722</v>
      </c>
      <c r="P189" s="2">
        <v>17</v>
      </c>
      <c r="Q189" s="2">
        <v>10</v>
      </c>
      <c r="R189" s="2">
        <f>IFERROR(VLOOKUP(A189,'[1]Recintos Cochabamba'!A$1:R$838,17,FALSE),0)</f>
        <v>1</v>
      </c>
      <c r="S189" s="3">
        <v>0</v>
      </c>
    </row>
    <row r="190" spans="1:19" x14ac:dyDescent="0.25">
      <c r="A190" s="2">
        <v>1964</v>
      </c>
      <c r="B190" s="2" t="s">
        <v>19</v>
      </c>
      <c r="C190" s="2" t="s">
        <v>20</v>
      </c>
      <c r="D190" s="2" t="s">
        <v>19</v>
      </c>
      <c r="E190" s="2" t="s">
        <v>19</v>
      </c>
      <c r="F190" s="2" t="s">
        <v>723</v>
      </c>
      <c r="G190" s="2" t="s">
        <v>724</v>
      </c>
      <c r="H190" s="2" t="s">
        <v>725</v>
      </c>
      <c r="I190" s="2">
        <v>21</v>
      </c>
      <c r="J190" s="2" t="s">
        <v>24</v>
      </c>
      <c r="K190" s="2">
        <v>-17.454543999999999</v>
      </c>
      <c r="L190" s="2">
        <v>-66.110600000000005</v>
      </c>
      <c r="M190" s="2" t="s">
        <v>25</v>
      </c>
      <c r="N190" s="2">
        <v>1964</v>
      </c>
      <c r="O190" s="2" t="s">
        <v>726</v>
      </c>
      <c r="P190" s="2">
        <v>15</v>
      </c>
      <c r="Q190" s="2">
        <v>14</v>
      </c>
      <c r="R190" s="2">
        <f>IFERROR(VLOOKUP(A190,'[1]Recintos Cochabamba'!A$1:R$838,17,FALSE),0)</f>
        <v>3</v>
      </c>
      <c r="S190" s="3">
        <v>0</v>
      </c>
    </row>
    <row r="191" spans="1:19" x14ac:dyDescent="0.25">
      <c r="A191" s="2">
        <v>1965</v>
      </c>
      <c r="B191" s="2" t="s">
        <v>19</v>
      </c>
      <c r="C191" s="2" t="s">
        <v>20</v>
      </c>
      <c r="D191" s="2" t="s">
        <v>19</v>
      </c>
      <c r="E191" s="2" t="s">
        <v>19</v>
      </c>
      <c r="F191" s="2" t="s">
        <v>727</v>
      </c>
      <c r="G191" s="2" t="s">
        <v>40</v>
      </c>
      <c r="H191" s="2" t="s">
        <v>728</v>
      </c>
      <c r="I191" s="2">
        <v>21</v>
      </c>
      <c r="J191" s="2" t="s">
        <v>24</v>
      </c>
      <c r="K191" s="2">
        <v>-17.397732999999999</v>
      </c>
      <c r="L191" s="2">
        <v>-66.149450000000002</v>
      </c>
      <c r="M191" s="2" t="s">
        <v>25</v>
      </c>
      <c r="N191" s="2">
        <v>1965</v>
      </c>
      <c r="O191" s="2" t="s">
        <v>729</v>
      </c>
      <c r="P191" s="2">
        <v>17</v>
      </c>
      <c r="Q191" s="2">
        <v>10</v>
      </c>
      <c r="R191" s="2">
        <f>IFERROR(VLOOKUP(A191,'[1]Recintos Cochabamba'!A$1:R$838,17,FALSE),0)</f>
        <v>1</v>
      </c>
      <c r="S191" s="3">
        <v>0</v>
      </c>
    </row>
    <row r="192" spans="1:19" x14ac:dyDescent="0.25">
      <c r="A192" s="2">
        <v>1966</v>
      </c>
      <c r="B192" s="2" t="s">
        <v>19</v>
      </c>
      <c r="C192" s="2" t="s">
        <v>20</v>
      </c>
      <c r="D192" s="2" t="s">
        <v>19</v>
      </c>
      <c r="E192" s="2" t="s">
        <v>19</v>
      </c>
      <c r="F192" s="2" t="s">
        <v>730</v>
      </c>
      <c r="G192" s="2" t="s">
        <v>234</v>
      </c>
      <c r="H192" s="2" t="s">
        <v>731</v>
      </c>
      <c r="I192" s="2">
        <v>21</v>
      </c>
      <c r="J192" s="2" t="s">
        <v>24</v>
      </c>
      <c r="K192" s="2">
        <v>-17.415105000000001</v>
      </c>
      <c r="L192" s="2">
        <v>-66.165729999999996</v>
      </c>
      <c r="M192" s="2" t="s">
        <v>25</v>
      </c>
      <c r="N192" s="2">
        <v>1966</v>
      </c>
      <c r="O192" s="2" t="s">
        <v>732</v>
      </c>
      <c r="P192" s="2">
        <v>16</v>
      </c>
      <c r="Q192" s="2">
        <v>5</v>
      </c>
      <c r="R192" s="2">
        <f>IFERROR(VLOOKUP(A192,'[1]Recintos Cochabamba'!A$1:R$838,17,FALSE),0)</f>
        <v>1</v>
      </c>
      <c r="S192" s="3">
        <v>0</v>
      </c>
    </row>
    <row r="193" spans="1:19" x14ac:dyDescent="0.25">
      <c r="A193" s="2">
        <v>1967</v>
      </c>
      <c r="B193" s="2" t="s">
        <v>19</v>
      </c>
      <c r="C193" s="2" t="s">
        <v>20</v>
      </c>
      <c r="D193" s="2" t="s">
        <v>19</v>
      </c>
      <c r="E193" s="2" t="s">
        <v>19</v>
      </c>
      <c r="F193" s="2" t="s">
        <v>733</v>
      </c>
      <c r="G193" s="2" t="s">
        <v>226</v>
      </c>
      <c r="H193" s="2" t="s">
        <v>734</v>
      </c>
      <c r="I193" s="2">
        <v>20</v>
      </c>
      <c r="J193" s="2" t="s">
        <v>24</v>
      </c>
      <c r="K193" s="2">
        <v>-17.395665000000001</v>
      </c>
      <c r="L193" s="2">
        <v>-66.168279999999996</v>
      </c>
      <c r="M193" s="2" t="s">
        <v>25</v>
      </c>
      <c r="N193" s="2">
        <v>1967</v>
      </c>
      <c r="O193" s="2" t="s">
        <v>735</v>
      </c>
      <c r="P193" s="2">
        <v>54</v>
      </c>
      <c r="Q193" s="2">
        <v>4</v>
      </c>
      <c r="R193" s="2">
        <f>IFERROR(VLOOKUP(A193,'[1]Recintos Cochabamba'!A$1:R$838,17,FALSE),0)</f>
        <v>1</v>
      </c>
      <c r="S193" s="3">
        <v>0</v>
      </c>
    </row>
    <row r="194" spans="1:19" x14ac:dyDescent="0.25">
      <c r="A194" s="2">
        <v>1968</v>
      </c>
      <c r="B194" s="2" t="s">
        <v>19</v>
      </c>
      <c r="C194" s="2" t="s">
        <v>20</v>
      </c>
      <c r="D194" s="2" t="s">
        <v>19</v>
      </c>
      <c r="E194" s="2" t="s">
        <v>19</v>
      </c>
      <c r="F194" s="2" t="s">
        <v>736</v>
      </c>
      <c r="G194" s="2" t="s">
        <v>720</v>
      </c>
      <c r="H194" s="2" t="s">
        <v>737</v>
      </c>
      <c r="I194" s="2">
        <v>21</v>
      </c>
      <c r="J194" s="2" t="s">
        <v>24</v>
      </c>
      <c r="K194" s="2">
        <v>-17.386049</v>
      </c>
      <c r="L194" s="2">
        <v>-66.159155999999996</v>
      </c>
      <c r="M194" s="2" t="s">
        <v>25</v>
      </c>
      <c r="N194" s="2">
        <v>1968</v>
      </c>
      <c r="O194" s="2" t="s">
        <v>738</v>
      </c>
      <c r="P194" s="2">
        <v>17</v>
      </c>
      <c r="Q194" s="2">
        <v>10</v>
      </c>
      <c r="R194" s="2">
        <f>IFERROR(VLOOKUP(A194,'[1]Recintos Cochabamba'!A$1:R$838,17,FALSE),0)</f>
        <v>1</v>
      </c>
      <c r="S194" s="3">
        <v>0</v>
      </c>
    </row>
    <row r="195" spans="1:19" x14ac:dyDescent="0.25">
      <c r="A195" s="2">
        <v>1969</v>
      </c>
      <c r="B195" s="2" t="s">
        <v>19</v>
      </c>
      <c r="C195" s="2" t="s">
        <v>20</v>
      </c>
      <c r="D195" s="2" t="s">
        <v>19</v>
      </c>
      <c r="E195" s="2" t="s">
        <v>19</v>
      </c>
      <c r="F195" s="2" t="s">
        <v>739</v>
      </c>
      <c r="G195" s="2" t="s">
        <v>740</v>
      </c>
      <c r="H195" s="2" t="s">
        <v>741</v>
      </c>
      <c r="I195" s="2">
        <v>20</v>
      </c>
      <c r="J195" s="2" t="s">
        <v>24</v>
      </c>
      <c r="K195" s="2">
        <v>-17.330295</v>
      </c>
      <c r="L195" s="2">
        <v>-66.185128000000006</v>
      </c>
      <c r="M195" s="2" t="s">
        <v>25</v>
      </c>
      <c r="N195" s="2">
        <v>1969</v>
      </c>
      <c r="O195" s="2" t="s">
        <v>742</v>
      </c>
      <c r="P195" s="2">
        <v>18</v>
      </c>
      <c r="Q195" s="2">
        <v>13</v>
      </c>
      <c r="R195" s="2">
        <f>IFERROR(VLOOKUP(A195,'[1]Recintos Cochabamba'!A$1:R$838,17,FALSE),0)</f>
        <v>0</v>
      </c>
      <c r="S195" s="3">
        <v>0</v>
      </c>
    </row>
    <row r="196" spans="1:19" x14ac:dyDescent="0.25">
      <c r="A196" s="2">
        <v>1970</v>
      </c>
      <c r="B196" s="2" t="s">
        <v>19</v>
      </c>
      <c r="C196" s="2" t="s">
        <v>20</v>
      </c>
      <c r="D196" s="2" t="s">
        <v>19</v>
      </c>
      <c r="E196" s="2" t="s">
        <v>19</v>
      </c>
      <c r="F196" s="2" t="s">
        <v>743</v>
      </c>
      <c r="G196" s="2" t="s">
        <v>744</v>
      </c>
      <c r="H196" s="2" t="s">
        <v>745</v>
      </c>
      <c r="I196" s="2">
        <v>22</v>
      </c>
      <c r="J196" s="2" t="s">
        <v>24</v>
      </c>
      <c r="K196" s="2">
        <v>-17.458793</v>
      </c>
      <c r="L196" s="2">
        <v>-66.224199999999996</v>
      </c>
      <c r="M196" s="2" t="s">
        <v>25</v>
      </c>
      <c r="N196" s="2">
        <v>1970</v>
      </c>
      <c r="O196" s="2" t="s">
        <v>746</v>
      </c>
      <c r="P196" s="2">
        <v>28</v>
      </c>
      <c r="Q196" s="2">
        <v>9</v>
      </c>
      <c r="R196" s="2">
        <f>IFERROR(VLOOKUP(A196,'[1]Recintos Cochabamba'!A$1:R$838,17,FALSE),0)</f>
        <v>0</v>
      </c>
      <c r="S196" s="3">
        <v>0</v>
      </c>
    </row>
    <row r="197" spans="1:19" x14ac:dyDescent="0.25">
      <c r="A197" s="2">
        <v>1971</v>
      </c>
      <c r="B197" s="2" t="s">
        <v>19</v>
      </c>
      <c r="C197" s="2" t="s">
        <v>20</v>
      </c>
      <c r="D197" s="2" t="s">
        <v>19</v>
      </c>
      <c r="E197" s="2" t="s">
        <v>19</v>
      </c>
      <c r="F197" s="2" t="s">
        <v>747</v>
      </c>
      <c r="G197" s="2" t="s">
        <v>748</v>
      </c>
      <c r="H197" s="2" t="s">
        <v>749</v>
      </c>
      <c r="I197" s="2">
        <v>22</v>
      </c>
      <c r="J197" s="2" t="s">
        <v>24</v>
      </c>
      <c r="K197" s="2">
        <v>-17.501583</v>
      </c>
      <c r="L197" s="2">
        <v>-66.179038000000006</v>
      </c>
      <c r="M197" s="2" t="s">
        <v>25</v>
      </c>
      <c r="N197" s="2">
        <v>1971</v>
      </c>
      <c r="O197" s="2" t="s">
        <v>750</v>
      </c>
      <c r="P197" s="2">
        <v>28</v>
      </c>
      <c r="Q197" s="2">
        <v>9</v>
      </c>
      <c r="R197" s="2">
        <f>IFERROR(VLOOKUP(A197,'[1]Recintos Cochabamba'!A$1:R$838,17,FALSE),0)</f>
        <v>0</v>
      </c>
      <c r="S197" s="3">
        <v>0</v>
      </c>
    </row>
    <row r="198" spans="1:19" x14ac:dyDescent="0.25">
      <c r="A198" s="2">
        <v>1972</v>
      </c>
      <c r="B198" s="2" t="s">
        <v>19</v>
      </c>
      <c r="C198" s="2" t="s">
        <v>20</v>
      </c>
      <c r="D198" s="2" t="s">
        <v>19</v>
      </c>
      <c r="E198" s="2" t="s">
        <v>19</v>
      </c>
      <c r="F198" s="2" t="s">
        <v>751</v>
      </c>
      <c r="G198" s="2" t="s">
        <v>752</v>
      </c>
      <c r="H198" s="2" t="s">
        <v>753</v>
      </c>
      <c r="I198" s="2">
        <v>22</v>
      </c>
      <c r="J198" s="2" t="s">
        <v>24</v>
      </c>
      <c r="K198" s="2">
        <v>-17.490281</v>
      </c>
      <c r="L198" s="2">
        <v>-66.190804999999997</v>
      </c>
      <c r="M198" s="2" t="s">
        <v>25</v>
      </c>
      <c r="N198" s="2">
        <v>1972</v>
      </c>
      <c r="O198" s="2" t="s">
        <v>754</v>
      </c>
      <c r="P198" s="2">
        <v>28</v>
      </c>
      <c r="Q198" s="2">
        <v>9</v>
      </c>
      <c r="R198" s="2">
        <f>IFERROR(VLOOKUP(A198,'[1]Recintos Cochabamba'!A$1:R$838,17,FALSE),0)</f>
        <v>0</v>
      </c>
      <c r="S198" s="3">
        <v>0</v>
      </c>
    </row>
    <row r="199" spans="1:19" x14ac:dyDescent="0.25">
      <c r="A199" s="2">
        <v>1973</v>
      </c>
      <c r="B199" s="2" t="s">
        <v>19</v>
      </c>
      <c r="C199" s="2" t="s">
        <v>20</v>
      </c>
      <c r="D199" s="2" t="s">
        <v>19</v>
      </c>
      <c r="E199" s="2" t="s">
        <v>19</v>
      </c>
      <c r="F199" s="2" t="s">
        <v>755</v>
      </c>
      <c r="G199" s="2" t="s">
        <v>756</v>
      </c>
      <c r="H199" s="2" t="s">
        <v>757</v>
      </c>
      <c r="I199" s="2">
        <v>20</v>
      </c>
      <c r="J199" s="2" t="s">
        <v>24</v>
      </c>
      <c r="K199" s="2">
        <v>-17.356715000000001</v>
      </c>
      <c r="L199" s="2">
        <v>-66.181809000000001</v>
      </c>
      <c r="M199" s="2" t="s">
        <v>25</v>
      </c>
      <c r="N199" s="2">
        <v>1973</v>
      </c>
      <c r="O199" s="2" t="s">
        <v>758</v>
      </c>
      <c r="P199" s="2">
        <v>19</v>
      </c>
      <c r="Q199" s="2">
        <v>2</v>
      </c>
      <c r="R199" s="2">
        <f>IFERROR(VLOOKUP(A199,'[1]Recintos Cochabamba'!A$1:R$838,17,FALSE),0)</f>
        <v>0</v>
      </c>
      <c r="S199" s="3">
        <v>0</v>
      </c>
    </row>
    <row r="200" spans="1:19" x14ac:dyDescent="0.25">
      <c r="A200" s="2">
        <v>1974</v>
      </c>
      <c r="B200" s="2" t="s">
        <v>19</v>
      </c>
      <c r="C200" s="2" t="s">
        <v>20</v>
      </c>
      <c r="D200" s="2" t="s">
        <v>19</v>
      </c>
      <c r="E200" s="2" t="s">
        <v>19</v>
      </c>
      <c r="F200" s="2" t="s">
        <v>759</v>
      </c>
      <c r="G200" s="2" t="s">
        <v>760</v>
      </c>
      <c r="H200" s="2" t="s">
        <v>761</v>
      </c>
      <c r="I200" s="2">
        <v>20</v>
      </c>
      <c r="J200" s="2" t="s">
        <v>24</v>
      </c>
      <c r="K200" s="2">
        <v>-17.374023000000001</v>
      </c>
      <c r="L200" s="2">
        <v>-66.143429999999995</v>
      </c>
      <c r="M200" s="2" t="s">
        <v>25</v>
      </c>
      <c r="N200" s="2">
        <v>1974</v>
      </c>
      <c r="O200" s="2" t="s">
        <v>762</v>
      </c>
      <c r="P200" s="2">
        <v>13</v>
      </c>
      <c r="Q200" s="2">
        <v>12</v>
      </c>
      <c r="R200" s="2">
        <f>IFERROR(VLOOKUP(A200,'[1]Recintos Cochabamba'!A$1:R$838,17,FALSE),0)</f>
        <v>0</v>
      </c>
      <c r="S200" s="3">
        <v>0</v>
      </c>
    </row>
    <row r="201" spans="1:19" x14ac:dyDescent="0.25">
      <c r="A201" s="2">
        <v>1975</v>
      </c>
      <c r="B201" s="2" t="s">
        <v>19</v>
      </c>
      <c r="C201" s="2" t="s">
        <v>20</v>
      </c>
      <c r="D201" s="2" t="s">
        <v>19</v>
      </c>
      <c r="E201" s="2" t="s">
        <v>763</v>
      </c>
      <c r="F201" s="2" t="s">
        <v>764</v>
      </c>
      <c r="G201" s="2" t="s">
        <v>765</v>
      </c>
      <c r="H201" s="2" t="s">
        <v>766</v>
      </c>
      <c r="I201" s="2">
        <v>20</v>
      </c>
      <c r="J201" s="2" t="s">
        <v>24</v>
      </c>
      <c r="K201" s="2">
        <v>-17.344445</v>
      </c>
      <c r="L201" s="2">
        <v>-66.156999999999996</v>
      </c>
      <c r="M201" s="2" t="s">
        <v>25</v>
      </c>
      <c r="N201" s="2">
        <v>1975</v>
      </c>
      <c r="O201" s="2" t="s">
        <v>767</v>
      </c>
      <c r="P201" s="2">
        <v>18</v>
      </c>
      <c r="Q201" s="2">
        <v>13</v>
      </c>
      <c r="R201" s="2">
        <f>IFERROR(VLOOKUP(A201,'[1]Recintos Cochabamba'!A$1:R$838,17,FALSE),0)</f>
        <v>8</v>
      </c>
      <c r="S201" s="3">
        <f>IFERROR(VLOOKUP(A201,'[1]Recintos Cochabamba'!A$1:T$838,18,FALSE),0)</f>
        <v>0.70559542208806891</v>
      </c>
    </row>
    <row r="202" spans="1:19" x14ac:dyDescent="0.25">
      <c r="A202" s="2">
        <v>1976</v>
      </c>
      <c r="B202" s="2" t="s">
        <v>19</v>
      </c>
      <c r="C202" s="2" t="s">
        <v>768</v>
      </c>
      <c r="D202" s="2" t="s">
        <v>769</v>
      </c>
      <c r="E202" s="2" t="s">
        <v>769</v>
      </c>
      <c r="F202" s="2" t="s">
        <v>770</v>
      </c>
      <c r="G202" s="2" t="s">
        <v>771</v>
      </c>
      <c r="H202" s="2" t="s">
        <v>769</v>
      </c>
      <c r="I202" s="2">
        <v>25</v>
      </c>
      <c r="J202" s="2" t="s">
        <v>24</v>
      </c>
      <c r="K202" s="2">
        <v>-18.200700000000001</v>
      </c>
      <c r="L202" s="2">
        <v>-65.183800000000005</v>
      </c>
      <c r="M202" s="2" t="s">
        <v>25</v>
      </c>
      <c r="N202" s="2">
        <v>1976</v>
      </c>
      <c r="O202" s="2" t="s">
        <v>772</v>
      </c>
      <c r="P202" s="2"/>
      <c r="Q202" s="2"/>
      <c r="R202" s="2">
        <f>IFERROR(VLOOKUP(A202,'[1]Recintos Cochabamba'!A$1:R$838,17,FALSE),0)</f>
        <v>12</v>
      </c>
      <c r="S202" s="3">
        <f>IFERROR(VLOOKUP(A202,'[1]Recintos Cochabamba'!A$1:T$838,18,FALSE),0)</f>
        <v>0.7075600227564961</v>
      </c>
    </row>
    <row r="203" spans="1:19" x14ac:dyDescent="0.25">
      <c r="A203" s="2">
        <v>1977</v>
      </c>
      <c r="B203" s="2" t="s">
        <v>19</v>
      </c>
      <c r="C203" s="2" t="s">
        <v>768</v>
      </c>
      <c r="D203" s="2" t="s">
        <v>769</v>
      </c>
      <c r="E203" s="2" t="s">
        <v>769</v>
      </c>
      <c r="F203" s="2" t="s">
        <v>773</v>
      </c>
      <c r="G203" s="2" t="s">
        <v>771</v>
      </c>
      <c r="H203" s="2" t="s">
        <v>769</v>
      </c>
      <c r="I203" s="2">
        <v>25</v>
      </c>
      <c r="J203" s="2" t="s">
        <v>24</v>
      </c>
      <c r="K203" s="2">
        <v>-18.200399999999998</v>
      </c>
      <c r="L203" s="2">
        <v>-65.182599999999994</v>
      </c>
      <c r="M203" s="2" t="s">
        <v>25</v>
      </c>
      <c r="N203" s="2">
        <v>1977</v>
      </c>
      <c r="O203" s="2" t="s">
        <v>774</v>
      </c>
      <c r="P203" s="2"/>
      <c r="Q203" s="2"/>
      <c r="R203" s="2">
        <f>IFERROR(VLOOKUP(A203,'[1]Recintos Cochabamba'!A$1:R$838,17,FALSE),0)</f>
        <v>12</v>
      </c>
      <c r="S203" s="3">
        <f>IFERROR(VLOOKUP(A203,'[1]Recintos Cochabamba'!A$1:T$838,18,FALSE),0)</f>
        <v>0.71070095913391207</v>
      </c>
    </row>
    <row r="204" spans="1:19" x14ac:dyDescent="0.25">
      <c r="A204" s="2">
        <v>1978</v>
      </c>
      <c r="B204" s="2" t="s">
        <v>19</v>
      </c>
      <c r="C204" s="2" t="s">
        <v>768</v>
      </c>
      <c r="D204" s="2" t="s">
        <v>769</v>
      </c>
      <c r="E204" s="2" t="s">
        <v>769</v>
      </c>
      <c r="F204" s="2" t="s">
        <v>775</v>
      </c>
      <c r="G204" s="2" t="s">
        <v>771</v>
      </c>
      <c r="H204" s="2" t="s">
        <v>769</v>
      </c>
      <c r="I204" s="2">
        <v>25</v>
      </c>
      <c r="J204" s="2" t="s">
        <v>24</v>
      </c>
      <c r="K204" s="2">
        <v>-18.203299999999999</v>
      </c>
      <c r="L204" s="2">
        <v>-65.179000000000002</v>
      </c>
      <c r="M204" s="2" t="s">
        <v>776</v>
      </c>
      <c r="N204" s="2">
        <v>1978</v>
      </c>
      <c r="O204" s="2" t="s">
        <v>777</v>
      </c>
      <c r="P204" s="2"/>
      <c r="Q204" s="2"/>
      <c r="R204" s="2">
        <f>IFERROR(VLOOKUP(A204,'[1]Recintos Cochabamba'!A$1:R$838,17,FALSE),0)</f>
        <v>11</v>
      </c>
      <c r="S204" s="3">
        <f>IFERROR(VLOOKUP(A204,'[1]Recintos Cochabamba'!A$1:T$838,18,FALSE),0)</f>
        <v>0.64633924024251244</v>
      </c>
    </row>
    <row r="205" spans="1:19" x14ac:dyDescent="0.25">
      <c r="A205" s="2">
        <v>1979</v>
      </c>
      <c r="B205" s="2" t="s">
        <v>19</v>
      </c>
      <c r="C205" s="2" t="s">
        <v>768</v>
      </c>
      <c r="D205" s="2" t="s">
        <v>769</v>
      </c>
      <c r="E205" s="2" t="s">
        <v>769</v>
      </c>
      <c r="F205" s="2" t="s">
        <v>778</v>
      </c>
      <c r="G205" s="2" t="s">
        <v>771</v>
      </c>
      <c r="H205" s="2" t="s">
        <v>779</v>
      </c>
      <c r="I205" s="2">
        <v>25</v>
      </c>
      <c r="J205" s="2" t="s">
        <v>24</v>
      </c>
      <c r="K205" s="2">
        <v>-18.204916999999998</v>
      </c>
      <c r="L205" s="2">
        <v>-65.180211999999997</v>
      </c>
      <c r="M205" s="2" t="s">
        <v>776</v>
      </c>
      <c r="N205" s="2">
        <v>1979</v>
      </c>
      <c r="O205" s="2" t="s">
        <v>780</v>
      </c>
      <c r="P205" s="2"/>
      <c r="Q205" s="2"/>
      <c r="R205" s="2">
        <f>IFERROR(VLOOKUP(A205,'[1]Recintos Cochabamba'!A$1:R$838,17,FALSE),0)</f>
        <v>1</v>
      </c>
      <c r="S205" s="3">
        <v>0</v>
      </c>
    </row>
    <row r="206" spans="1:19" x14ac:dyDescent="0.25">
      <c r="A206" s="2">
        <v>1980</v>
      </c>
      <c r="B206" s="2" t="s">
        <v>19</v>
      </c>
      <c r="C206" s="2" t="s">
        <v>768</v>
      </c>
      <c r="D206" s="2" t="s">
        <v>769</v>
      </c>
      <c r="E206" s="2" t="s">
        <v>769</v>
      </c>
      <c r="F206" s="2" t="s">
        <v>781</v>
      </c>
      <c r="G206" s="2" t="s">
        <v>771</v>
      </c>
      <c r="H206" s="2" t="s">
        <v>782</v>
      </c>
      <c r="I206" s="2">
        <v>25</v>
      </c>
      <c r="J206" s="2" t="s">
        <v>24</v>
      </c>
      <c r="K206" s="2">
        <v>-18.20271</v>
      </c>
      <c r="L206" s="2">
        <v>-65.176451</v>
      </c>
      <c r="M206" s="2" t="s">
        <v>776</v>
      </c>
      <c r="N206" s="2">
        <v>1980</v>
      </c>
      <c r="O206" s="2" t="s">
        <v>783</v>
      </c>
      <c r="P206" s="2"/>
      <c r="Q206" s="2"/>
      <c r="R206" s="2">
        <f>IFERROR(VLOOKUP(A206,'[1]Recintos Cochabamba'!A$1:R$838,17,FALSE),0)</f>
        <v>1</v>
      </c>
      <c r="S206" s="3">
        <v>0</v>
      </c>
    </row>
    <row r="207" spans="1:19" x14ac:dyDescent="0.25">
      <c r="A207" s="2">
        <v>1981</v>
      </c>
      <c r="B207" s="2" t="s">
        <v>19</v>
      </c>
      <c r="C207" s="2" t="s">
        <v>768</v>
      </c>
      <c r="D207" s="2" t="s">
        <v>769</v>
      </c>
      <c r="E207" s="2" t="s">
        <v>769</v>
      </c>
      <c r="F207" s="2" t="s">
        <v>784</v>
      </c>
      <c r="G207" s="2" t="s">
        <v>771</v>
      </c>
      <c r="H207" s="2" t="s">
        <v>785</v>
      </c>
      <c r="I207" s="2">
        <v>25</v>
      </c>
      <c r="J207" s="2" t="s">
        <v>24</v>
      </c>
      <c r="K207" s="2">
        <v>-18.214296999999998</v>
      </c>
      <c r="L207" s="2">
        <v>-65.187039999999996</v>
      </c>
      <c r="M207" s="2" t="s">
        <v>776</v>
      </c>
      <c r="N207" s="2">
        <v>1981</v>
      </c>
      <c r="O207" s="2" t="s">
        <v>786</v>
      </c>
      <c r="P207" s="2"/>
      <c r="Q207" s="2"/>
      <c r="R207" s="2">
        <f>IFERROR(VLOOKUP(A207,'[1]Recintos Cochabamba'!A$1:R$838,17,FALSE),0)</f>
        <v>2</v>
      </c>
      <c r="S207" s="3">
        <v>0</v>
      </c>
    </row>
    <row r="208" spans="1:19" x14ac:dyDescent="0.25">
      <c r="A208" s="2">
        <v>1982</v>
      </c>
      <c r="B208" s="2" t="s">
        <v>19</v>
      </c>
      <c r="C208" s="2" t="s">
        <v>768</v>
      </c>
      <c r="D208" s="2" t="s">
        <v>769</v>
      </c>
      <c r="E208" s="2" t="s">
        <v>787</v>
      </c>
      <c r="F208" s="2" t="s">
        <v>788</v>
      </c>
      <c r="G208" s="2" t="s">
        <v>789</v>
      </c>
      <c r="H208" s="2" t="s">
        <v>787</v>
      </c>
      <c r="I208" s="2">
        <v>25</v>
      </c>
      <c r="J208" s="2" t="s">
        <v>24</v>
      </c>
      <c r="K208" s="2">
        <v>-18.102399999999999</v>
      </c>
      <c r="L208" s="2">
        <v>-65.177899999999994</v>
      </c>
      <c r="M208" s="2" t="s">
        <v>776</v>
      </c>
      <c r="N208" s="2">
        <v>1982</v>
      </c>
      <c r="O208" s="2" t="s">
        <v>790</v>
      </c>
      <c r="P208" s="2"/>
      <c r="Q208" s="2"/>
      <c r="R208" s="2">
        <f>IFERROR(VLOOKUP(A208,'[1]Recintos Cochabamba'!A$1:R$838,17,FALSE),0)</f>
        <v>2</v>
      </c>
      <c r="S208" s="3">
        <f>IFERROR(VLOOKUP(A208,'[1]Recintos Cochabamba'!A$1:T$838,18,FALSE),0)</f>
        <v>0.90688131313131315</v>
      </c>
    </row>
    <row r="209" spans="1:19" x14ac:dyDescent="0.25">
      <c r="A209" s="2">
        <v>1983</v>
      </c>
      <c r="B209" s="2" t="s">
        <v>19</v>
      </c>
      <c r="C209" s="2" t="s">
        <v>768</v>
      </c>
      <c r="D209" s="2" t="s">
        <v>769</v>
      </c>
      <c r="E209" s="2" t="s">
        <v>791</v>
      </c>
      <c r="F209" s="2" t="s">
        <v>792</v>
      </c>
      <c r="G209" s="2" t="s">
        <v>789</v>
      </c>
      <c r="H209" s="2" t="s">
        <v>791</v>
      </c>
      <c r="I209" s="2">
        <v>25</v>
      </c>
      <c r="J209" s="2" t="s">
        <v>24</v>
      </c>
      <c r="K209" s="2">
        <v>-18.134399999999999</v>
      </c>
      <c r="L209" s="2">
        <v>-65.280299999999997</v>
      </c>
      <c r="M209" s="2" t="s">
        <v>776</v>
      </c>
      <c r="N209" s="2">
        <v>1983</v>
      </c>
      <c r="O209" s="2" t="s">
        <v>793</v>
      </c>
      <c r="P209" s="2"/>
      <c r="Q209" s="2"/>
      <c r="R209" s="2">
        <f>IFERROR(VLOOKUP(A209,'[1]Recintos Cochabamba'!A$1:R$838,17,FALSE),0)</f>
        <v>2</v>
      </c>
      <c r="S209" s="3">
        <f>IFERROR(VLOOKUP(A209,'[1]Recintos Cochabamba'!A$1:T$838,18,FALSE),0)</f>
        <v>0.94460526315789473</v>
      </c>
    </row>
    <row r="210" spans="1:19" x14ac:dyDescent="0.25">
      <c r="A210" s="2">
        <v>1984</v>
      </c>
      <c r="B210" s="2" t="s">
        <v>19</v>
      </c>
      <c r="C210" s="2" t="s">
        <v>768</v>
      </c>
      <c r="D210" s="2" t="s">
        <v>769</v>
      </c>
      <c r="E210" s="2" t="s">
        <v>794</v>
      </c>
      <c r="F210" s="2" t="s">
        <v>795</v>
      </c>
      <c r="G210" s="2" t="s">
        <v>789</v>
      </c>
      <c r="H210" s="2" t="s">
        <v>794</v>
      </c>
      <c r="I210" s="2">
        <v>25</v>
      </c>
      <c r="J210" s="2" t="s">
        <v>24</v>
      </c>
      <c r="K210" s="2">
        <v>-18.300899999999999</v>
      </c>
      <c r="L210" s="2">
        <v>-65.2346</v>
      </c>
      <c r="M210" s="2" t="s">
        <v>776</v>
      </c>
      <c r="N210" s="2">
        <v>1984</v>
      </c>
      <c r="O210" s="2" t="s">
        <v>796</v>
      </c>
      <c r="P210" s="2"/>
      <c r="Q210" s="2"/>
      <c r="R210" s="2">
        <f>IFERROR(VLOOKUP(A210,'[1]Recintos Cochabamba'!A$1:R$838,17,FALSE),0)</f>
        <v>2</v>
      </c>
      <c r="S210" s="3">
        <f>IFERROR(VLOOKUP(A210,'[1]Recintos Cochabamba'!A$1:T$838,18,FALSE),0)</f>
        <v>0.88144891122278057</v>
      </c>
    </row>
    <row r="211" spans="1:19" x14ac:dyDescent="0.25">
      <c r="A211" s="2">
        <v>1985</v>
      </c>
      <c r="B211" s="2" t="s">
        <v>19</v>
      </c>
      <c r="C211" s="2" t="s">
        <v>768</v>
      </c>
      <c r="D211" s="2" t="s">
        <v>769</v>
      </c>
      <c r="E211" s="2" t="s">
        <v>797</v>
      </c>
      <c r="F211" s="2" t="s">
        <v>798</v>
      </c>
      <c r="G211" s="2" t="s">
        <v>799</v>
      </c>
      <c r="H211" s="2" t="s">
        <v>797</v>
      </c>
      <c r="I211" s="2">
        <v>25</v>
      </c>
      <c r="J211" s="2" t="s">
        <v>24</v>
      </c>
      <c r="K211" s="2">
        <v>-18.209199999999999</v>
      </c>
      <c r="L211" s="2">
        <v>-65.037700000000001</v>
      </c>
      <c r="M211" s="2" t="s">
        <v>776</v>
      </c>
      <c r="N211" s="2">
        <v>1985</v>
      </c>
      <c r="O211" s="2" t="s">
        <v>800</v>
      </c>
      <c r="P211" s="2"/>
      <c r="Q211" s="2"/>
      <c r="R211" s="2">
        <f>IFERROR(VLOOKUP(A211,'[1]Recintos Cochabamba'!A$1:R$838,17,FALSE),0)</f>
        <v>4</v>
      </c>
      <c r="S211" s="3">
        <f>IFERROR(VLOOKUP(A211,'[1]Recintos Cochabamba'!A$1:T$838,18,FALSE),0)</f>
        <v>0.90751424855541507</v>
      </c>
    </row>
    <row r="212" spans="1:19" x14ac:dyDescent="0.25">
      <c r="A212" s="2">
        <v>1986</v>
      </c>
      <c r="B212" s="2" t="s">
        <v>19</v>
      </c>
      <c r="C212" s="2" t="s">
        <v>768</v>
      </c>
      <c r="D212" s="2" t="s">
        <v>769</v>
      </c>
      <c r="E212" s="2" t="s">
        <v>801</v>
      </c>
      <c r="F212" s="2" t="s">
        <v>802</v>
      </c>
      <c r="G212" s="2" t="s">
        <v>799</v>
      </c>
      <c r="H212" s="2" t="s">
        <v>801</v>
      </c>
      <c r="I212" s="2">
        <v>25</v>
      </c>
      <c r="J212" s="2" t="s">
        <v>24</v>
      </c>
      <c r="K212" s="2">
        <v>-18.3307</v>
      </c>
      <c r="L212" s="2">
        <v>-64.874899999999997</v>
      </c>
      <c r="M212" s="2" t="s">
        <v>776</v>
      </c>
      <c r="N212" s="2">
        <v>1986</v>
      </c>
      <c r="O212" s="2" t="s">
        <v>803</v>
      </c>
      <c r="P212" s="2"/>
      <c r="Q212" s="2"/>
      <c r="R212" s="2">
        <f>IFERROR(VLOOKUP(A212,'[1]Recintos Cochabamba'!A$1:R$838,17,FALSE),0)</f>
        <v>1</v>
      </c>
      <c r="S212" s="3">
        <f>IFERROR(VLOOKUP(A212,'[1]Recintos Cochabamba'!A$1:T$838,18,FALSE),0)</f>
        <v>0.93103448275862066</v>
      </c>
    </row>
    <row r="213" spans="1:19" x14ac:dyDescent="0.25">
      <c r="A213" s="2">
        <v>1987</v>
      </c>
      <c r="B213" s="2" t="s">
        <v>19</v>
      </c>
      <c r="C213" s="2" t="s">
        <v>768</v>
      </c>
      <c r="D213" s="2" t="s">
        <v>769</v>
      </c>
      <c r="E213" s="2" t="s">
        <v>804</v>
      </c>
      <c r="F213" s="2" t="s">
        <v>805</v>
      </c>
      <c r="G213" s="2" t="s">
        <v>806</v>
      </c>
      <c r="H213" s="2" t="s">
        <v>804</v>
      </c>
      <c r="I213" s="2">
        <v>25</v>
      </c>
      <c r="J213" s="2" t="s">
        <v>24</v>
      </c>
      <c r="K213" s="2">
        <v>-18.4253</v>
      </c>
      <c r="L213" s="2">
        <v>-65.215500000000006</v>
      </c>
      <c r="M213" s="2" t="s">
        <v>776</v>
      </c>
      <c r="N213" s="2">
        <v>1987</v>
      </c>
      <c r="O213" s="2" t="s">
        <v>807</v>
      </c>
      <c r="P213" s="2"/>
      <c r="Q213" s="2"/>
      <c r="R213" s="2">
        <f>IFERROR(VLOOKUP(A213,'[1]Recintos Cochabamba'!A$1:R$838,17,FALSE),0)</f>
        <v>4</v>
      </c>
      <c r="S213" s="3">
        <f>IFERROR(VLOOKUP(A213,'[1]Recintos Cochabamba'!A$1:T$838,18,FALSE),0)</f>
        <v>0.88675713373090859</v>
      </c>
    </row>
    <row r="214" spans="1:19" x14ac:dyDescent="0.25">
      <c r="A214" s="2">
        <v>1988</v>
      </c>
      <c r="B214" s="2" t="s">
        <v>19</v>
      </c>
      <c r="C214" s="2" t="s">
        <v>768</v>
      </c>
      <c r="D214" s="2" t="s">
        <v>769</v>
      </c>
      <c r="E214" s="2" t="s">
        <v>808</v>
      </c>
      <c r="F214" s="2" t="s">
        <v>809</v>
      </c>
      <c r="G214" s="2" t="s">
        <v>799</v>
      </c>
      <c r="H214" s="2" t="s">
        <v>808</v>
      </c>
      <c r="I214" s="2">
        <v>25</v>
      </c>
      <c r="J214" s="2" t="s">
        <v>24</v>
      </c>
      <c r="K214" s="2">
        <v>-18.452100000000002</v>
      </c>
      <c r="L214" s="2">
        <v>-64.989599999999996</v>
      </c>
      <c r="M214" s="2" t="s">
        <v>776</v>
      </c>
      <c r="N214" s="2">
        <v>1988</v>
      </c>
      <c r="O214" s="2" t="s">
        <v>810</v>
      </c>
      <c r="P214" s="2"/>
      <c r="Q214" s="2"/>
      <c r="R214" s="2">
        <f>IFERROR(VLOOKUP(A214,'[1]Recintos Cochabamba'!A$1:R$838,17,FALSE),0)</f>
        <v>1</v>
      </c>
      <c r="S214" s="3">
        <f>IFERROR(VLOOKUP(A214,'[1]Recintos Cochabamba'!A$1:T$838,18,FALSE),0)</f>
        <v>0.90673575129533679</v>
      </c>
    </row>
    <row r="215" spans="1:19" x14ac:dyDescent="0.25">
      <c r="A215" s="2">
        <v>1989</v>
      </c>
      <c r="B215" s="2" t="s">
        <v>19</v>
      </c>
      <c r="C215" s="2" t="s">
        <v>768</v>
      </c>
      <c r="D215" s="2" t="s">
        <v>769</v>
      </c>
      <c r="E215" s="2" t="s">
        <v>811</v>
      </c>
      <c r="F215" s="2" t="s">
        <v>812</v>
      </c>
      <c r="G215" s="2" t="s">
        <v>806</v>
      </c>
      <c r="H215" s="2" t="s">
        <v>811</v>
      </c>
      <c r="I215" s="2">
        <v>25</v>
      </c>
      <c r="J215" s="2" t="s">
        <v>24</v>
      </c>
      <c r="K215" s="2">
        <v>-18.539400000000001</v>
      </c>
      <c r="L215" s="2">
        <v>-65.170900000000003</v>
      </c>
      <c r="M215" s="2" t="s">
        <v>776</v>
      </c>
      <c r="N215" s="2">
        <v>1989</v>
      </c>
      <c r="O215" s="2" t="s">
        <v>813</v>
      </c>
      <c r="P215" s="2"/>
      <c r="Q215" s="2"/>
      <c r="R215" s="2">
        <f>IFERROR(VLOOKUP(A215,'[1]Recintos Cochabamba'!A$1:R$838,17,FALSE),0)</f>
        <v>2</v>
      </c>
      <c r="S215" s="3">
        <f>IFERROR(VLOOKUP(A215,'[1]Recintos Cochabamba'!A$1:T$838,18,FALSE),0)</f>
        <v>0.93611357586512867</v>
      </c>
    </row>
    <row r="216" spans="1:19" x14ac:dyDescent="0.25">
      <c r="A216" s="2">
        <v>1990</v>
      </c>
      <c r="B216" s="2" t="s">
        <v>19</v>
      </c>
      <c r="C216" s="2" t="s">
        <v>768</v>
      </c>
      <c r="D216" s="2" t="s">
        <v>769</v>
      </c>
      <c r="E216" s="2" t="s">
        <v>814</v>
      </c>
      <c r="F216" s="2" t="s">
        <v>815</v>
      </c>
      <c r="G216" s="2" t="s">
        <v>789</v>
      </c>
      <c r="H216" s="2" t="s">
        <v>816</v>
      </c>
      <c r="I216" s="2">
        <v>25</v>
      </c>
      <c r="J216" s="2" t="s">
        <v>24</v>
      </c>
      <c r="K216" s="2">
        <v>-18.265699999999999</v>
      </c>
      <c r="L216" s="2">
        <v>-65.2821</v>
      </c>
      <c r="M216" s="2" t="s">
        <v>776</v>
      </c>
      <c r="N216" s="2">
        <v>1990</v>
      </c>
      <c r="O216" s="2" t="s">
        <v>817</v>
      </c>
      <c r="P216" s="2"/>
      <c r="Q216" s="2"/>
      <c r="R216" s="2">
        <f>IFERROR(VLOOKUP(A216,'[1]Recintos Cochabamba'!A$1:R$838,17,FALSE),0)</f>
        <v>1</v>
      </c>
      <c r="S216" s="3">
        <f>IFERROR(VLOOKUP(A216,'[1]Recintos Cochabamba'!A$1:T$838,18,FALSE),0)</f>
        <v>0.9320987654320988</v>
      </c>
    </row>
    <row r="217" spans="1:19" x14ac:dyDescent="0.25">
      <c r="A217" s="2">
        <v>1991</v>
      </c>
      <c r="B217" s="2" t="s">
        <v>19</v>
      </c>
      <c r="C217" s="2" t="s">
        <v>768</v>
      </c>
      <c r="D217" s="2" t="s">
        <v>769</v>
      </c>
      <c r="E217" s="2" t="s">
        <v>818</v>
      </c>
      <c r="F217" s="2" t="s">
        <v>819</v>
      </c>
      <c r="G217" s="2" t="s">
        <v>789</v>
      </c>
      <c r="H217" s="2" t="s">
        <v>818</v>
      </c>
      <c r="I217" s="2">
        <v>25</v>
      </c>
      <c r="J217" s="2" t="s">
        <v>24</v>
      </c>
      <c r="K217" s="2">
        <v>-18.309000000000001</v>
      </c>
      <c r="L217" s="2">
        <v>-65.108699999999999</v>
      </c>
      <c r="M217" s="2" t="s">
        <v>776</v>
      </c>
      <c r="N217" s="2">
        <v>1991</v>
      </c>
      <c r="O217" s="2" t="s">
        <v>820</v>
      </c>
      <c r="P217" s="2"/>
      <c r="Q217" s="2"/>
      <c r="R217" s="2">
        <f>IFERROR(VLOOKUP(A217,'[1]Recintos Cochabamba'!A$1:R$838,17,FALSE),0)</f>
        <v>2</v>
      </c>
      <c r="S217" s="3">
        <f>IFERROR(VLOOKUP(A217,'[1]Recintos Cochabamba'!A$1:T$838,18,FALSE),0)</f>
        <v>0.92140137090632135</v>
      </c>
    </row>
    <row r="218" spans="1:19" x14ac:dyDescent="0.25">
      <c r="A218" s="2">
        <v>1992</v>
      </c>
      <c r="B218" s="2" t="s">
        <v>19</v>
      </c>
      <c r="C218" s="2" t="s">
        <v>768</v>
      </c>
      <c r="D218" s="2" t="s">
        <v>769</v>
      </c>
      <c r="E218" s="2" t="s">
        <v>821</v>
      </c>
      <c r="F218" s="2" t="s">
        <v>822</v>
      </c>
      <c r="G218" s="2" t="s">
        <v>806</v>
      </c>
      <c r="H218" s="2" t="s">
        <v>821</v>
      </c>
      <c r="I218" s="2">
        <v>25</v>
      </c>
      <c r="J218" s="2" t="s">
        <v>24</v>
      </c>
      <c r="K218" s="2">
        <v>-18.3735</v>
      </c>
      <c r="L218" s="2">
        <v>-65.317099999999996</v>
      </c>
      <c r="M218" s="2" t="s">
        <v>776</v>
      </c>
      <c r="N218" s="2">
        <v>1992</v>
      </c>
      <c r="O218" s="2" t="s">
        <v>823</v>
      </c>
      <c r="P218" s="2"/>
      <c r="Q218" s="2"/>
      <c r="R218" s="2">
        <f>IFERROR(VLOOKUP(A218,'[1]Recintos Cochabamba'!A$1:R$838,17,FALSE),0)</f>
        <v>2</v>
      </c>
      <c r="S218" s="3">
        <f>IFERROR(VLOOKUP(A218,'[1]Recintos Cochabamba'!A$1:T$838,18,FALSE),0)</f>
        <v>0.84054834054834049</v>
      </c>
    </row>
    <row r="219" spans="1:19" x14ac:dyDescent="0.25">
      <c r="A219" s="2">
        <v>1993</v>
      </c>
      <c r="B219" s="2" t="s">
        <v>19</v>
      </c>
      <c r="C219" s="2" t="s">
        <v>768</v>
      </c>
      <c r="D219" s="2" t="s">
        <v>769</v>
      </c>
      <c r="E219" s="2" t="s">
        <v>824</v>
      </c>
      <c r="F219" s="2" t="s">
        <v>825</v>
      </c>
      <c r="G219" s="2" t="s">
        <v>806</v>
      </c>
      <c r="H219" s="2" t="s">
        <v>824</v>
      </c>
      <c r="I219" s="2">
        <v>25</v>
      </c>
      <c r="J219" s="2" t="s">
        <v>24</v>
      </c>
      <c r="K219" s="2">
        <v>-18.450099999999999</v>
      </c>
      <c r="L219" s="2">
        <v>-65.096000000000004</v>
      </c>
      <c r="M219" s="2" t="s">
        <v>776</v>
      </c>
      <c r="N219" s="2">
        <v>1993</v>
      </c>
      <c r="O219" s="2" t="s">
        <v>826</v>
      </c>
      <c r="P219" s="2"/>
      <c r="Q219" s="2"/>
      <c r="R219" s="2">
        <f>IFERROR(VLOOKUP(A219,'[1]Recintos Cochabamba'!A$1:R$838,17,FALSE),0)</f>
        <v>1</v>
      </c>
      <c r="S219" s="3">
        <f>IFERROR(VLOOKUP(A219,'[1]Recintos Cochabamba'!A$1:T$838,18,FALSE),0)</f>
        <v>0.92376681614349776</v>
      </c>
    </row>
    <row r="220" spans="1:19" x14ac:dyDescent="0.25">
      <c r="A220" s="2">
        <v>1994</v>
      </c>
      <c r="B220" s="2" t="s">
        <v>19</v>
      </c>
      <c r="C220" s="2" t="s">
        <v>768</v>
      </c>
      <c r="D220" s="2" t="s">
        <v>769</v>
      </c>
      <c r="E220" s="2" t="s">
        <v>827</v>
      </c>
      <c r="F220" s="2" t="s">
        <v>828</v>
      </c>
      <c r="G220" s="2" t="s">
        <v>799</v>
      </c>
      <c r="H220" s="2" t="s">
        <v>829</v>
      </c>
      <c r="I220" s="2">
        <v>25</v>
      </c>
      <c r="J220" s="2" t="s">
        <v>24</v>
      </c>
      <c r="K220" s="2">
        <v>-18.426058000000001</v>
      </c>
      <c r="L220" s="2">
        <v>-64.934664999999995</v>
      </c>
      <c r="M220" s="2" t="s">
        <v>776</v>
      </c>
      <c r="N220" s="2">
        <v>1994</v>
      </c>
      <c r="O220" s="2" t="s">
        <v>830</v>
      </c>
      <c r="P220" s="2"/>
      <c r="Q220" s="2"/>
      <c r="R220" s="2">
        <f>IFERROR(VLOOKUP(A220,'[1]Recintos Cochabamba'!A$1:R$838,17,FALSE),0)</f>
        <v>1</v>
      </c>
      <c r="S220" s="3">
        <f>IFERROR(VLOOKUP(A220,'[1]Recintos Cochabamba'!A$1:T$838,18,FALSE),0)</f>
        <v>0.98113207547169812</v>
      </c>
    </row>
    <row r="221" spans="1:19" x14ac:dyDescent="0.25">
      <c r="A221" s="2">
        <v>1995</v>
      </c>
      <c r="B221" s="2" t="s">
        <v>19</v>
      </c>
      <c r="C221" s="2" t="s">
        <v>768</v>
      </c>
      <c r="D221" s="2" t="s">
        <v>769</v>
      </c>
      <c r="E221" s="2" t="s">
        <v>831</v>
      </c>
      <c r="F221" s="2" t="s">
        <v>832</v>
      </c>
      <c r="G221" s="2" t="s">
        <v>799</v>
      </c>
      <c r="H221" s="2" t="s">
        <v>833</v>
      </c>
      <c r="I221" s="2">
        <v>25</v>
      </c>
      <c r="J221" s="2" t="s">
        <v>24</v>
      </c>
      <c r="K221" s="2">
        <v>-18.171989</v>
      </c>
      <c r="L221" s="2">
        <v>-64.976230999999999</v>
      </c>
      <c r="M221" s="2" t="s">
        <v>776</v>
      </c>
      <c r="N221" s="2">
        <v>1995</v>
      </c>
      <c r="O221" s="2" t="s">
        <v>834</v>
      </c>
      <c r="P221" s="2"/>
      <c r="Q221" s="2"/>
      <c r="R221" s="2">
        <f>IFERROR(VLOOKUP(A221,'[1]Recintos Cochabamba'!A$1:R$838,17,FALSE),0)</f>
        <v>1</v>
      </c>
      <c r="S221" s="3">
        <f>IFERROR(VLOOKUP(A221,'[1]Recintos Cochabamba'!A$1:T$838,18,FALSE),0)</f>
        <v>0.94472361809045224</v>
      </c>
    </row>
    <row r="222" spans="1:19" x14ac:dyDescent="0.25">
      <c r="A222" s="2">
        <v>1996</v>
      </c>
      <c r="B222" s="2" t="s">
        <v>19</v>
      </c>
      <c r="C222" s="2" t="s">
        <v>768</v>
      </c>
      <c r="D222" s="2" t="s">
        <v>769</v>
      </c>
      <c r="E222" s="2" t="s">
        <v>835</v>
      </c>
      <c r="F222" s="2" t="s">
        <v>836</v>
      </c>
      <c r="G222" s="2" t="s">
        <v>789</v>
      </c>
      <c r="H222" s="2" t="s">
        <v>837</v>
      </c>
      <c r="I222" s="2">
        <v>25</v>
      </c>
      <c r="J222" s="2" t="s">
        <v>24</v>
      </c>
      <c r="K222" s="2">
        <v>-18.334</v>
      </c>
      <c r="L222" s="2">
        <v>-65.227999999999994</v>
      </c>
      <c r="M222" s="2" t="s">
        <v>776</v>
      </c>
      <c r="N222" s="2">
        <v>1996</v>
      </c>
      <c r="O222" s="2" t="s">
        <v>838</v>
      </c>
      <c r="P222" s="2"/>
      <c r="Q222" s="2"/>
      <c r="R222" s="2">
        <f>IFERROR(VLOOKUP(A222,'[1]Recintos Cochabamba'!A$1:R$838,17,FALSE),0)</f>
        <v>1</v>
      </c>
      <c r="S222" s="3">
        <f>IFERROR(VLOOKUP(A222,'[1]Recintos Cochabamba'!A$1:T$838,18,FALSE),0)</f>
        <v>0.95327102803738317</v>
      </c>
    </row>
    <row r="223" spans="1:19" x14ac:dyDescent="0.25">
      <c r="A223" s="2">
        <v>1997</v>
      </c>
      <c r="B223" s="2" t="s">
        <v>19</v>
      </c>
      <c r="C223" s="2" t="s">
        <v>768</v>
      </c>
      <c r="D223" s="2" t="s">
        <v>769</v>
      </c>
      <c r="E223" s="2" t="s">
        <v>839</v>
      </c>
      <c r="F223" s="2" t="s">
        <v>840</v>
      </c>
      <c r="G223" s="2" t="s">
        <v>789</v>
      </c>
      <c r="H223" s="2" t="s">
        <v>841</v>
      </c>
      <c r="I223" s="2">
        <v>25</v>
      </c>
      <c r="J223" s="2" t="s">
        <v>24</v>
      </c>
      <c r="K223" s="2">
        <v>-18.237276000000001</v>
      </c>
      <c r="L223" s="2">
        <v>-65.263293000000004</v>
      </c>
      <c r="M223" s="2" t="s">
        <v>25</v>
      </c>
      <c r="N223" s="2">
        <v>1997</v>
      </c>
      <c r="O223" s="2" t="s">
        <v>842</v>
      </c>
      <c r="P223" s="2"/>
      <c r="Q223" s="2"/>
      <c r="R223" s="2">
        <f>IFERROR(VLOOKUP(A223,'[1]Recintos Cochabamba'!A$1:R$838,17,FALSE),0)</f>
        <v>1</v>
      </c>
      <c r="S223" s="3">
        <v>0</v>
      </c>
    </row>
    <row r="224" spans="1:19" x14ac:dyDescent="0.25">
      <c r="A224" s="2">
        <v>1998</v>
      </c>
      <c r="B224" s="2" t="s">
        <v>19</v>
      </c>
      <c r="C224" s="2" t="s">
        <v>768</v>
      </c>
      <c r="D224" s="2" t="s">
        <v>769</v>
      </c>
      <c r="E224" s="2" t="s">
        <v>843</v>
      </c>
      <c r="F224" s="2" t="s">
        <v>844</v>
      </c>
      <c r="G224" s="2" t="s">
        <v>789</v>
      </c>
      <c r="H224" s="2" t="s">
        <v>845</v>
      </c>
      <c r="I224" s="2">
        <v>25</v>
      </c>
      <c r="J224" s="2" t="s">
        <v>24</v>
      </c>
      <c r="K224" s="2">
        <v>-18.328139</v>
      </c>
      <c r="L224" s="2">
        <v>-65.163250000000005</v>
      </c>
      <c r="M224" s="2" t="s">
        <v>776</v>
      </c>
      <c r="N224" s="2">
        <v>1998</v>
      </c>
      <c r="O224" s="2" t="s">
        <v>846</v>
      </c>
      <c r="P224" s="2"/>
      <c r="Q224" s="2"/>
      <c r="R224" s="2">
        <f>IFERROR(VLOOKUP(A224,'[1]Recintos Cochabamba'!A$1:R$838,17,FALSE),0)</f>
        <v>1</v>
      </c>
      <c r="S224" s="3">
        <v>0</v>
      </c>
    </row>
    <row r="225" spans="1:19" x14ac:dyDescent="0.25">
      <c r="A225" s="2">
        <v>1999</v>
      </c>
      <c r="B225" s="2" t="s">
        <v>19</v>
      </c>
      <c r="C225" s="2" t="s">
        <v>768</v>
      </c>
      <c r="D225" s="2" t="s">
        <v>769</v>
      </c>
      <c r="E225" s="2" t="s">
        <v>847</v>
      </c>
      <c r="F225" s="2" t="s">
        <v>848</v>
      </c>
      <c r="G225" s="2" t="s">
        <v>789</v>
      </c>
      <c r="H225" s="2" t="s">
        <v>849</v>
      </c>
      <c r="I225" s="2">
        <v>25</v>
      </c>
      <c r="J225" s="2" t="s">
        <v>24</v>
      </c>
      <c r="K225" s="2">
        <v>-18.156663999999999</v>
      </c>
      <c r="L225" s="2">
        <v>-65.148339000000007</v>
      </c>
      <c r="M225" s="2" t="s">
        <v>776</v>
      </c>
      <c r="N225" s="2">
        <v>1999</v>
      </c>
      <c r="O225" s="2" t="s">
        <v>850</v>
      </c>
      <c r="P225" s="2"/>
      <c r="Q225" s="2"/>
      <c r="R225" s="2">
        <f>IFERROR(VLOOKUP(A225,'[1]Recintos Cochabamba'!A$1:R$838,17,FALSE),0)</f>
        <v>1</v>
      </c>
      <c r="S225" s="3">
        <v>0</v>
      </c>
    </row>
    <row r="226" spans="1:19" x14ac:dyDescent="0.25">
      <c r="A226" s="2">
        <v>2000</v>
      </c>
      <c r="B226" s="2" t="s">
        <v>19</v>
      </c>
      <c r="C226" s="2" t="s">
        <v>768</v>
      </c>
      <c r="D226" s="2" t="s">
        <v>769</v>
      </c>
      <c r="E226" s="2" t="s">
        <v>851</v>
      </c>
      <c r="F226" s="2" t="s">
        <v>852</v>
      </c>
      <c r="G226" s="2" t="s">
        <v>799</v>
      </c>
      <c r="H226" s="2" t="s">
        <v>853</v>
      </c>
      <c r="I226" s="2">
        <v>25</v>
      </c>
      <c r="J226" s="2" t="s">
        <v>24</v>
      </c>
      <c r="K226" s="2">
        <v>-18.25273</v>
      </c>
      <c r="L226" s="2">
        <v>-65.009231</v>
      </c>
      <c r="M226" s="2" t="s">
        <v>776</v>
      </c>
      <c r="N226" s="2">
        <v>2000</v>
      </c>
      <c r="O226" s="2" t="s">
        <v>854</v>
      </c>
      <c r="P226" s="2"/>
      <c r="Q226" s="2"/>
      <c r="R226" s="2">
        <f>IFERROR(VLOOKUP(A226,'[1]Recintos Cochabamba'!A$1:R$838,17,FALSE),0)</f>
        <v>1</v>
      </c>
      <c r="S226" s="3">
        <v>0</v>
      </c>
    </row>
    <row r="227" spans="1:19" x14ac:dyDescent="0.25">
      <c r="A227" s="2">
        <v>2001</v>
      </c>
      <c r="B227" s="2" t="s">
        <v>19</v>
      </c>
      <c r="C227" s="2" t="s">
        <v>768</v>
      </c>
      <c r="D227" s="2" t="s">
        <v>855</v>
      </c>
      <c r="E227" s="2" t="s">
        <v>855</v>
      </c>
      <c r="F227" s="2" t="s">
        <v>856</v>
      </c>
      <c r="G227" s="2" t="s">
        <v>857</v>
      </c>
      <c r="H227" s="2" t="s">
        <v>855</v>
      </c>
      <c r="I227" s="2">
        <v>25</v>
      </c>
      <c r="J227" s="2" t="s">
        <v>24</v>
      </c>
      <c r="K227" s="2">
        <v>-18.316299999999998</v>
      </c>
      <c r="L227" s="2">
        <v>-64.676000000000002</v>
      </c>
      <c r="M227" s="2" t="s">
        <v>776</v>
      </c>
      <c r="N227" s="2">
        <v>2001</v>
      </c>
      <c r="O227" s="2" t="s">
        <v>858</v>
      </c>
      <c r="P227" s="2"/>
      <c r="Q227" s="2"/>
      <c r="R227" s="2">
        <f>IFERROR(VLOOKUP(A227,'[1]Recintos Cochabamba'!A$1:R$838,17,FALSE),0)</f>
        <v>5</v>
      </c>
      <c r="S227" s="3">
        <f>IFERROR(VLOOKUP(A227,'[1]Recintos Cochabamba'!A$1:T$838,18,FALSE),0)</f>
        <v>0.44800554856475905</v>
      </c>
    </row>
    <row r="228" spans="1:19" x14ac:dyDescent="0.25">
      <c r="A228" s="2">
        <v>2002</v>
      </c>
      <c r="B228" s="2" t="s">
        <v>19</v>
      </c>
      <c r="C228" s="2" t="s">
        <v>768</v>
      </c>
      <c r="D228" s="2" t="s">
        <v>855</v>
      </c>
      <c r="E228" s="2" t="s">
        <v>859</v>
      </c>
      <c r="F228" s="2" t="s">
        <v>860</v>
      </c>
      <c r="G228" s="2" t="s">
        <v>861</v>
      </c>
      <c r="H228" s="2" t="s">
        <v>859</v>
      </c>
      <c r="I228" s="2">
        <v>25</v>
      </c>
      <c r="J228" s="2" t="s">
        <v>24</v>
      </c>
      <c r="K228" s="2">
        <v>-18.5031</v>
      </c>
      <c r="L228" s="2">
        <v>-64.396600000000007</v>
      </c>
      <c r="M228" s="2" t="s">
        <v>776</v>
      </c>
      <c r="N228" s="2">
        <v>2002</v>
      </c>
      <c r="O228" s="2" t="s">
        <v>862</v>
      </c>
      <c r="P228" s="2"/>
      <c r="Q228" s="2"/>
      <c r="R228" s="2">
        <f>IFERROR(VLOOKUP(A228,'[1]Recintos Cochabamba'!A$1:R$838,17,FALSE),0)</f>
        <v>1</v>
      </c>
      <c r="S228" s="3">
        <f>IFERROR(VLOOKUP(A228,'[1]Recintos Cochabamba'!A$1:T$838,18,FALSE),0)</f>
        <v>0.77127659574468088</v>
      </c>
    </row>
    <row r="229" spans="1:19" x14ac:dyDescent="0.25">
      <c r="A229" s="2">
        <v>2003</v>
      </c>
      <c r="B229" s="2" t="s">
        <v>19</v>
      </c>
      <c r="C229" s="2" t="s">
        <v>768</v>
      </c>
      <c r="D229" s="2" t="s">
        <v>855</v>
      </c>
      <c r="E229" s="2" t="s">
        <v>863</v>
      </c>
      <c r="F229" s="2" t="s">
        <v>864</v>
      </c>
      <c r="G229" s="2" t="s">
        <v>861</v>
      </c>
      <c r="H229" s="2" t="s">
        <v>863</v>
      </c>
      <c r="I229" s="2">
        <v>25</v>
      </c>
      <c r="J229" s="2" t="s">
        <v>24</v>
      </c>
      <c r="K229" s="2">
        <v>-18.4938</v>
      </c>
      <c r="L229" s="2">
        <v>-64.573899999999995</v>
      </c>
      <c r="M229" s="2" t="s">
        <v>776</v>
      </c>
      <c r="N229" s="2">
        <v>2003</v>
      </c>
      <c r="O229" s="2" t="s">
        <v>865</v>
      </c>
      <c r="P229" s="2"/>
      <c r="Q229" s="2"/>
      <c r="R229" s="2">
        <f>IFERROR(VLOOKUP(A229,'[1]Recintos Cochabamba'!A$1:R$838,17,FALSE),0)</f>
        <v>1</v>
      </c>
      <c r="S229" s="3">
        <f>IFERROR(VLOOKUP(A229,'[1]Recintos Cochabamba'!A$1:T$838,18,FALSE),0)</f>
        <v>0.74814814814814812</v>
      </c>
    </row>
    <row r="230" spans="1:19" x14ac:dyDescent="0.25">
      <c r="A230" s="2">
        <v>2004</v>
      </c>
      <c r="B230" s="2" t="s">
        <v>19</v>
      </c>
      <c r="C230" s="2" t="s">
        <v>768</v>
      </c>
      <c r="D230" s="2" t="s">
        <v>855</v>
      </c>
      <c r="E230" s="2" t="s">
        <v>866</v>
      </c>
      <c r="F230" s="2" t="s">
        <v>867</v>
      </c>
      <c r="G230" s="2" t="s">
        <v>861</v>
      </c>
      <c r="H230" s="2" t="s">
        <v>866</v>
      </c>
      <c r="I230" s="2">
        <v>25</v>
      </c>
      <c r="J230" s="2" t="s">
        <v>24</v>
      </c>
      <c r="K230" s="2">
        <v>-18.4025</v>
      </c>
      <c r="L230" s="2">
        <v>-64.512799999999999</v>
      </c>
      <c r="M230" s="2" t="s">
        <v>776</v>
      </c>
      <c r="N230" s="2">
        <v>2004</v>
      </c>
      <c r="O230" s="2" t="s">
        <v>868</v>
      </c>
      <c r="P230" s="2"/>
      <c r="Q230" s="2"/>
      <c r="R230" s="2">
        <f>IFERROR(VLOOKUP(A230,'[1]Recintos Cochabamba'!A$1:R$838,17,FALSE),0)</f>
        <v>1</v>
      </c>
      <c r="S230" s="3">
        <f>IFERROR(VLOOKUP(A230,'[1]Recintos Cochabamba'!A$1:T$838,18,FALSE),0)</f>
        <v>0.70940170940170943</v>
      </c>
    </row>
    <row r="231" spans="1:19" x14ac:dyDescent="0.25">
      <c r="A231" s="2">
        <v>2005</v>
      </c>
      <c r="B231" s="2" t="s">
        <v>19</v>
      </c>
      <c r="C231" s="2" t="s">
        <v>768</v>
      </c>
      <c r="D231" s="2" t="s">
        <v>855</v>
      </c>
      <c r="E231" s="2" t="s">
        <v>869</v>
      </c>
      <c r="F231" s="2" t="s">
        <v>870</v>
      </c>
      <c r="G231" s="2" t="s">
        <v>861</v>
      </c>
      <c r="H231" s="2" t="s">
        <v>871</v>
      </c>
      <c r="I231" s="2">
        <v>25</v>
      </c>
      <c r="J231" s="2" t="s">
        <v>24</v>
      </c>
      <c r="K231" s="2">
        <v>-18.500299999999999</v>
      </c>
      <c r="L231" s="2">
        <v>-64.314800000000005</v>
      </c>
      <c r="M231" s="2" t="s">
        <v>25</v>
      </c>
      <c r="N231" s="2">
        <v>2005</v>
      </c>
      <c r="O231" s="2" t="s">
        <v>872</v>
      </c>
      <c r="P231" s="2"/>
      <c r="Q231" s="2"/>
      <c r="R231" s="2">
        <f>IFERROR(VLOOKUP(A231,'[1]Recintos Cochabamba'!A$1:R$838,17,FALSE),0)</f>
        <v>1</v>
      </c>
      <c r="S231" s="3">
        <f>IFERROR(VLOOKUP(A231,'[1]Recintos Cochabamba'!A$1:T$838,18,FALSE),0)</f>
        <v>0.6333333333333333</v>
      </c>
    </row>
    <row r="232" spans="1:19" x14ac:dyDescent="0.25">
      <c r="A232" s="2">
        <v>2006</v>
      </c>
      <c r="B232" s="2" t="s">
        <v>19</v>
      </c>
      <c r="C232" s="2" t="s">
        <v>768</v>
      </c>
      <c r="D232" s="2" t="s">
        <v>855</v>
      </c>
      <c r="E232" s="2" t="s">
        <v>873</v>
      </c>
      <c r="F232" s="2" t="s">
        <v>874</v>
      </c>
      <c r="G232" s="2" t="s">
        <v>861</v>
      </c>
      <c r="H232" s="2" t="s">
        <v>875</v>
      </c>
      <c r="I232" s="2">
        <v>25</v>
      </c>
      <c r="J232" s="2" t="s">
        <v>24</v>
      </c>
      <c r="K232" s="2">
        <v>-18.136600000000001</v>
      </c>
      <c r="L232" s="2">
        <v>-64.559299999999993</v>
      </c>
      <c r="M232" s="2" t="s">
        <v>776</v>
      </c>
      <c r="N232" s="2">
        <v>2006</v>
      </c>
      <c r="O232" s="2" t="s">
        <v>876</v>
      </c>
      <c r="P232" s="2"/>
      <c r="Q232" s="2"/>
      <c r="R232" s="2">
        <f>IFERROR(VLOOKUP(A232,'[1]Recintos Cochabamba'!A$1:R$838,17,FALSE),0)</f>
        <v>1</v>
      </c>
      <c r="S232" s="3">
        <f>IFERROR(VLOOKUP(A232,'[1]Recintos Cochabamba'!A$1:T$838,18,FALSE),0)</f>
        <v>0.5</v>
      </c>
    </row>
    <row r="233" spans="1:19" x14ac:dyDescent="0.25">
      <c r="A233" s="2">
        <v>2007</v>
      </c>
      <c r="B233" s="2" t="s">
        <v>19</v>
      </c>
      <c r="C233" s="2" t="s">
        <v>768</v>
      </c>
      <c r="D233" s="2" t="s">
        <v>877</v>
      </c>
      <c r="E233" s="2" t="s">
        <v>877</v>
      </c>
      <c r="F233" s="2" t="s">
        <v>878</v>
      </c>
      <c r="G233" s="2" t="s">
        <v>879</v>
      </c>
      <c r="H233" s="2" t="s">
        <v>877</v>
      </c>
      <c r="I233" s="2">
        <v>25</v>
      </c>
      <c r="J233" s="2" t="s">
        <v>24</v>
      </c>
      <c r="K233" s="2">
        <v>-18.106200000000001</v>
      </c>
      <c r="L233" s="2">
        <v>-64.907799999999995</v>
      </c>
      <c r="M233" s="2" t="s">
        <v>776</v>
      </c>
      <c r="N233" s="2">
        <v>2007</v>
      </c>
      <c r="O233" s="2" t="s">
        <v>880</v>
      </c>
      <c r="P233" s="2"/>
      <c r="Q233" s="2"/>
      <c r="R233" s="2">
        <f>IFERROR(VLOOKUP(A233,'[1]Recintos Cochabamba'!A$1:R$838,17,FALSE),0)</f>
        <v>10</v>
      </c>
      <c r="S233" s="3">
        <f>IFERROR(VLOOKUP(A233,'[1]Recintos Cochabamba'!A$1:T$838,18,FALSE),0)</f>
        <v>0.85130836745963112</v>
      </c>
    </row>
    <row r="234" spans="1:19" x14ac:dyDescent="0.25">
      <c r="A234" s="2">
        <v>2008</v>
      </c>
      <c r="B234" s="2" t="s">
        <v>19</v>
      </c>
      <c r="C234" s="2" t="s">
        <v>768</v>
      </c>
      <c r="D234" s="2" t="s">
        <v>877</v>
      </c>
      <c r="E234" s="2" t="s">
        <v>881</v>
      </c>
      <c r="F234" s="2" t="s">
        <v>882</v>
      </c>
      <c r="G234" s="2" t="s">
        <v>883</v>
      </c>
      <c r="H234" s="2" t="s">
        <v>881</v>
      </c>
      <c r="I234" s="2">
        <v>25</v>
      </c>
      <c r="J234" s="2" t="s">
        <v>24</v>
      </c>
      <c r="K234" s="2">
        <v>-17.929200000000002</v>
      </c>
      <c r="L234" s="2">
        <v>-64.988399999999999</v>
      </c>
      <c r="M234" s="2" t="s">
        <v>776</v>
      </c>
      <c r="N234" s="2">
        <v>2008</v>
      </c>
      <c r="O234" s="2" t="s">
        <v>884</v>
      </c>
      <c r="P234" s="2"/>
      <c r="Q234" s="2"/>
      <c r="R234" s="2">
        <f>IFERROR(VLOOKUP(A234,'[1]Recintos Cochabamba'!A$1:R$838,17,FALSE),0)</f>
        <v>1</v>
      </c>
      <c r="S234" s="3">
        <f>IFERROR(VLOOKUP(A234,'[1]Recintos Cochabamba'!A$1:T$838,18,FALSE),0)</f>
        <v>0.93706293706293708</v>
      </c>
    </row>
    <row r="235" spans="1:19" x14ac:dyDescent="0.25">
      <c r="A235" s="2">
        <v>2009</v>
      </c>
      <c r="B235" s="2" t="s">
        <v>19</v>
      </c>
      <c r="C235" s="2" t="s">
        <v>768</v>
      </c>
      <c r="D235" s="2" t="s">
        <v>877</v>
      </c>
      <c r="E235" s="2" t="s">
        <v>885</v>
      </c>
      <c r="F235" s="2" t="s">
        <v>886</v>
      </c>
      <c r="G235" s="2" t="s">
        <v>887</v>
      </c>
      <c r="H235" s="2" t="s">
        <v>885</v>
      </c>
      <c r="I235" s="2">
        <v>25</v>
      </c>
      <c r="J235" s="2" t="s">
        <v>24</v>
      </c>
      <c r="K235" s="2">
        <v>-18.172000000000001</v>
      </c>
      <c r="L235" s="2">
        <v>-64.870500000000007</v>
      </c>
      <c r="M235" s="2" t="s">
        <v>776</v>
      </c>
      <c r="N235" s="2">
        <v>2009</v>
      </c>
      <c r="O235" s="2" t="s">
        <v>888</v>
      </c>
      <c r="P235" s="2"/>
      <c r="Q235" s="2"/>
      <c r="R235" s="2">
        <f>IFERROR(VLOOKUP(A235,'[1]Recintos Cochabamba'!A$1:R$838,17,FALSE),0)</f>
        <v>2</v>
      </c>
      <c r="S235" s="3">
        <f>IFERROR(VLOOKUP(A235,'[1]Recintos Cochabamba'!A$1:T$838,18,FALSE),0)</f>
        <v>0.85273316062176163</v>
      </c>
    </row>
    <row r="236" spans="1:19" x14ac:dyDescent="0.25">
      <c r="A236" s="2">
        <v>2010</v>
      </c>
      <c r="B236" s="2" t="s">
        <v>19</v>
      </c>
      <c r="C236" s="2" t="s">
        <v>768</v>
      </c>
      <c r="D236" s="2" t="s">
        <v>877</v>
      </c>
      <c r="E236" s="2" t="s">
        <v>889</v>
      </c>
      <c r="F236" s="2" t="s">
        <v>890</v>
      </c>
      <c r="G236" s="2" t="s">
        <v>891</v>
      </c>
      <c r="H236" s="2" t="s">
        <v>889</v>
      </c>
      <c r="I236" s="2">
        <v>25</v>
      </c>
      <c r="J236" s="2" t="s">
        <v>24</v>
      </c>
      <c r="K236" s="2">
        <v>-18.132000000000001</v>
      </c>
      <c r="L236" s="2">
        <v>-64.820800000000006</v>
      </c>
      <c r="M236" s="2" t="s">
        <v>776</v>
      </c>
      <c r="N236" s="2">
        <v>2010</v>
      </c>
      <c r="O236" s="2" t="s">
        <v>892</v>
      </c>
      <c r="P236" s="2"/>
      <c r="Q236" s="2"/>
      <c r="R236" s="2">
        <f>IFERROR(VLOOKUP(A236,'[1]Recintos Cochabamba'!A$1:R$838,17,FALSE),0)</f>
        <v>1</v>
      </c>
      <c r="S236" s="3">
        <f>IFERROR(VLOOKUP(A236,'[1]Recintos Cochabamba'!A$1:T$838,18,FALSE),0)</f>
        <v>0.78453038674033149</v>
      </c>
    </row>
    <row r="237" spans="1:19" x14ac:dyDescent="0.25">
      <c r="A237" s="2">
        <v>2011</v>
      </c>
      <c r="B237" s="2" t="s">
        <v>19</v>
      </c>
      <c r="C237" s="2" t="s">
        <v>768</v>
      </c>
      <c r="D237" s="2" t="s">
        <v>877</v>
      </c>
      <c r="E237" s="2" t="s">
        <v>893</v>
      </c>
      <c r="F237" s="2" t="s">
        <v>894</v>
      </c>
      <c r="G237" s="2" t="s">
        <v>895</v>
      </c>
      <c r="H237" s="2" t="s">
        <v>893</v>
      </c>
      <c r="I237" s="2">
        <v>25</v>
      </c>
      <c r="J237" s="2" t="s">
        <v>24</v>
      </c>
      <c r="K237" s="2">
        <v>-18.025200000000002</v>
      </c>
      <c r="L237" s="2">
        <v>-65.018199999999993</v>
      </c>
      <c r="M237" s="2" t="s">
        <v>776</v>
      </c>
      <c r="N237" s="2">
        <v>2011</v>
      </c>
      <c r="O237" s="2" t="s">
        <v>896</v>
      </c>
      <c r="P237" s="2"/>
      <c r="Q237" s="2"/>
      <c r="R237" s="2">
        <f>IFERROR(VLOOKUP(A237,'[1]Recintos Cochabamba'!A$1:R$838,17,FALSE),0)</f>
        <v>1</v>
      </c>
      <c r="S237" s="3">
        <f>IFERROR(VLOOKUP(A237,'[1]Recintos Cochabamba'!A$1:T$838,18,FALSE),0)</f>
        <v>0.9838709677419355</v>
      </c>
    </row>
    <row r="238" spans="1:19" x14ac:dyDescent="0.25">
      <c r="A238" s="2">
        <v>2012</v>
      </c>
      <c r="B238" s="2" t="s">
        <v>19</v>
      </c>
      <c r="C238" s="2" t="s">
        <v>768</v>
      </c>
      <c r="D238" s="2" t="s">
        <v>877</v>
      </c>
      <c r="E238" s="2" t="s">
        <v>897</v>
      </c>
      <c r="F238" s="2" t="s">
        <v>898</v>
      </c>
      <c r="G238" s="2" t="s">
        <v>861</v>
      </c>
      <c r="H238" s="2" t="s">
        <v>897</v>
      </c>
      <c r="I238" s="2">
        <v>25</v>
      </c>
      <c r="J238" s="2" t="s">
        <v>24</v>
      </c>
      <c r="K238" s="2">
        <v>-18.113600000000002</v>
      </c>
      <c r="L238" s="2">
        <v>-64.7667</v>
      </c>
      <c r="M238" s="2" t="s">
        <v>776</v>
      </c>
      <c r="N238" s="2">
        <v>2012</v>
      </c>
      <c r="O238" s="2" t="s">
        <v>899</v>
      </c>
      <c r="P238" s="2"/>
      <c r="Q238" s="2"/>
      <c r="R238" s="2">
        <f>IFERROR(VLOOKUP(A238,'[1]Recintos Cochabamba'!A$1:R$838,17,FALSE),0)</f>
        <v>1</v>
      </c>
      <c r="S238" s="3">
        <f>IFERROR(VLOOKUP(A238,'[1]Recintos Cochabamba'!A$1:T$838,18,FALSE),0)</f>
        <v>0.85792349726775952</v>
      </c>
    </row>
    <row r="239" spans="1:19" x14ac:dyDescent="0.25">
      <c r="A239" s="2">
        <v>2013</v>
      </c>
      <c r="B239" s="2" t="s">
        <v>19</v>
      </c>
      <c r="C239" s="2" t="s">
        <v>900</v>
      </c>
      <c r="D239" s="2" t="s">
        <v>900</v>
      </c>
      <c r="E239" s="2" t="s">
        <v>901</v>
      </c>
      <c r="F239" s="2" t="s">
        <v>902</v>
      </c>
      <c r="G239" s="2" t="s">
        <v>903</v>
      </c>
      <c r="H239" s="2" t="s">
        <v>904</v>
      </c>
      <c r="I239" s="2">
        <v>27</v>
      </c>
      <c r="J239" s="2" t="s">
        <v>24</v>
      </c>
      <c r="K239" s="2">
        <v>-17.081900000000001</v>
      </c>
      <c r="L239" s="2">
        <v>-66.821200000000005</v>
      </c>
      <c r="M239" s="2" t="s">
        <v>776</v>
      </c>
      <c r="N239" s="2">
        <v>2013</v>
      </c>
      <c r="O239" s="2" t="s">
        <v>905</v>
      </c>
      <c r="P239" s="2"/>
      <c r="Q239" s="2"/>
      <c r="R239" s="2">
        <f>IFERROR(VLOOKUP(A239,'[1]Recintos Cochabamba'!A$1:R$838,17,FALSE),0)</f>
        <v>13</v>
      </c>
      <c r="S239" s="3">
        <v>0</v>
      </c>
    </row>
    <row r="240" spans="1:19" x14ac:dyDescent="0.25">
      <c r="A240" s="2">
        <v>2014</v>
      </c>
      <c r="B240" s="2" t="s">
        <v>19</v>
      </c>
      <c r="C240" s="2" t="s">
        <v>900</v>
      </c>
      <c r="D240" s="2" t="s">
        <v>900</v>
      </c>
      <c r="E240" s="2" t="s">
        <v>906</v>
      </c>
      <c r="F240" s="2" t="s">
        <v>907</v>
      </c>
      <c r="G240" s="2" t="s">
        <v>903</v>
      </c>
      <c r="H240" s="2" t="s">
        <v>906</v>
      </c>
      <c r="I240" s="2">
        <v>27</v>
      </c>
      <c r="J240" s="2" t="s">
        <v>24</v>
      </c>
      <c r="K240" s="2">
        <v>-17.178799999999999</v>
      </c>
      <c r="L240" s="2">
        <v>-66.745000000000005</v>
      </c>
      <c r="M240" s="2" t="s">
        <v>776</v>
      </c>
      <c r="N240" s="2">
        <v>2014</v>
      </c>
      <c r="O240" s="2" t="s">
        <v>908</v>
      </c>
      <c r="P240" s="2"/>
      <c r="Q240" s="2"/>
      <c r="R240" s="2">
        <f>IFERROR(VLOOKUP(A240,'[1]Recintos Cochabamba'!A$1:R$838,17,FALSE),0)</f>
        <v>1</v>
      </c>
      <c r="S240" s="3">
        <v>0</v>
      </c>
    </row>
    <row r="241" spans="1:19" x14ac:dyDescent="0.25">
      <c r="A241" s="2">
        <v>2015</v>
      </c>
      <c r="B241" s="2" t="s">
        <v>19</v>
      </c>
      <c r="C241" s="2" t="s">
        <v>900</v>
      </c>
      <c r="D241" s="2" t="s">
        <v>900</v>
      </c>
      <c r="E241" s="2" t="s">
        <v>909</v>
      </c>
      <c r="F241" s="2" t="s">
        <v>910</v>
      </c>
      <c r="G241" s="2" t="s">
        <v>903</v>
      </c>
      <c r="H241" s="2" t="s">
        <v>909</v>
      </c>
      <c r="I241" s="2">
        <v>27</v>
      </c>
      <c r="J241" s="2" t="s">
        <v>24</v>
      </c>
      <c r="K241" s="2">
        <v>-17.123200000000001</v>
      </c>
      <c r="L241" s="2">
        <v>-66.867400000000004</v>
      </c>
      <c r="M241" s="2" t="s">
        <v>776</v>
      </c>
      <c r="N241" s="2">
        <v>2015</v>
      </c>
      <c r="O241" s="2" t="s">
        <v>911</v>
      </c>
      <c r="P241" s="2"/>
      <c r="Q241" s="2"/>
      <c r="R241" s="2">
        <f>IFERROR(VLOOKUP(A241,'[1]Recintos Cochabamba'!A$1:R$838,17,FALSE),0)</f>
        <v>1</v>
      </c>
      <c r="S241" s="3">
        <v>0</v>
      </c>
    </row>
    <row r="242" spans="1:19" x14ac:dyDescent="0.25">
      <c r="A242" s="2">
        <v>2016</v>
      </c>
      <c r="B242" s="2" t="s">
        <v>19</v>
      </c>
      <c r="C242" s="2" t="s">
        <v>900</v>
      </c>
      <c r="D242" s="2" t="s">
        <v>900</v>
      </c>
      <c r="E242" s="2" t="s">
        <v>912</v>
      </c>
      <c r="F242" s="2" t="s">
        <v>913</v>
      </c>
      <c r="G242" s="2" t="s">
        <v>914</v>
      </c>
      <c r="H242" s="2" t="s">
        <v>912</v>
      </c>
      <c r="I242" s="2">
        <v>27</v>
      </c>
      <c r="J242" s="2" t="s">
        <v>24</v>
      </c>
      <c r="K242" s="2">
        <v>-17.3246</v>
      </c>
      <c r="L242" s="2">
        <v>-66.690200000000004</v>
      </c>
      <c r="M242" s="2" t="s">
        <v>776</v>
      </c>
      <c r="N242" s="2">
        <v>2016</v>
      </c>
      <c r="O242" s="2" t="s">
        <v>915</v>
      </c>
      <c r="P242" s="2"/>
      <c r="Q242" s="2"/>
      <c r="R242" s="2">
        <f>IFERROR(VLOOKUP(A242,'[1]Recintos Cochabamba'!A$1:R$838,17,FALSE),0)</f>
        <v>2</v>
      </c>
      <c r="S242" s="3">
        <v>0</v>
      </c>
    </row>
    <row r="243" spans="1:19" x14ac:dyDescent="0.25">
      <c r="A243" s="2">
        <v>2017</v>
      </c>
      <c r="B243" s="2" t="s">
        <v>19</v>
      </c>
      <c r="C243" s="2" t="s">
        <v>900</v>
      </c>
      <c r="D243" s="2" t="s">
        <v>900</v>
      </c>
      <c r="E243" s="2" t="s">
        <v>916</v>
      </c>
      <c r="F243" s="2" t="s">
        <v>917</v>
      </c>
      <c r="G243" s="2" t="s">
        <v>918</v>
      </c>
      <c r="H243" s="2" t="s">
        <v>916</v>
      </c>
      <c r="I243" s="2">
        <v>27</v>
      </c>
      <c r="J243" s="2" t="s">
        <v>24</v>
      </c>
      <c r="K243" s="2">
        <v>-17.384599999999999</v>
      </c>
      <c r="L243" s="2">
        <v>-66.814599999999999</v>
      </c>
      <c r="M243" s="2" t="s">
        <v>776</v>
      </c>
      <c r="N243" s="2">
        <v>2017</v>
      </c>
      <c r="O243" s="2" t="s">
        <v>919</v>
      </c>
      <c r="P243" s="2"/>
      <c r="Q243" s="2"/>
      <c r="R243" s="2">
        <f>IFERROR(VLOOKUP(A243,'[1]Recintos Cochabamba'!A$1:R$838,17,FALSE),0)</f>
        <v>11</v>
      </c>
      <c r="S243" s="3">
        <v>0</v>
      </c>
    </row>
    <row r="244" spans="1:19" x14ac:dyDescent="0.25">
      <c r="A244" s="2">
        <v>2018</v>
      </c>
      <c r="B244" s="2" t="s">
        <v>19</v>
      </c>
      <c r="C244" s="2" t="s">
        <v>900</v>
      </c>
      <c r="D244" s="2" t="s">
        <v>900</v>
      </c>
      <c r="E244" s="2" t="s">
        <v>920</v>
      </c>
      <c r="F244" s="2" t="s">
        <v>921</v>
      </c>
      <c r="G244" s="2" t="s">
        <v>903</v>
      </c>
      <c r="H244" s="2" t="s">
        <v>920</v>
      </c>
      <c r="I244" s="2">
        <v>27</v>
      </c>
      <c r="J244" s="2" t="s">
        <v>24</v>
      </c>
      <c r="K244" s="2">
        <v>-16.934218999999999</v>
      </c>
      <c r="L244" s="2">
        <v>-66.835316000000006</v>
      </c>
      <c r="M244" s="2" t="s">
        <v>776</v>
      </c>
      <c r="N244" s="2">
        <v>2018</v>
      </c>
      <c r="O244" s="2" t="s">
        <v>922</v>
      </c>
      <c r="P244" s="2"/>
      <c r="Q244" s="2"/>
      <c r="R244" s="2">
        <f>IFERROR(VLOOKUP(A244,'[1]Recintos Cochabamba'!A$1:R$838,17,FALSE),0)</f>
        <v>2</v>
      </c>
      <c r="S244" s="3">
        <v>0</v>
      </c>
    </row>
    <row r="245" spans="1:19" x14ac:dyDescent="0.25">
      <c r="A245" s="2">
        <v>2019</v>
      </c>
      <c r="B245" s="2" t="s">
        <v>19</v>
      </c>
      <c r="C245" s="2" t="s">
        <v>900</v>
      </c>
      <c r="D245" s="2" t="s">
        <v>900</v>
      </c>
      <c r="E245" s="2" t="s">
        <v>923</v>
      </c>
      <c r="F245" s="2" t="s">
        <v>924</v>
      </c>
      <c r="G245" s="2" t="s">
        <v>903</v>
      </c>
      <c r="H245" s="2" t="s">
        <v>923</v>
      </c>
      <c r="I245" s="2">
        <v>27</v>
      </c>
      <c r="J245" s="2" t="s">
        <v>24</v>
      </c>
      <c r="K245" s="2">
        <v>-17.204599999999999</v>
      </c>
      <c r="L245" s="2">
        <v>-66.837000000000003</v>
      </c>
      <c r="M245" s="2" t="s">
        <v>776</v>
      </c>
      <c r="N245" s="2">
        <v>2019</v>
      </c>
      <c r="O245" s="2" t="s">
        <v>925</v>
      </c>
      <c r="P245" s="2"/>
      <c r="Q245" s="2"/>
      <c r="R245" s="2">
        <f>IFERROR(VLOOKUP(A245,'[1]Recintos Cochabamba'!A$1:R$838,17,FALSE),0)</f>
        <v>2</v>
      </c>
      <c r="S245" s="3">
        <v>0</v>
      </c>
    </row>
    <row r="246" spans="1:19" x14ac:dyDescent="0.25">
      <c r="A246" s="2">
        <v>2020</v>
      </c>
      <c r="B246" s="2" t="s">
        <v>19</v>
      </c>
      <c r="C246" s="2" t="s">
        <v>900</v>
      </c>
      <c r="D246" s="2" t="s">
        <v>900</v>
      </c>
      <c r="E246" s="2" t="s">
        <v>926</v>
      </c>
      <c r="F246" s="2" t="s">
        <v>927</v>
      </c>
      <c r="G246" s="2" t="s">
        <v>914</v>
      </c>
      <c r="H246" s="2" t="s">
        <v>926</v>
      </c>
      <c r="I246" s="2">
        <v>27</v>
      </c>
      <c r="J246" s="2" t="s">
        <v>24</v>
      </c>
      <c r="K246" s="2">
        <v>-17.393743000000001</v>
      </c>
      <c r="L246" s="2">
        <v>-66.704230999999993</v>
      </c>
      <c r="M246" s="2" t="s">
        <v>776</v>
      </c>
      <c r="N246" s="2">
        <v>2020</v>
      </c>
      <c r="O246" s="2" t="s">
        <v>928</v>
      </c>
      <c r="P246" s="2"/>
      <c r="Q246" s="2"/>
      <c r="R246" s="2">
        <f>IFERROR(VLOOKUP(A246,'[1]Recintos Cochabamba'!A$1:R$838,17,FALSE),0)</f>
        <v>2</v>
      </c>
      <c r="S246" s="3">
        <v>0</v>
      </c>
    </row>
    <row r="247" spans="1:19" x14ac:dyDescent="0.25">
      <c r="A247" s="2">
        <v>2021</v>
      </c>
      <c r="B247" s="2" t="s">
        <v>19</v>
      </c>
      <c r="C247" s="2" t="s">
        <v>900</v>
      </c>
      <c r="D247" s="2" t="s">
        <v>900</v>
      </c>
      <c r="E247" s="2" t="s">
        <v>929</v>
      </c>
      <c r="F247" s="2" t="s">
        <v>930</v>
      </c>
      <c r="G247" s="2" t="s">
        <v>903</v>
      </c>
      <c r="H247" s="2" t="s">
        <v>929</v>
      </c>
      <c r="I247" s="2">
        <v>27</v>
      </c>
      <c r="J247" s="2" t="s">
        <v>24</v>
      </c>
      <c r="K247" s="2">
        <v>-17.116700000000002</v>
      </c>
      <c r="L247" s="2">
        <v>-66.730599999999995</v>
      </c>
      <c r="M247" s="2" t="s">
        <v>776</v>
      </c>
      <c r="N247" s="2">
        <v>2021</v>
      </c>
      <c r="O247" s="2" t="s">
        <v>931</v>
      </c>
      <c r="P247" s="2"/>
      <c r="Q247" s="2"/>
      <c r="R247" s="2">
        <f>IFERROR(VLOOKUP(A247,'[1]Recintos Cochabamba'!A$1:R$838,17,FALSE),0)</f>
        <v>2</v>
      </c>
      <c r="S247" s="3">
        <v>0</v>
      </c>
    </row>
    <row r="248" spans="1:19" x14ac:dyDescent="0.25">
      <c r="A248" s="2">
        <v>2022</v>
      </c>
      <c r="B248" s="2" t="s">
        <v>19</v>
      </c>
      <c r="C248" s="2" t="s">
        <v>900</v>
      </c>
      <c r="D248" s="2" t="s">
        <v>900</v>
      </c>
      <c r="E248" s="2" t="s">
        <v>932</v>
      </c>
      <c r="F248" s="2" t="s">
        <v>933</v>
      </c>
      <c r="G248" s="2" t="s">
        <v>903</v>
      </c>
      <c r="H248" s="2" t="s">
        <v>932</v>
      </c>
      <c r="I248" s="2">
        <v>27</v>
      </c>
      <c r="J248" s="2" t="s">
        <v>24</v>
      </c>
      <c r="K248" s="2">
        <v>-16.991900000000001</v>
      </c>
      <c r="L248" s="2">
        <v>-66.963200000000001</v>
      </c>
      <c r="M248" s="2" t="s">
        <v>776</v>
      </c>
      <c r="N248" s="2">
        <v>2022</v>
      </c>
      <c r="O248" s="2" t="s">
        <v>934</v>
      </c>
      <c r="P248" s="2"/>
      <c r="Q248" s="2"/>
      <c r="R248" s="2">
        <f>IFERROR(VLOOKUP(A248,'[1]Recintos Cochabamba'!A$1:R$838,17,FALSE),0)</f>
        <v>3</v>
      </c>
      <c r="S248" s="3">
        <v>0</v>
      </c>
    </row>
    <row r="249" spans="1:19" x14ac:dyDescent="0.25">
      <c r="A249" s="2">
        <v>2023</v>
      </c>
      <c r="B249" s="2" t="s">
        <v>19</v>
      </c>
      <c r="C249" s="2" t="s">
        <v>900</v>
      </c>
      <c r="D249" s="2" t="s">
        <v>900</v>
      </c>
      <c r="E249" s="2" t="s">
        <v>935</v>
      </c>
      <c r="F249" s="2" t="s">
        <v>936</v>
      </c>
      <c r="G249" s="2" t="s">
        <v>903</v>
      </c>
      <c r="H249" s="2" t="s">
        <v>935</v>
      </c>
      <c r="I249" s="2">
        <v>27</v>
      </c>
      <c r="J249" s="2" t="s">
        <v>24</v>
      </c>
      <c r="K249" s="2">
        <v>-17.264099999999999</v>
      </c>
      <c r="L249" s="2">
        <v>-66.797700000000006</v>
      </c>
      <c r="M249" s="2" t="s">
        <v>776</v>
      </c>
      <c r="N249" s="2">
        <v>2023</v>
      </c>
      <c r="O249" s="2" t="s">
        <v>937</v>
      </c>
      <c r="P249" s="2"/>
      <c r="Q249" s="2"/>
      <c r="R249" s="2">
        <f>IFERROR(VLOOKUP(A249,'[1]Recintos Cochabamba'!A$1:R$838,17,FALSE),0)</f>
        <v>5</v>
      </c>
      <c r="S249" s="3">
        <v>0</v>
      </c>
    </row>
    <row r="250" spans="1:19" x14ac:dyDescent="0.25">
      <c r="A250" s="2">
        <v>2024</v>
      </c>
      <c r="B250" s="2" t="s">
        <v>19</v>
      </c>
      <c r="C250" s="2" t="s">
        <v>900</v>
      </c>
      <c r="D250" s="2" t="s">
        <v>900</v>
      </c>
      <c r="E250" s="2" t="s">
        <v>938</v>
      </c>
      <c r="F250" s="2" t="s">
        <v>939</v>
      </c>
      <c r="G250" s="2" t="s">
        <v>914</v>
      </c>
      <c r="H250" s="2" t="s">
        <v>940</v>
      </c>
      <c r="I250" s="2">
        <v>27</v>
      </c>
      <c r="J250" s="2" t="s">
        <v>24</v>
      </c>
      <c r="K250" s="2">
        <v>-17.359400000000001</v>
      </c>
      <c r="L250" s="2">
        <v>-66.629900000000006</v>
      </c>
      <c r="M250" s="2" t="s">
        <v>776</v>
      </c>
      <c r="N250" s="2">
        <v>2024</v>
      </c>
      <c r="O250" s="2" t="s">
        <v>941</v>
      </c>
      <c r="P250" s="2"/>
      <c r="Q250" s="2"/>
      <c r="R250" s="2">
        <f>IFERROR(VLOOKUP(A250,'[1]Recintos Cochabamba'!A$1:R$838,17,FALSE),0)</f>
        <v>3</v>
      </c>
      <c r="S250" s="3">
        <v>0</v>
      </c>
    </row>
    <row r="251" spans="1:19" x14ac:dyDescent="0.25">
      <c r="A251" s="2">
        <v>2025</v>
      </c>
      <c r="B251" s="2" t="s">
        <v>19</v>
      </c>
      <c r="C251" s="2" t="s">
        <v>900</v>
      </c>
      <c r="D251" s="2" t="s">
        <v>900</v>
      </c>
      <c r="E251" s="2" t="s">
        <v>942</v>
      </c>
      <c r="F251" s="2" t="s">
        <v>943</v>
      </c>
      <c r="G251" s="2" t="s">
        <v>914</v>
      </c>
      <c r="H251" s="2" t="s">
        <v>944</v>
      </c>
      <c r="I251" s="2">
        <v>27</v>
      </c>
      <c r="J251" s="2" t="s">
        <v>24</v>
      </c>
      <c r="K251" s="2">
        <v>-17.259</v>
      </c>
      <c r="L251" s="2">
        <v>-66.712000000000003</v>
      </c>
      <c r="M251" s="2" t="s">
        <v>776</v>
      </c>
      <c r="N251" s="2">
        <v>2025</v>
      </c>
      <c r="O251" s="2" t="s">
        <v>945</v>
      </c>
      <c r="P251" s="2"/>
      <c r="Q251" s="2"/>
      <c r="R251" s="2">
        <f>IFERROR(VLOOKUP(A251,'[1]Recintos Cochabamba'!A$1:R$838,17,FALSE),0)</f>
        <v>1</v>
      </c>
      <c r="S251" s="3">
        <v>0</v>
      </c>
    </row>
    <row r="252" spans="1:19" x14ac:dyDescent="0.25">
      <c r="A252" s="2">
        <v>2026</v>
      </c>
      <c r="B252" s="2" t="s">
        <v>19</v>
      </c>
      <c r="C252" s="2" t="s">
        <v>900</v>
      </c>
      <c r="D252" s="2" t="s">
        <v>900</v>
      </c>
      <c r="E252" s="2" t="s">
        <v>946</v>
      </c>
      <c r="F252" s="2" t="s">
        <v>947</v>
      </c>
      <c r="G252" s="2" t="s">
        <v>903</v>
      </c>
      <c r="H252" s="2" t="s">
        <v>948</v>
      </c>
      <c r="I252" s="2">
        <v>27</v>
      </c>
      <c r="J252" s="2" t="s">
        <v>24</v>
      </c>
      <c r="K252" s="2">
        <v>-17.332999999999998</v>
      </c>
      <c r="L252" s="2">
        <v>-66.718000000000004</v>
      </c>
      <c r="M252" s="2" t="s">
        <v>776</v>
      </c>
      <c r="N252" s="2">
        <v>2026</v>
      </c>
      <c r="O252" s="2" t="s">
        <v>949</v>
      </c>
      <c r="P252" s="2"/>
      <c r="Q252" s="2"/>
      <c r="R252" s="2">
        <f>IFERROR(VLOOKUP(A252,'[1]Recintos Cochabamba'!A$1:R$838,17,FALSE),0)</f>
        <v>1</v>
      </c>
      <c r="S252" s="3">
        <v>0</v>
      </c>
    </row>
    <row r="253" spans="1:19" x14ac:dyDescent="0.25">
      <c r="A253" s="2">
        <v>2027</v>
      </c>
      <c r="B253" s="2" t="s">
        <v>19</v>
      </c>
      <c r="C253" s="2" t="s">
        <v>900</v>
      </c>
      <c r="D253" s="2" t="s">
        <v>900</v>
      </c>
      <c r="E253" s="2" t="s">
        <v>950</v>
      </c>
      <c r="F253" s="2" t="s">
        <v>951</v>
      </c>
      <c r="G253" s="2" t="s">
        <v>914</v>
      </c>
      <c r="H253" s="2" t="s">
        <v>952</v>
      </c>
      <c r="I253" s="2">
        <v>27</v>
      </c>
      <c r="J253" s="2" t="s">
        <v>24</v>
      </c>
      <c r="K253" s="2">
        <v>-17.369</v>
      </c>
      <c r="L253" s="2">
        <v>-66.671000000000006</v>
      </c>
      <c r="M253" s="2" t="s">
        <v>776</v>
      </c>
      <c r="N253" s="2">
        <v>2027</v>
      </c>
      <c r="O253" s="2" t="s">
        <v>953</v>
      </c>
      <c r="P253" s="2"/>
      <c r="Q253" s="2"/>
      <c r="R253" s="2">
        <f>IFERROR(VLOOKUP(A253,'[1]Recintos Cochabamba'!A$1:R$838,17,FALSE),0)</f>
        <v>1</v>
      </c>
      <c r="S253" s="3">
        <v>0</v>
      </c>
    </row>
    <row r="254" spans="1:19" x14ac:dyDescent="0.25">
      <c r="A254" s="2">
        <v>2028</v>
      </c>
      <c r="B254" s="2" t="s">
        <v>19</v>
      </c>
      <c r="C254" s="2" t="s">
        <v>900</v>
      </c>
      <c r="D254" s="2" t="s">
        <v>900</v>
      </c>
      <c r="E254" s="2" t="s">
        <v>954</v>
      </c>
      <c r="F254" s="2" t="s">
        <v>955</v>
      </c>
      <c r="G254" s="2" t="s">
        <v>914</v>
      </c>
      <c r="H254" s="2" t="s">
        <v>956</v>
      </c>
      <c r="I254" s="2">
        <v>27</v>
      </c>
      <c r="J254" s="2" t="s">
        <v>24</v>
      </c>
      <c r="K254" s="2">
        <v>-17.399000000000001</v>
      </c>
      <c r="L254" s="2">
        <v>-66.632999999999996</v>
      </c>
      <c r="M254" s="2" t="s">
        <v>776</v>
      </c>
      <c r="N254" s="2">
        <v>2028</v>
      </c>
      <c r="O254" s="2" t="s">
        <v>957</v>
      </c>
      <c r="P254" s="2"/>
      <c r="Q254" s="2"/>
      <c r="R254" s="2">
        <f>IFERROR(VLOOKUP(A254,'[1]Recintos Cochabamba'!A$1:R$838,17,FALSE),0)</f>
        <v>1</v>
      </c>
      <c r="S254" s="3">
        <v>0</v>
      </c>
    </row>
    <row r="255" spans="1:19" x14ac:dyDescent="0.25">
      <c r="A255" s="2">
        <v>2029</v>
      </c>
      <c r="B255" s="2" t="s">
        <v>19</v>
      </c>
      <c r="C255" s="2" t="s">
        <v>900</v>
      </c>
      <c r="D255" s="2" t="s">
        <v>900</v>
      </c>
      <c r="E255" s="2" t="s">
        <v>958</v>
      </c>
      <c r="F255" s="2" t="s">
        <v>959</v>
      </c>
      <c r="G255" s="2" t="s">
        <v>903</v>
      </c>
      <c r="H255" s="2" t="s">
        <v>960</v>
      </c>
      <c r="I255" s="2">
        <v>27</v>
      </c>
      <c r="J255" s="2" t="s">
        <v>24</v>
      </c>
      <c r="K255" s="2">
        <v>-17.356999999999999</v>
      </c>
      <c r="L255" s="2">
        <v>-66.731999999999999</v>
      </c>
      <c r="M255" s="2" t="s">
        <v>776</v>
      </c>
      <c r="N255" s="2">
        <v>2029</v>
      </c>
      <c r="O255" s="2" t="s">
        <v>961</v>
      </c>
      <c r="P255" s="2"/>
      <c r="Q255" s="2"/>
      <c r="R255" s="2">
        <f>IFERROR(VLOOKUP(A255,'[1]Recintos Cochabamba'!A$1:R$838,17,FALSE),0)</f>
        <v>2</v>
      </c>
      <c r="S255" s="3">
        <v>0</v>
      </c>
    </row>
    <row r="256" spans="1:19" x14ac:dyDescent="0.25">
      <c r="A256" s="2">
        <v>2030</v>
      </c>
      <c r="B256" s="2" t="s">
        <v>19</v>
      </c>
      <c r="C256" s="2" t="s">
        <v>900</v>
      </c>
      <c r="D256" s="2" t="s">
        <v>900</v>
      </c>
      <c r="E256" s="2" t="s">
        <v>962</v>
      </c>
      <c r="F256" s="2" t="s">
        <v>963</v>
      </c>
      <c r="G256" s="2" t="s">
        <v>903</v>
      </c>
      <c r="H256" s="2" t="s">
        <v>964</v>
      </c>
      <c r="I256" s="2">
        <v>27</v>
      </c>
      <c r="J256" s="2" t="s">
        <v>24</v>
      </c>
      <c r="K256" s="2">
        <v>-17.265000000000001</v>
      </c>
      <c r="L256" s="2">
        <v>-66.867000000000004</v>
      </c>
      <c r="M256" s="2" t="s">
        <v>776</v>
      </c>
      <c r="N256" s="2">
        <v>2030</v>
      </c>
      <c r="O256" s="2" t="s">
        <v>965</v>
      </c>
      <c r="P256" s="2"/>
      <c r="Q256" s="2"/>
      <c r="R256" s="2">
        <f>IFERROR(VLOOKUP(A256,'[1]Recintos Cochabamba'!A$1:R$838,17,FALSE),0)</f>
        <v>1</v>
      </c>
      <c r="S256" s="3">
        <v>0</v>
      </c>
    </row>
    <row r="257" spans="1:19" x14ac:dyDescent="0.25">
      <c r="A257" s="2">
        <v>2031</v>
      </c>
      <c r="B257" s="2" t="s">
        <v>19</v>
      </c>
      <c r="C257" s="2" t="s">
        <v>900</v>
      </c>
      <c r="D257" s="2" t="s">
        <v>900</v>
      </c>
      <c r="E257" s="2" t="s">
        <v>966</v>
      </c>
      <c r="F257" s="2" t="s">
        <v>967</v>
      </c>
      <c r="G257" s="2" t="s">
        <v>903</v>
      </c>
      <c r="H257" s="2" t="s">
        <v>968</v>
      </c>
      <c r="I257" s="2">
        <v>27</v>
      </c>
      <c r="J257" s="2" t="s">
        <v>24</v>
      </c>
      <c r="K257" s="2">
        <v>-16.865244000000001</v>
      </c>
      <c r="L257" s="2">
        <v>-66.903510999999995</v>
      </c>
      <c r="M257" s="2" t="s">
        <v>776</v>
      </c>
      <c r="N257" s="2">
        <v>2031</v>
      </c>
      <c r="O257" s="2" t="s">
        <v>969</v>
      </c>
      <c r="P257" s="2"/>
      <c r="Q257" s="2"/>
      <c r="R257" s="2">
        <f>IFERROR(VLOOKUP(A257,'[1]Recintos Cochabamba'!A$1:R$838,17,FALSE),0)</f>
        <v>1</v>
      </c>
      <c r="S257" s="3">
        <v>0</v>
      </c>
    </row>
    <row r="258" spans="1:19" x14ac:dyDescent="0.25">
      <c r="A258" s="2">
        <v>2032</v>
      </c>
      <c r="B258" s="2" t="s">
        <v>19</v>
      </c>
      <c r="C258" s="2" t="s">
        <v>900</v>
      </c>
      <c r="D258" s="2" t="s">
        <v>900</v>
      </c>
      <c r="E258" s="2" t="s">
        <v>970</v>
      </c>
      <c r="F258" s="2" t="s">
        <v>971</v>
      </c>
      <c r="G258" s="2" t="s">
        <v>903</v>
      </c>
      <c r="H258" s="2" t="s">
        <v>972</v>
      </c>
      <c r="I258" s="2">
        <v>27</v>
      </c>
      <c r="J258" s="2" t="s">
        <v>24</v>
      </c>
      <c r="K258" s="2">
        <v>-17.417967999999998</v>
      </c>
      <c r="L258" s="2">
        <v>-66.787092000000001</v>
      </c>
      <c r="M258" s="2" t="s">
        <v>776</v>
      </c>
      <c r="N258" s="2">
        <v>2032</v>
      </c>
      <c r="O258" s="2" t="s">
        <v>973</v>
      </c>
      <c r="P258" s="2"/>
      <c r="Q258" s="2"/>
      <c r="R258" s="2">
        <f>IFERROR(VLOOKUP(A258,'[1]Recintos Cochabamba'!A$1:R$838,17,FALSE),0)</f>
        <v>10</v>
      </c>
      <c r="S258" s="3">
        <v>0</v>
      </c>
    </row>
    <row r="259" spans="1:19" x14ac:dyDescent="0.25">
      <c r="A259" s="2">
        <v>2033</v>
      </c>
      <c r="B259" s="2" t="s">
        <v>19</v>
      </c>
      <c r="C259" s="2" t="s">
        <v>900</v>
      </c>
      <c r="D259" s="2" t="s">
        <v>900</v>
      </c>
      <c r="E259" s="2" t="s">
        <v>974</v>
      </c>
      <c r="F259" s="2" t="s">
        <v>975</v>
      </c>
      <c r="G259" s="2" t="s">
        <v>918</v>
      </c>
      <c r="H259" s="2" t="s">
        <v>976</v>
      </c>
      <c r="I259" s="2">
        <v>27</v>
      </c>
      <c r="J259" s="2" t="s">
        <v>24</v>
      </c>
      <c r="K259" s="2">
        <v>-17.369592000000001</v>
      </c>
      <c r="L259" s="2">
        <v>-66.805858999999998</v>
      </c>
      <c r="M259" s="2" t="s">
        <v>776</v>
      </c>
      <c r="N259" s="2">
        <v>2033</v>
      </c>
      <c r="O259" s="2" t="s">
        <v>977</v>
      </c>
      <c r="P259" s="2"/>
      <c r="Q259" s="2"/>
      <c r="R259" s="2">
        <f>IFERROR(VLOOKUP(A259,'[1]Recintos Cochabamba'!A$1:R$838,17,FALSE),0)</f>
        <v>0</v>
      </c>
      <c r="S259" s="3">
        <v>0</v>
      </c>
    </row>
    <row r="260" spans="1:19" x14ac:dyDescent="0.25">
      <c r="A260" s="2">
        <v>2034</v>
      </c>
      <c r="B260" s="2" t="s">
        <v>19</v>
      </c>
      <c r="C260" s="2" t="s">
        <v>900</v>
      </c>
      <c r="D260" s="2" t="s">
        <v>978</v>
      </c>
      <c r="E260" s="2" t="s">
        <v>978</v>
      </c>
      <c r="F260" s="2" t="s">
        <v>979</v>
      </c>
      <c r="G260" s="2" t="s">
        <v>980</v>
      </c>
      <c r="H260" s="2" t="s">
        <v>978</v>
      </c>
      <c r="I260" s="2">
        <v>27</v>
      </c>
      <c r="J260" s="2" t="s">
        <v>24</v>
      </c>
      <c r="K260" s="2">
        <v>-17.2317</v>
      </c>
      <c r="L260" s="2">
        <v>-66.533900000000003</v>
      </c>
      <c r="M260" s="2" t="s">
        <v>776</v>
      </c>
      <c r="N260" s="2">
        <v>2034</v>
      </c>
      <c r="O260" s="2" t="s">
        <v>981</v>
      </c>
      <c r="P260" s="2"/>
      <c r="Q260" s="2"/>
      <c r="R260" s="2">
        <f>IFERROR(VLOOKUP(A260,'[1]Recintos Cochabamba'!A$1:R$838,17,FALSE),0)</f>
        <v>7</v>
      </c>
      <c r="S260" s="3">
        <v>0</v>
      </c>
    </row>
    <row r="261" spans="1:19" x14ac:dyDescent="0.25">
      <c r="A261" s="2">
        <v>2035</v>
      </c>
      <c r="B261" s="2" t="s">
        <v>19</v>
      </c>
      <c r="C261" s="2" t="s">
        <v>900</v>
      </c>
      <c r="D261" s="2" t="s">
        <v>978</v>
      </c>
      <c r="E261" s="2" t="s">
        <v>982</v>
      </c>
      <c r="F261" s="2" t="s">
        <v>983</v>
      </c>
      <c r="G261" s="2" t="s">
        <v>980</v>
      </c>
      <c r="H261" s="2" t="s">
        <v>982</v>
      </c>
      <c r="I261" s="2">
        <v>27</v>
      </c>
      <c r="J261" s="2" t="s">
        <v>24</v>
      </c>
      <c r="K261" s="2">
        <v>-17.230399999999999</v>
      </c>
      <c r="L261" s="2">
        <v>-66.493799999999993</v>
      </c>
      <c r="M261" s="2" t="s">
        <v>776</v>
      </c>
      <c r="N261" s="2">
        <v>2035</v>
      </c>
      <c r="O261" s="2" t="s">
        <v>984</v>
      </c>
      <c r="P261" s="2"/>
      <c r="Q261" s="2"/>
      <c r="R261" s="2">
        <f>IFERROR(VLOOKUP(A261,'[1]Recintos Cochabamba'!A$1:R$838,17,FALSE),0)</f>
        <v>3</v>
      </c>
      <c r="S261" s="3">
        <v>0</v>
      </c>
    </row>
    <row r="262" spans="1:19" x14ac:dyDescent="0.25">
      <c r="A262" s="2">
        <v>2036</v>
      </c>
      <c r="B262" s="2" t="s">
        <v>19</v>
      </c>
      <c r="C262" s="2" t="s">
        <v>900</v>
      </c>
      <c r="D262" s="2" t="s">
        <v>978</v>
      </c>
      <c r="E262" s="2" t="s">
        <v>985</v>
      </c>
      <c r="F262" s="2" t="s">
        <v>986</v>
      </c>
      <c r="G262" s="2" t="s">
        <v>987</v>
      </c>
      <c r="H262" s="2" t="s">
        <v>985</v>
      </c>
      <c r="I262" s="2">
        <v>27</v>
      </c>
      <c r="J262" s="2" t="s">
        <v>24</v>
      </c>
      <c r="K262" s="2">
        <v>-17.1844</v>
      </c>
      <c r="L262" s="2">
        <v>-66.609700000000004</v>
      </c>
      <c r="M262" s="2" t="s">
        <v>776</v>
      </c>
      <c r="N262" s="2">
        <v>2036</v>
      </c>
      <c r="O262" s="2" t="s">
        <v>988</v>
      </c>
      <c r="P262" s="2"/>
      <c r="Q262" s="2"/>
      <c r="R262" s="2">
        <f>IFERROR(VLOOKUP(A262,'[1]Recintos Cochabamba'!A$1:R$838,17,FALSE),0)</f>
        <v>4</v>
      </c>
      <c r="S262" s="3">
        <f>IFERROR(VLOOKUP(A262,'[1]Recintos Cochabamba'!A$1:T$838,18,FALSE),0)</f>
        <v>0.94283265180863096</v>
      </c>
    </row>
    <row r="263" spans="1:19" x14ac:dyDescent="0.25">
      <c r="A263" s="2">
        <v>2037</v>
      </c>
      <c r="B263" s="2" t="s">
        <v>19</v>
      </c>
      <c r="C263" s="2" t="s">
        <v>900</v>
      </c>
      <c r="D263" s="2" t="s">
        <v>978</v>
      </c>
      <c r="E263" s="2" t="s">
        <v>989</v>
      </c>
      <c r="F263" s="2" t="s">
        <v>990</v>
      </c>
      <c r="G263" s="2" t="s">
        <v>991</v>
      </c>
      <c r="H263" s="2" t="s">
        <v>989</v>
      </c>
      <c r="I263" s="2">
        <v>27</v>
      </c>
      <c r="J263" s="2" t="s">
        <v>24</v>
      </c>
      <c r="K263" s="2">
        <v>-17.251200000000001</v>
      </c>
      <c r="L263" s="2">
        <v>-66.6113</v>
      </c>
      <c r="M263" s="2" t="s">
        <v>776</v>
      </c>
      <c r="N263" s="2">
        <v>2037</v>
      </c>
      <c r="O263" s="2" t="s">
        <v>992</v>
      </c>
      <c r="P263" s="2"/>
      <c r="Q263" s="2"/>
      <c r="R263" s="2">
        <f>IFERROR(VLOOKUP(A263,'[1]Recintos Cochabamba'!A$1:R$838,17,FALSE),0)</f>
        <v>4</v>
      </c>
      <c r="S263" s="3">
        <v>0</v>
      </c>
    </row>
    <row r="264" spans="1:19" x14ac:dyDescent="0.25">
      <c r="A264" s="2">
        <v>2038</v>
      </c>
      <c r="B264" s="2" t="s">
        <v>19</v>
      </c>
      <c r="C264" s="2" t="s">
        <v>900</v>
      </c>
      <c r="D264" s="2" t="s">
        <v>978</v>
      </c>
      <c r="E264" s="2" t="s">
        <v>993</v>
      </c>
      <c r="F264" s="2" t="s">
        <v>994</v>
      </c>
      <c r="G264" s="2" t="s">
        <v>995</v>
      </c>
      <c r="H264" s="2" t="s">
        <v>993</v>
      </c>
      <c r="I264" s="2">
        <v>27</v>
      </c>
      <c r="J264" s="2" t="s">
        <v>24</v>
      </c>
      <c r="K264" s="2">
        <v>-17.2117</v>
      </c>
      <c r="L264" s="2">
        <v>-66.656400000000005</v>
      </c>
      <c r="M264" s="2" t="s">
        <v>776</v>
      </c>
      <c r="N264" s="2">
        <v>2038</v>
      </c>
      <c r="O264" s="2" t="s">
        <v>996</v>
      </c>
      <c r="P264" s="2"/>
      <c r="Q264" s="2"/>
      <c r="R264" s="2">
        <f>IFERROR(VLOOKUP(A264,'[1]Recintos Cochabamba'!A$1:R$838,17,FALSE),0)</f>
        <v>4</v>
      </c>
      <c r="S264" s="3">
        <v>0</v>
      </c>
    </row>
    <row r="265" spans="1:19" x14ac:dyDescent="0.25">
      <c r="A265" s="2">
        <v>2039</v>
      </c>
      <c r="B265" s="2" t="s">
        <v>19</v>
      </c>
      <c r="C265" s="2" t="s">
        <v>900</v>
      </c>
      <c r="D265" s="2" t="s">
        <v>978</v>
      </c>
      <c r="E265" s="2" t="s">
        <v>997</v>
      </c>
      <c r="F265" s="2" t="s">
        <v>998</v>
      </c>
      <c r="G265" s="2" t="s">
        <v>991</v>
      </c>
      <c r="H265" s="2" t="s">
        <v>999</v>
      </c>
      <c r="I265" s="2">
        <v>27</v>
      </c>
      <c r="J265" s="2" t="s">
        <v>24</v>
      </c>
      <c r="K265" s="2">
        <v>-17.3095</v>
      </c>
      <c r="L265" s="2">
        <v>-66.551699999999997</v>
      </c>
      <c r="M265" s="2" t="s">
        <v>776</v>
      </c>
      <c r="N265" s="2">
        <v>2039</v>
      </c>
      <c r="O265" s="2" t="s">
        <v>1000</v>
      </c>
      <c r="P265" s="2"/>
      <c r="Q265" s="2"/>
      <c r="R265" s="2">
        <f>IFERROR(VLOOKUP(A265,'[1]Recintos Cochabamba'!A$1:R$838,17,FALSE),0)</f>
        <v>4</v>
      </c>
      <c r="S265" s="3">
        <v>0</v>
      </c>
    </row>
    <row r="266" spans="1:19" x14ac:dyDescent="0.25">
      <c r="A266" s="2">
        <v>2040</v>
      </c>
      <c r="B266" s="2" t="s">
        <v>19</v>
      </c>
      <c r="C266" s="2" t="s">
        <v>900</v>
      </c>
      <c r="D266" s="2" t="s">
        <v>978</v>
      </c>
      <c r="E266" s="2" t="s">
        <v>1001</v>
      </c>
      <c r="F266" s="2" t="s">
        <v>1002</v>
      </c>
      <c r="G266" s="2" t="s">
        <v>1003</v>
      </c>
      <c r="H266" s="2" t="s">
        <v>1001</v>
      </c>
      <c r="I266" s="2">
        <v>27</v>
      </c>
      <c r="J266" s="2" t="s">
        <v>24</v>
      </c>
      <c r="K266" s="2">
        <v>-17.085799999999999</v>
      </c>
      <c r="L266" s="2">
        <v>-66.662400000000005</v>
      </c>
      <c r="M266" s="2" t="s">
        <v>776</v>
      </c>
      <c r="N266" s="2">
        <v>2040</v>
      </c>
      <c r="O266" s="2" t="s">
        <v>1004</v>
      </c>
      <c r="P266" s="2"/>
      <c r="Q266" s="2"/>
      <c r="R266" s="2">
        <f>IFERROR(VLOOKUP(A266,'[1]Recintos Cochabamba'!A$1:R$838,17,FALSE),0)</f>
        <v>1</v>
      </c>
      <c r="S266" s="3">
        <f>IFERROR(VLOOKUP(A266,'[1]Recintos Cochabamba'!A$1:T$838,18,FALSE),0)</f>
        <v>0.92741935483870963</v>
      </c>
    </row>
    <row r="267" spans="1:19" x14ac:dyDescent="0.25">
      <c r="A267" s="2">
        <v>2041</v>
      </c>
      <c r="B267" s="2" t="s">
        <v>19</v>
      </c>
      <c r="C267" s="2" t="s">
        <v>900</v>
      </c>
      <c r="D267" s="2" t="s">
        <v>978</v>
      </c>
      <c r="E267" s="2" t="s">
        <v>1005</v>
      </c>
      <c r="F267" s="2" t="s">
        <v>1006</v>
      </c>
      <c r="G267" s="2" t="s">
        <v>980</v>
      </c>
      <c r="H267" s="2" t="s">
        <v>1005</v>
      </c>
      <c r="I267" s="2">
        <v>27</v>
      </c>
      <c r="J267" s="2" t="s">
        <v>24</v>
      </c>
      <c r="K267" s="2">
        <v>-17.310099999999998</v>
      </c>
      <c r="L267" s="2">
        <v>-66.503600000000006</v>
      </c>
      <c r="M267" s="2" t="s">
        <v>776</v>
      </c>
      <c r="N267" s="2">
        <v>2041</v>
      </c>
      <c r="O267" s="2" t="s">
        <v>1007</v>
      </c>
      <c r="P267" s="2"/>
      <c r="Q267" s="2"/>
      <c r="R267" s="2">
        <f>IFERROR(VLOOKUP(A267,'[1]Recintos Cochabamba'!A$1:R$838,17,FALSE),0)</f>
        <v>1</v>
      </c>
      <c r="S267" s="3">
        <f>IFERROR(VLOOKUP(A267,'[1]Recintos Cochabamba'!A$1:T$838,18,FALSE),0)</f>
        <v>0.93</v>
      </c>
    </row>
    <row r="268" spans="1:19" x14ac:dyDescent="0.25">
      <c r="A268" s="2">
        <v>2042</v>
      </c>
      <c r="B268" s="2" t="s">
        <v>19</v>
      </c>
      <c r="C268" s="2" t="s">
        <v>900</v>
      </c>
      <c r="D268" s="2" t="s">
        <v>978</v>
      </c>
      <c r="E268" s="2" t="s">
        <v>1008</v>
      </c>
      <c r="F268" s="2" t="s">
        <v>1009</v>
      </c>
      <c r="G268" s="2" t="s">
        <v>1003</v>
      </c>
      <c r="H268" s="2" t="s">
        <v>1010</v>
      </c>
      <c r="I268" s="2">
        <v>27</v>
      </c>
      <c r="J268" s="2" t="s">
        <v>24</v>
      </c>
      <c r="K268" s="2">
        <v>-17.102</v>
      </c>
      <c r="L268" s="2">
        <v>-66.556200000000004</v>
      </c>
      <c r="M268" s="2" t="s">
        <v>776</v>
      </c>
      <c r="N268" s="2">
        <v>2042</v>
      </c>
      <c r="O268" s="2" t="s">
        <v>1011</v>
      </c>
      <c r="P268" s="2"/>
      <c r="Q268" s="2"/>
      <c r="R268" s="2">
        <f>IFERROR(VLOOKUP(A268,'[1]Recintos Cochabamba'!A$1:R$838,17,FALSE),0)</f>
        <v>2</v>
      </c>
      <c r="S268" s="3">
        <f>IFERROR(VLOOKUP(A268,'[1]Recintos Cochabamba'!A$1:T$838,18,FALSE),0)</f>
        <v>0.9062823085811591</v>
      </c>
    </row>
    <row r="269" spans="1:19" x14ac:dyDescent="0.25">
      <c r="A269" s="2">
        <v>2043</v>
      </c>
      <c r="B269" s="2" t="s">
        <v>19</v>
      </c>
      <c r="C269" s="2" t="s">
        <v>900</v>
      </c>
      <c r="D269" s="2" t="s">
        <v>978</v>
      </c>
      <c r="E269" s="2" t="s">
        <v>1012</v>
      </c>
      <c r="F269" s="2" t="s">
        <v>1013</v>
      </c>
      <c r="G269" s="2" t="s">
        <v>980</v>
      </c>
      <c r="H269" s="2" t="s">
        <v>1014</v>
      </c>
      <c r="I269" s="2">
        <v>27</v>
      </c>
      <c r="J269" s="2" t="s">
        <v>24</v>
      </c>
      <c r="K269" s="2">
        <v>-17.208449999999999</v>
      </c>
      <c r="L269" s="2">
        <v>-66.589944000000003</v>
      </c>
      <c r="M269" s="2" t="s">
        <v>776</v>
      </c>
      <c r="N269" s="2">
        <v>2043</v>
      </c>
      <c r="O269" s="2" t="s">
        <v>1015</v>
      </c>
      <c r="P269" s="2"/>
      <c r="Q269" s="2"/>
      <c r="R269" s="2">
        <f>IFERROR(VLOOKUP(A269,'[1]Recintos Cochabamba'!A$1:R$838,17,FALSE),0)</f>
        <v>1</v>
      </c>
      <c r="S269" s="3">
        <f>IFERROR(VLOOKUP(A269,'[1]Recintos Cochabamba'!A$1:T$838,18,FALSE),0)</f>
        <v>0.95424836601307195</v>
      </c>
    </row>
    <row r="270" spans="1:19" x14ac:dyDescent="0.25">
      <c r="A270" s="2">
        <v>2044</v>
      </c>
      <c r="B270" s="2" t="s">
        <v>19</v>
      </c>
      <c r="C270" s="2" t="s">
        <v>900</v>
      </c>
      <c r="D270" s="2" t="s">
        <v>978</v>
      </c>
      <c r="E270" s="2" t="s">
        <v>1016</v>
      </c>
      <c r="F270" s="2" t="s">
        <v>1017</v>
      </c>
      <c r="G270" s="2" t="s">
        <v>1003</v>
      </c>
      <c r="H270" s="2" t="s">
        <v>1018</v>
      </c>
      <c r="I270" s="2">
        <v>27</v>
      </c>
      <c r="J270" s="2" t="s">
        <v>24</v>
      </c>
      <c r="K270" s="2">
        <v>-17.152000000000001</v>
      </c>
      <c r="L270" s="2">
        <v>-66.531000000000006</v>
      </c>
      <c r="M270" s="2" t="s">
        <v>25</v>
      </c>
      <c r="N270" s="2">
        <v>2044</v>
      </c>
      <c r="O270" s="2" t="s">
        <v>1019</v>
      </c>
      <c r="P270" s="2"/>
      <c r="Q270" s="2"/>
      <c r="R270" s="2">
        <f>IFERROR(VLOOKUP(A270,'[1]Recintos Cochabamba'!A$1:R$838,17,FALSE),0)</f>
        <v>1</v>
      </c>
      <c r="S270" s="3">
        <f>IFERROR(VLOOKUP(A270,'[1]Recintos Cochabamba'!A$1:T$838,18,FALSE),0)</f>
        <v>0.99305555555555558</v>
      </c>
    </row>
    <row r="271" spans="1:19" x14ac:dyDescent="0.25">
      <c r="A271" s="2">
        <v>2045</v>
      </c>
      <c r="B271" s="2" t="s">
        <v>19</v>
      </c>
      <c r="C271" s="2" t="s">
        <v>900</v>
      </c>
      <c r="D271" s="2" t="s">
        <v>978</v>
      </c>
      <c r="E271" s="2" t="s">
        <v>1020</v>
      </c>
      <c r="F271" s="2" t="s">
        <v>1021</v>
      </c>
      <c r="G271" s="2" t="s">
        <v>980</v>
      </c>
      <c r="H271" s="2" t="s">
        <v>1022</v>
      </c>
      <c r="I271" s="2">
        <v>27</v>
      </c>
      <c r="J271" s="2" t="s">
        <v>24</v>
      </c>
      <c r="K271" s="2">
        <v>-17.124251999999998</v>
      </c>
      <c r="L271" s="2">
        <v>-66.609103000000005</v>
      </c>
      <c r="M271" s="2" t="s">
        <v>776</v>
      </c>
      <c r="N271" s="2">
        <v>2045</v>
      </c>
      <c r="O271" s="2" t="s">
        <v>1023</v>
      </c>
      <c r="P271" s="2"/>
      <c r="Q271" s="2"/>
      <c r="R271" s="2">
        <f>IFERROR(VLOOKUP(A271,'[1]Recintos Cochabamba'!A$1:R$838,17,FALSE),0)</f>
        <v>1</v>
      </c>
      <c r="S271" s="3">
        <f>IFERROR(VLOOKUP(A271,'[1]Recintos Cochabamba'!A$1:T$838,18,FALSE),0)</f>
        <v>0.97641509433962259</v>
      </c>
    </row>
    <row r="272" spans="1:19" x14ac:dyDescent="0.25">
      <c r="A272" s="2">
        <v>2046</v>
      </c>
      <c r="B272" s="2" t="s">
        <v>19</v>
      </c>
      <c r="C272" s="2" t="s">
        <v>900</v>
      </c>
      <c r="D272" s="2" t="s">
        <v>1024</v>
      </c>
      <c r="E272" s="2" t="s">
        <v>1024</v>
      </c>
      <c r="F272" s="2" t="s">
        <v>1025</v>
      </c>
      <c r="G272" s="2" t="s">
        <v>1026</v>
      </c>
      <c r="H272" s="2" t="s">
        <v>1024</v>
      </c>
      <c r="I272" s="2">
        <v>27</v>
      </c>
      <c r="J272" s="2" t="s">
        <v>24</v>
      </c>
      <c r="K272" s="2">
        <v>-16.7972</v>
      </c>
      <c r="L272" s="2">
        <v>-66.669799999999995</v>
      </c>
      <c r="M272" s="2" t="s">
        <v>776</v>
      </c>
      <c r="N272" s="2">
        <v>2046</v>
      </c>
      <c r="O272" s="2" t="s">
        <v>1027</v>
      </c>
      <c r="P272" s="2"/>
      <c r="Q272" s="2"/>
      <c r="R272" s="2">
        <f>IFERROR(VLOOKUP(A272,'[1]Recintos Cochabamba'!A$1:R$838,17,FALSE),0)</f>
        <v>2</v>
      </c>
      <c r="S272" s="3">
        <v>0</v>
      </c>
    </row>
    <row r="273" spans="1:19" x14ac:dyDescent="0.25">
      <c r="A273" s="2">
        <v>2047</v>
      </c>
      <c r="B273" s="2" t="s">
        <v>19</v>
      </c>
      <c r="C273" s="2" t="s">
        <v>900</v>
      </c>
      <c r="D273" s="2" t="s">
        <v>1024</v>
      </c>
      <c r="E273" s="2" t="s">
        <v>1028</v>
      </c>
      <c r="F273" s="2" t="s">
        <v>1029</v>
      </c>
      <c r="G273" s="2" t="s">
        <v>1030</v>
      </c>
      <c r="H273" s="2" t="s">
        <v>1028</v>
      </c>
      <c r="I273" s="2">
        <v>27</v>
      </c>
      <c r="J273" s="2" t="s">
        <v>24</v>
      </c>
      <c r="K273" s="2">
        <v>-17.020399999999999</v>
      </c>
      <c r="L273" s="2">
        <v>-66.342200000000005</v>
      </c>
      <c r="M273" s="2" t="s">
        <v>776</v>
      </c>
      <c r="N273" s="2">
        <v>2047</v>
      </c>
      <c r="O273" s="2" t="s">
        <v>1031</v>
      </c>
      <c r="P273" s="2"/>
      <c r="Q273" s="2"/>
      <c r="R273" s="2">
        <f>IFERROR(VLOOKUP(A273,'[1]Recintos Cochabamba'!A$1:R$838,17,FALSE),0)</f>
        <v>2</v>
      </c>
      <c r="S273" s="3">
        <v>0</v>
      </c>
    </row>
    <row r="274" spans="1:19" x14ac:dyDescent="0.25">
      <c r="A274" s="2">
        <v>2048</v>
      </c>
      <c r="B274" s="2" t="s">
        <v>19</v>
      </c>
      <c r="C274" s="2" t="s">
        <v>900</v>
      </c>
      <c r="D274" s="2" t="s">
        <v>1024</v>
      </c>
      <c r="E274" s="2" t="s">
        <v>1032</v>
      </c>
      <c r="F274" s="2" t="s">
        <v>1033</v>
      </c>
      <c r="G274" s="2" t="s">
        <v>1030</v>
      </c>
      <c r="H274" s="2" t="s">
        <v>1032</v>
      </c>
      <c r="I274" s="2">
        <v>27</v>
      </c>
      <c r="J274" s="2" t="s">
        <v>24</v>
      </c>
      <c r="K274" s="2">
        <v>-17.107399999999998</v>
      </c>
      <c r="L274" s="2">
        <v>-66.457599999999999</v>
      </c>
      <c r="M274" s="2" t="s">
        <v>25</v>
      </c>
      <c r="N274" s="2">
        <v>2048</v>
      </c>
      <c r="O274" s="2" t="s">
        <v>1034</v>
      </c>
      <c r="P274" s="2"/>
      <c r="Q274" s="2"/>
      <c r="R274" s="2">
        <f>IFERROR(VLOOKUP(A274,'[1]Recintos Cochabamba'!A$1:R$838,17,FALSE),0)</f>
        <v>1</v>
      </c>
      <c r="S274" s="3">
        <v>0</v>
      </c>
    </row>
    <row r="275" spans="1:19" x14ac:dyDescent="0.25">
      <c r="A275" s="2">
        <v>2049</v>
      </c>
      <c r="B275" s="2" t="s">
        <v>19</v>
      </c>
      <c r="C275" s="2" t="s">
        <v>900</v>
      </c>
      <c r="D275" s="2" t="s">
        <v>1024</v>
      </c>
      <c r="E275" s="2" t="s">
        <v>1035</v>
      </c>
      <c r="F275" s="2" t="s">
        <v>1036</v>
      </c>
      <c r="G275" s="2" t="s">
        <v>1030</v>
      </c>
      <c r="H275" s="2" t="s">
        <v>1035</v>
      </c>
      <c r="I275" s="2">
        <v>27</v>
      </c>
      <c r="J275" s="2" t="s">
        <v>24</v>
      </c>
      <c r="K275" s="2">
        <v>-17.0123</v>
      </c>
      <c r="L275" s="2">
        <v>-66.552700000000002</v>
      </c>
      <c r="M275" s="2" t="s">
        <v>776</v>
      </c>
      <c r="N275" s="2">
        <v>2049</v>
      </c>
      <c r="O275" s="2" t="s">
        <v>1037</v>
      </c>
      <c r="P275" s="2"/>
      <c r="Q275" s="2"/>
      <c r="R275" s="2">
        <f>IFERROR(VLOOKUP(A275,'[1]Recintos Cochabamba'!A$1:R$838,17,FALSE),0)</f>
        <v>3</v>
      </c>
      <c r="S275" s="3">
        <v>0</v>
      </c>
    </row>
    <row r="276" spans="1:19" x14ac:dyDescent="0.25">
      <c r="A276" s="2">
        <v>2050</v>
      </c>
      <c r="B276" s="2" t="s">
        <v>19</v>
      </c>
      <c r="C276" s="2" t="s">
        <v>900</v>
      </c>
      <c r="D276" s="2" t="s">
        <v>1024</v>
      </c>
      <c r="E276" s="2" t="s">
        <v>1038</v>
      </c>
      <c r="F276" s="2" t="s">
        <v>1039</v>
      </c>
      <c r="G276" s="2" t="s">
        <v>1040</v>
      </c>
      <c r="H276" s="2" t="s">
        <v>1038</v>
      </c>
      <c r="I276" s="2">
        <v>27</v>
      </c>
      <c r="J276" s="2" t="s">
        <v>24</v>
      </c>
      <c r="K276" s="2">
        <v>-16.7941</v>
      </c>
      <c r="L276" s="2">
        <v>-66.6511</v>
      </c>
      <c r="M276" s="2" t="s">
        <v>776</v>
      </c>
      <c r="N276" s="2">
        <v>2050</v>
      </c>
      <c r="O276" s="2" t="s">
        <v>1041</v>
      </c>
      <c r="P276" s="2"/>
      <c r="Q276" s="2"/>
      <c r="R276" s="2">
        <f>IFERROR(VLOOKUP(A276,'[1]Recintos Cochabamba'!A$1:R$838,17,FALSE),0)</f>
        <v>4</v>
      </c>
      <c r="S276" s="3">
        <v>0</v>
      </c>
    </row>
    <row r="277" spans="1:19" x14ac:dyDescent="0.25">
      <c r="A277" s="2">
        <v>2051</v>
      </c>
      <c r="B277" s="2" t="s">
        <v>19</v>
      </c>
      <c r="C277" s="2" t="s">
        <v>900</v>
      </c>
      <c r="D277" s="2" t="s">
        <v>1024</v>
      </c>
      <c r="E277" s="2" t="s">
        <v>1042</v>
      </c>
      <c r="F277" s="2" t="s">
        <v>1043</v>
      </c>
      <c r="G277" s="2" t="s">
        <v>1030</v>
      </c>
      <c r="H277" s="2" t="s">
        <v>1044</v>
      </c>
      <c r="I277" s="2">
        <v>27</v>
      </c>
      <c r="J277" s="2" t="s">
        <v>24</v>
      </c>
      <c r="K277" s="2">
        <v>-16.932606</v>
      </c>
      <c r="L277" s="2">
        <v>-66.739352999999994</v>
      </c>
      <c r="M277" s="2" t="s">
        <v>776</v>
      </c>
      <c r="N277" s="2">
        <v>2051</v>
      </c>
      <c r="O277" s="2" t="s">
        <v>1045</v>
      </c>
      <c r="P277" s="2"/>
      <c r="Q277" s="2"/>
      <c r="R277" s="2">
        <f>IFERROR(VLOOKUP(A277,'[1]Recintos Cochabamba'!A$1:R$838,17,FALSE),0)</f>
        <v>3</v>
      </c>
      <c r="S277" s="3">
        <v>0</v>
      </c>
    </row>
    <row r="278" spans="1:19" x14ac:dyDescent="0.25">
      <c r="A278" s="2">
        <v>2052</v>
      </c>
      <c r="B278" s="2" t="s">
        <v>19</v>
      </c>
      <c r="C278" s="2" t="s">
        <v>900</v>
      </c>
      <c r="D278" s="2" t="s">
        <v>1024</v>
      </c>
      <c r="E278" s="2" t="s">
        <v>1046</v>
      </c>
      <c r="F278" s="2" t="s">
        <v>1047</v>
      </c>
      <c r="G278" s="2" t="s">
        <v>1048</v>
      </c>
      <c r="H278" s="2" t="s">
        <v>1046</v>
      </c>
      <c r="I278" s="2">
        <v>27</v>
      </c>
      <c r="J278" s="2" t="s">
        <v>24</v>
      </c>
      <c r="K278" s="2">
        <v>-16.846800000000002</v>
      </c>
      <c r="L278" s="2">
        <v>-66.467500000000001</v>
      </c>
      <c r="M278" s="2" t="s">
        <v>776</v>
      </c>
      <c r="N278" s="2">
        <v>2052</v>
      </c>
      <c r="O278" s="2" t="s">
        <v>1049</v>
      </c>
      <c r="P278" s="2"/>
      <c r="Q278" s="2"/>
      <c r="R278" s="2">
        <f>IFERROR(VLOOKUP(A278,'[1]Recintos Cochabamba'!A$1:R$838,17,FALSE),0)</f>
        <v>4</v>
      </c>
      <c r="S278" s="3">
        <v>0</v>
      </c>
    </row>
    <row r="279" spans="1:19" x14ac:dyDescent="0.25">
      <c r="A279" s="2">
        <v>2053</v>
      </c>
      <c r="B279" s="2" t="s">
        <v>19</v>
      </c>
      <c r="C279" s="2" t="s">
        <v>900</v>
      </c>
      <c r="D279" s="2" t="s">
        <v>1024</v>
      </c>
      <c r="E279" s="2" t="s">
        <v>1050</v>
      </c>
      <c r="F279" s="2" t="s">
        <v>1051</v>
      </c>
      <c r="G279" s="2" t="s">
        <v>1030</v>
      </c>
      <c r="H279" s="2" t="s">
        <v>1050</v>
      </c>
      <c r="I279" s="2">
        <v>27</v>
      </c>
      <c r="J279" s="2" t="s">
        <v>24</v>
      </c>
      <c r="K279" s="2">
        <v>-16.8523</v>
      </c>
      <c r="L279" s="2">
        <v>-66.598799999999997</v>
      </c>
      <c r="M279" s="2" t="s">
        <v>776</v>
      </c>
      <c r="N279" s="2">
        <v>2053</v>
      </c>
      <c r="O279" s="2" t="s">
        <v>1052</v>
      </c>
      <c r="P279" s="2"/>
      <c r="Q279" s="2"/>
      <c r="R279" s="2">
        <f>IFERROR(VLOOKUP(A279,'[1]Recintos Cochabamba'!A$1:R$838,17,FALSE),0)</f>
        <v>1</v>
      </c>
      <c r="S279" s="3">
        <v>0</v>
      </c>
    </row>
    <row r="280" spans="1:19" x14ac:dyDescent="0.25">
      <c r="A280" s="2">
        <v>2054</v>
      </c>
      <c r="B280" s="2" t="s">
        <v>19</v>
      </c>
      <c r="C280" s="2" t="s">
        <v>900</v>
      </c>
      <c r="D280" s="2" t="s">
        <v>1024</v>
      </c>
      <c r="E280" s="2" t="s">
        <v>1053</v>
      </c>
      <c r="F280" s="2" t="s">
        <v>1054</v>
      </c>
      <c r="G280" s="2" t="s">
        <v>1055</v>
      </c>
      <c r="H280" s="2" t="s">
        <v>1053</v>
      </c>
      <c r="I280" s="2">
        <v>27</v>
      </c>
      <c r="J280" s="2" t="s">
        <v>24</v>
      </c>
      <c r="K280" s="2">
        <v>-16.838699999999999</v>
      </c>
      <c r="L280" s="2">
        <v>-66.630700000000004</v>
      </c>
      <c r="M280" s="2" t="s">
        <v>776</v>
      </c>
      <c r="N280" s="2">
        <v>2054</v>
      </c>
      <c r="O280" s="2" t="s">
        <v>1056</v>
      </c>
      <c r="P280" s="2"/>
      <c r="Q280" s="2"/>
      <c r="R280" s="2">
        <f>IFERROR(VLOOKUP(A280,'[1]Recintos Cochabamba'!A$1:R$838,17,FALSE),0)</f>
        <v>2</v>
      </c>
      <c r="S280" s="3">
        <v>0</v>
      </c>
    </row>
    <row r="281" spans="1:19" x14ac:dyDescent="0.25">
      <c r="A281" s="2">
        <v>2055</v>
      </c>
      <c r="B281" s="2" t="s">
        <v>19</v>
      </c>
      <c r="C281" s="2" t="s">
        <v>900</v>
      </c>
      <c r="D281" s="2" t="s">
        <v>1024</v>
      </c>
      <c r="E281" s="2" t="s">
        <v>1057</v>
      </c>
      <c r="F281" s="2" t="s">
        <v>1058</v>
      </c>
      <c r="G281" s="2" t="s">
        <v>1030</v>
      </c>
      <c r="H281" s="2" t="s">
        <v>1057</v>
      </c>
      <c r="I281" s="2">
        <v>27</v>
      </c>
      <c r="J281" s="2" t="s">
        <v>24</v>
      </c>
      <c r="K281" s="2">
        <v>-16.8596</v>
      </c>
      <c r="L281" s="2">
        <v>-66.677300000000002</v>
      </c>
      <c r="M281" s="2" t="s">
        <v>776</v>
      </c>
      <c r="N281" s="2">
        <v>2055</v>
      </c>
      <c r="O281" s="2" t="s">
        <v>1059</v>
      </c>
      <c r="P281" s="2"/>
      <c r="Q281" s="2"/>
      <c r="R281" s="2">
        <f>IFERROR(VLOOKUP(A281,'[1]Recintos Cochabamba'!A$1:R$838,17,FALSE),0)</f>
        <v>2</v>
      </c>
      <c r="S281" s="3">
        <v>0</v>
      </c>
    </row>
    <row r="282" spans="1:19" x14ac:dyDescent="0.25">
      <c r="A282" s="2">
        <v>2056</v>
      </c>
      <c r="B282" s="2" t="s">
        <v>19</v>
      </c>
      <c r="C282" s="2" t="s">
        <v>900</v>
      </c>
      <c r="D282" s="2" t="s">
        <v>1024</v>
      </c>
      <c r="E282" s="2" t="s">
        <v>1060</v>
      </c>
      <c r="F282" s="2" t="s">
        <v>1061</v>
      </c>
      <c r="G282" s="2" t="s">
        <v>1030</v>
      </c>
      <c r="H282" s="2" t="s">
        <v>1060</v>
      </c>
      <c r="I282" s="2">
        <v>27</v>
      </c>
      <c r="J282" s="2" t="s">
        <v>24</v>
      </c>
      <c r="K282" s="2">
        <v>-17.052299999999999</v>
      </c>
      <c r="L282" s="2">
        <v>-66.386700000000005</v>
      </c>
      <c r="M282" s="2" t="s">
        <v>776</v>
      </c>
      <c r="N282" s="2">
        <v>2056</v>
      </c>
      <c r="O282" s="2" t="s">
        <v>1062</v>
      </c>
      <c r="P282" s="2"/>
      <c r="Q282" s="2"/>
      <c r="R282" s="2">
        <f>IFERROR(VLOOKUP(A282,'[1]Recintos Cochabamba'!A$1:R$838,17,FALSE),0)</f>
        <v>1</v>
      </c>
      <c r="S282" s="3">
        <v>0</v>
      </c>
    </row>
    <row r="283" spans="1:19" x14ac:dyDescent="0.25">
      <c r="A283" s="2">
        <v>2057</v>
      </c>
      <c r="B283" s="2" t="s">
        <v>19</v>
      </c>
      <c r="C283" s="2" t="s">
        <v>900</v>
      </c>
      <c r="D283" s="2" t="s">
        <v>1024</v>
      </c>
      <c r="E283" s="2" t="s">
        <v>1063</v>
      </c>
      <c r="F283" s="2" t="s">
        <v>1064</v>
      </c>
      <c r="G283" s="2" t="s">
        <v>1048</v>
      </c>
      <c r="H283" s="2" t="s">
        <v>1063</v>
      </c>
      <c r="I283" s="2">
        <v>27</v>
      </c>
      <c r="J283" s="2" t="s">
        <v>24</v>
      </c>
      <c r="K283" s="2">
        <v>-16.900200000000002</v>
      </c>
      <c r="L283" s="2">
        <v>-66.408600000000007</v>
      </c>
      <c r="M283" s="2" t="s">
        <v>776</v>
      </c>
      <c r="N283" s="2">
        <v>2057</v>
      </c>
      <c r="O283" s="2" t="s">
        <v>1065</v>
      </c>
      <c r="P283" s="2"/>
      <c r="Q283" s="2"/>
      <c r="R283" s="2">
        <f>IFERROR(VLOOKUP(A283,'[1]Recintos Cochabamba'!A$1:R$838,17,FALSE),0)</f>
        <v>5</v>
      </c>
      <c r="S283" s="3">
        <v>0</v>
      </c>
    </row>
    <row r="284" spans="1:19" x14ac:dyDescent="0.25">
      <c r="A284" s="2">
        <v>2058</v>
      </c>
      <c r="B284" s="2" t="s">
        <v>19</v>
      </c>
      <c r="C284" s="2" t="s">
        <v>900</v>
      </c>
      <c r="D284" s="2" t="s">
        <v>1024</v>
      </c>
      <c r="E284" s="2" t="s">
        <v>1066</v>
      </c>
      <c r="F284" s="2" t="s">
        <v>1067</v>
      </c>
      <c r="G284" s="2" t="s">
        <v>1068</v>
      </c>
      <c r="H284" s="2" t="s">
        <v>1066</v>
      </c>
      <c r="I284" s="2">
        <v>27</v>
      </c>
      <c r="J284" s="2" t="s">
        <v>24</v>
      </c>
      <c r="K284" s="2">
        <v>-16.6008</v>
      </c>
      <c r="L284" s="2">
        <v>-66.714600000000004</v>
      </c>
      <c r="M284" s="2" t="s">
        <v>776</v>
      </c>
      <c r="N284" s="2">
        <v>2058</v>
      </c>
      <c r="O284" s="2" t="s">
        <v>1069</v>
      </c>
      <c r="P284" s="2"/>
      <c r="Q284" s="2"/>
      <c r="R284" s="2">
        <f>IFERROR(VLOOKUP(A284,'[1]Recintos Cochabamba'!A$1:R$838,17,FALSE),0)</f>
        <v>2</v>
      </c>
      <c r="S284" s="3">
        <v>0</v>
      </c>
    </row>
    <row r="285" spans="1:19" x14ac:dyDescent="0.25">
      <c r="A285" s="2">
        <v>2059</v>
      </c>
      <c r="B285" s="2" t="s">
        <v>19</v>
      </c>
      <c r="C285" s="2" t="s">
        <v>900</v>
      </c>
      <c r="D285" s="2" t="s">
        <v>1024</v>
      </c>
      <c r="E285" s="2" t="s">
        <v>1070</v>
      </c>
      <c r="F285" s="2" t="s">
        <v>1071</v>
      </c>
      <c r="G285" s="2" t="s">
        <v>1030</v>
      </c>
      <c r="H285" s="2" t="s">
        <v>1070</v>
      </c>
      <c r="I285" s="2">
        <v>27</v>
      </c>
      <c r="J285" s="2" t="s">
        <v>24</v>
      </c>
      <c r="K285" s="2">
        <v>-16.942799999999998</v>
      </c>
      <c r="L285" s="2">
        <v>-66.604900000000001</v>
      </c>
      <c r="M285" s="2" t="s">
        <v>776</v>
      </c>
      <c r="N285" s="2">
        <v>2059</v>
      </c>
      <c r="O285" s="2" t="s">
        <v>1072</v>
      </c>
      <c r="P285" s="2"/>
      <c r="Q285" s="2"/>
      <c r="R285" s="2">
        <f>IFERROR(VLOOKUP(A285,'[1]Recintos Cochabamba'!A$1:R$838,17,FALSE),0)</f>
        <v>1</v>
      </c>
      <c r="S285" s="3">
        <v>0</v>
      </c>
    </row>
    <row r="286" spans="1:19" x14ac:dyDescent="0.25">
      <c r="A286" s="2">
        <v>2060</v>
      </c>
      <c r="B286" s="2" t="s">
        <v>19</v>
      </c>
      <c r="C286" s="2" t="s">
        <v>900</v>
      </c>
      <c r="D286" s="2" t="s">
        <v>1024</v>
      </c>
      <c r="E286" s="2" t="s">
        <v>1073</v>
      </c>
      <c r="F286" s="2" t="s">
        <v>1074</v>
      </c>
      <c r="G286" s="2" t="s">
        <v>1075</v>
      </c>
      <c r="H286" s="2" t="s">
        <v>1073</v>
      </c>
      <c r="I286" s="2">
        <v>27</v>
      </c>
      <c r="J286" s="2" t="s">
        <v>24</v>
      </c>
      <c r="K286" s="2">
        <v>-15.8841</v>
      </c>
      <c r="L286" s="2">
        <v>-66.8797</v>
      </c>
      <c r="M286" s="2" t="s">
        <v>776</v>
      </c>
      <c r="N286" s="2">
        <v>2060</v>
      </c>
      <c r="O286" s="2" t="s">
        <v>1076</v>
      </c>
      <c r="P286" s="2"/>
      <c r="Q286" s="2"/>
      <c r="R286" s="2">
        <f>IFERROR(VLOOKUP(A286,'[1]Recintos Cochabamba'!A$1:R$838,17,FALSE),0)</f>
        <v>2</v>
      </c>
      <c r="S286" s="3">
        <v>0</v>
      </c>
    </row>
    <row r="287" spans="1:19" x14ac:dyDescent="0.25">
      <c r="A287" s="2">
        <v>2061</v>
      </c>
      <c r="B287" s="2" t="s">
        <v>19</v>
      </c>
      <c r="C287" s="2" t="s">
        <v>900</v>
      </c>
      <c r="D287" s="2" t="s">
        <v>1024</v>
      </c>
      <c r="E287" s="2" t="s">
        <v>1077</v>
      </c>
      <c r="F287" s="2" t="s">
        <v>1078</v>
      </c>
      <c r="G287" s="2" t="s">
        <v>1030</v>
      </c>
      <c r="H287" s="2" t="s">
        <v>1077</v>
      </c>
      <c r="I287" s="2">
        <v>27</v>
      </c>
      <c r="J287" s="2" t="s">
        <v>24</v>
      </c>
      <c r="K287" s="2">
        <v>-17.0137</v>
      </c>
      <c r="L287" s="2">
        <v>-66.3917</v>
      </c>
      <c r="M287" s="2" t="s">
        <v>776</v>
      </c>
      <c r="N287" s="2">
        <v>2061</v>
      </c>
      <c r="O287" s="2" t="s">
        <v>1079</v>
      </c>
      <c r="P287" s="2"/>
      <c r="Q287" s="2"/>
      <c r="R287" s="2">
        <f>IFERROR(VLOOKUP(A287,'[1]Recintos Cochabamba'!A$1:R$838,17,FALSE),0)</f>
        <v>3</v>
      </c>
      <c r="S287" s="3">
        <v>0</v>
      </c>
    </row>
    <row r="288" spans="1:19" x14ac:dyDescent="0.25">
      <c r="A288" s="2">
        <v>2062</v>
      </c>
      <c r="B288" s="2" t="s">
        <v>19</v>
      </c>
      <c r="C288" s="2" t="s">
        <v>900</v>
      </c>
      <c r="D288" s="2" t="s">
        <v>1024</v>
      </c>
      <c r="E288" s="2" t="s">
        <v>1080</v>
      </c>
      <c r="F288" s="2" t="s">
        <v>1081</v>
      </c>
      <c r="G288" s="2" t="s">
        <v>1082</v>
      </c>
      <c r="H288" s="2" t="s">
        <v>1083</v>
      </c>
      <c r="I288" s="2">
        <v>27</v>
      </c>
      <c r="J288" s="2" t="s">
        <v>24</v>
      </c>
      <c r="K288" s="2">
        <v>-16.4755</v>
      </c>
      <c r="L288" s="2">
        <v>-66.784199999999998</v>
      </c>
      <c r="M288" s="2" t="s">
        <v>25</v>
      </c>
      <c r="N288" s="2">
        <v>2062</v>
      </c>
      <c r="O288" s="2" t="s">
        <v>1084</v>
      </c>
      <c r="P288" s="2"/>
      <c r="Q288" s="2"/>
      <c r="R288" s="2">
        <f>IFERROR(VLOOKUP(A288,'[1]Recintos Cochabamba'!A$1:R$838,17,FALSE),0)</f>
        <v>2</v>
      </c>
      <c r="S288" s="3">
        <v>0</v>
      </c>
    </row>
    <row r="289" spans="1:19" x14ac:dyDescent="0.25">
      <c r="A289" s="2">
        <v>2063</v>
      </c>
      <c r="B289" s="2" t="s">
        <v>19</v>
      </c>
      <c r="C289" s="2" t="s">
        <v>900</v>
      </c>
      <c r="D289" s="2" t="s">
        <v>1024</v>
      </c>
      <c r="E289" s="2" t="s">
        <v>1085</v>
      </c>
      <c r="F289" s="2" t="s">
        <v>1086</v>
      </c>
      <c r="G289" s="2" t="s">
        <v>1048</v>
      </c>
      <c r="H289" s="2" t="s">
        <v>1087</v>
      </c>
      <c r="I289" s="2">
        <v>27</v>
      </c>
      <c r="J289" s="2" t="s">
        <v>24</v>
      </c>
      <c r="K289" s="2">
        <v>-16.733309999999999</v>
      </c>
      <c r="L289" s="2">
        <v>-66.544415999999998</v>
      </c>
      <c r="M289" s="2" t="s">
        <v>25</v>
      </c>
      <c r="N289" s="2">
        <v>2063</v>
      </c>
      <c r="O289" s="2" t="s">
        <v>1088</v>
      </c>
      <c r="P289" s="2"/>
      <c r="Q289" s="2"/>
      <c r="R289" s="2">
        <f>IFERROR(VLOOKUP(A289,'[1]Recintos Cochabamba'!A$1:R$838,17,FALSE),0)</f>
        <v>2</v>
      </c>
      <c r="S289" s="3">
        <v>0</v>
      </c>
    </row>
    <row r="290" spans="1:19" x14ac:dyDescent="0.25">
      <c r="A290" s="2">
        <v>2064</v>
      </c>
      <c r="B290" s="2" t="s">
        <v>19</v>
      </c>
      <c r="C290" s="2" t="s">
        <v>900</v>
      </c>
      <c r="D290" s="2" t="s">
        <v>1024</v>
      </c>
      <c r="E290" s="2" t="s">
        <v>1089</v>
      </c>
      <c r="F290" s="2" t="s">
        <v>1090</v>
      </c>
      <c r="G290" s="2" t="s">
        <v>1048</v>
      </c>
      <c r="H290" s="2" t="s">
        <v>1091</v>
      </c>
      <c r="I290" s="2">
        <v>27</v>
      </c>
      <c r="J290" s="2" t="s">
        <v>24</v>
      </c>
      <c r="K290" s="2">
        <v>-16.84187</v>
      </c>
      <c r="L290" s="2">
        <v>-66.519857000000002</v>
      </c>
      <c r="M290" s="2" t="s">
        <v>25</v>
      </c>
      <c r="N290" s="2">
        <v>2064</v>
      </c>
      <c r="O290" s="2" t="s">
        <v>1092</v>
      </c>
      <c r="P290" s="2"/>
      <c r="Q290" s="2"/>
      <c r="R290" s="2">
        <f>IFERROR(VLOOKUP(A290,'[1]Recintos Cochabamba'!A$1:R$838,17,FALSE),0)</f>
        <v>2</v>
      </c>
      <c r="S290" s="3">
        <v>0</v>
      </c>
    </row>
    <row r="291" spans="1:19" x14ac:dyDescent="0.25">
      <c r="A291" s="2">
        <v>2065</v>
      </c>
      <c r="B291" s="2" t="s">
        <v>19</v>
      </c>
      <c r="C291" s="2" t="s">
        <v>900</v>
      </c>
      <c r="D291" s="2" t="s">
        <v>1024</v>
      </c>
      <c r="E291" s="2" t="s">
        <v>1093</v>
      </c>
      <c r="F291" s="2" t="s">
        <v>1094</v>
      </c>
      <c r="G291" s="2" t="s">
        <v>1030</v>
      </c>
      <c r="H291" s="2" t="s">
        <v>1095</v>
      </c>
      <c r="I291" s="2">
        <v>27</v>
      </c>
      <c r="J291" s="2" t="s">
        <v>24</v>
      </c>
      <c r="K291" s="2">
        <v>-16.994074999999999</v>
      </c>
      <c r="L291" s="2">
        <v>-66.688506000000004</v>
      </c>
      <c r="M291" s="2" t="s">
        <v>776</v>
      </c>
      <c r="N291" s="2">
        <v>2065</v>
      </c>
      <c r="O291" s="2" t="s">
        <v>1096</v>
      </c>
      <c r="P291" s="2"/>
      <c r="Q291" s="2"/>
      <c r="R291" s="2">
        <f>IFERROR(VLOOKUP(A291,'[1]Recintos Cochabamba'!A$1:R$838,17,FALSE),0)</f>
        <v>1</v>
      </c>
      <c r="S291" s="3">
        <v>0</v>
      </c>
    </row>
    <row r="292" spans="1:19" x14ac:dyDescent="0.25">
      <c r="A292" s="2">
        <v>2066</v>
      </c>
      <c r="B292" s="2" t="s">
        <v>19</v>
      </c>
      <c r="C292" s="2" t="s">
        <v>900</v>
      </c>
      <c r="D292" s="2" t="s">
        <v>1024</v>
      </c>
      <c r="E292" s="2" t="s">
        <v>1097</v>
      </c>
      <c r="F292" s="2" t="s">
        <v>1098</v>
      </c>
      <c r="G292" s="2" t="s">
        <v>1099</v>
      </c>
      <c r="H292" s="2" t="s">
        <v>1100</v>
      </c>
      <c r="I292" s="2">
        <v>27</v>
      </c>
      <c r="J292" s="2" t="s">
        <v>24</v>
      </c>
      <c r="K292" s="2">
        <v>-16.711164</v>
      </c>
      <c r="L292" s="2">
        <v>-66.587474999999998</v>
      </c>
      <c r="M292" s="2" t="s">
        <v>776</v>
      </c>
      <c r="N292" s="2">
        <v>2066</v>
      </c>
      <c r="O292" s="2" t="s">
        <v>1101</v>
      </c>
      <c r="P292" s="2"/>
      <c r="Q292" s="2"/>
      <c r="R292" s="2">
        <f>IFERROR(VLOOKUP(A292,'[1]Recintos Cochabamba'!A$1:R$838,17,FALSE),0)</f>
        <v>1</v>
      </c>
      <c r="S292" s="3">
        <v>0</v>
      </c>
    </row>
    <row r="293" spans="1:19" x14ac:dyDescent="0.25">
      <c r="A293" s="2">
        <v>2067</v>
      </c>
      <c r="B293" s="2" t="s">
        <v>19</v>
      </c>
      <c r="C293" s="2" t="s">
        <v>900</v>
      </c>
      <c r="D293" s="2" t="s">
        <v>1024</v>
      </c>
      <c r="E293" s="2" t="s">
        <v>1102</v>
      </c>
      <c r="F293" s="2" t="s">
        <v>1103</v>
      </c>
      <c r="G293" s="2" t="s">
        <v>1099</v>
      </c>
      <c r="H293" s="2" t="s">
        <v>1104</v>
      </c>
      <c r="I293" s="2">
        <v>27</v>
      </c>
      <c r="J293" s="2" t="s">
        <v>24</v>
      </c>
      <c r="K293" s="2">
        <v>-16.775708000000002</v>
      </c>
      <c r="L293" s="2">
        <v>-66.609447000000003</v>
      </c>
      <c r="M293" s="2" t="s">
        <v>776</v>
      </c>
      <c r="N293" s="2">
        <v>2067</v>
      </c>
      <c r="O293" s="2" t="s">
        <v>1105</v>
      </c>
      <c r="P293" s="2"/>
      <c r="Q293" s="2"/>
      <c r="R293" s="2">
        <f>IFERROR(VLOOKUP(A293,'[1]Recintos Cochabamba'!A$1:R$838,17,FALSE),0)</f>
        <v>1</v>
      </c>
      <c r="S293" s="3">
        <v>0</v>
      </c>
    </row>
    <row r="294" spans="1:19" x14ac:dyDescent="0.25">
      <c r="A294" s="2">
        <v>2068</v>
      </c>
      <c r="B294" s="2" t="s">
        <v>19</v>
      </c>
      <c r="C294" s="2" t="s">
        <v>1106</v>
      </c>
      <c r="D294" s="2" t="s">
        <v>1107</v>
      </c>
      <c r="E294" s="2" t="s">
        <v>1107</v>
      </c>
      <c r="F294" s="2" t="s">
        <v>1108</v>
      </c>
      <c r="G294" s="2" t="s">
        <v>1109</v>
      </c>
      <c r="H294" s="2" t="s">
        <v>1107</v>
      </c>
      <c r="I294" s="2">
        <v>26</v>
      </c>
      <c r="J294" s="2" t="s">
        <v>24</v>
      </c>
      <c r="K294" s="2">
        <v>-17.608899999999998</v>
      </c>
      <c r="L294" s="2">
        <v>-66.0244</v>
      </c>
      <c r="M294" s="2" t="s">
        <v>776</v>
      </c>
      <c r="N294" s="2">
        <v>2068</v>
      </c>
      <c r="O294" s="2" t="s">
        <v>1110</v>
      </c>
      <c r="P294" s="2"/>
      <c r="Q294" s="2"/>
      <c r="R294" s="2">
        <f>IFERROR(VLOOKUP(A294,'[1]Recintos Cochabamba'!A$1:R$838,17,FALSE),0)</f>
        <v>12</v>
      </c>
      <c r="S294" s="3">
        <f>IFERROR(VLOOKUP(A294,'[1]Recintos Cochabamba'!A$1:T$838,18,FALSE),0)</f>
        <v>0.72568794967833983</v>
      </c>
    </row>
    <row r="295" spans="1:19" x14ac:dyDescent="0.25">
      <c r="A295" s="2">
        <v>2069</v>
      </c>
      <c r="B295" s="2" t="s">
        <v>19</v>
      </c>
      <c r="C295" s="2" t="s">
        <v>1106</v>
      </c>
      <c r="D295" s="2" t="s">
        <v>1107</v>
      </c>
      <c r="E295" s="2" t="s">
        <v>1107</v>
      </c>
      <c r="F295" s="2" t="s">
        <v>1111</v>
      </c>
      <c r="G295" s="2" t="s">
        <v>1109</v>
      </c>
      <c r="H295" s="2" t="s">
        <v>1107</v>
      </c>
      <c r="I295" s="2">
        <v>26</v>
      </c>
      <c r="J295" s="2" t="s">
        <v>24</v>
      </c>
      <c r="K295" s="2">
        <v>-17.613199999999999</v>
      </c>
      <c r="L295" s="2">
        <v>-66.024000000000001</v>
      </c>
      <c r="M295" s="2" t="s">
        <v>25</v>
      </c>
      <c r="N295" s="2">
        <v>2069</v>
      </c>
      <c r="O295" s="2" t="s">
        <v>1112</v>
      </c>
      <c r="P295" s="2"/>
      <c r="Q295" s="2"/>
      <c r="R295" s="2">
        <f>IFERROR(VLOOKUP(A295,'[1]Recintos Cochabamba'!A$1:R$838,17,FALSE),0)</f>
        <v>7</v>
      </c>
      <c r="S295" s="3">
        <f>IFERROR(VLOOKUP(A295,'[1]Recintos Cochabamba'!A$1:T$838,18,FALSE),0)</f>
        <v>0.73414568795936885</v>
      </c>
    </row>
    <row r="296" spans="1:19" x14ac:dyDescent="0.25">
      <c r="A296" s="2">
        <v>2070</v>
      </c>
      <c r="B296" s="2" t="s">
        <v>19</v>
      </c>
      <c r="C296" s="2" t="s">
        <v>1106</v>
      </c>
      <c r="D296" s="2" t="s">
        <v>1107</v>
      </c>
      <c r="E296" s="2" t="s">
        <v>1107</v>
      </c>
      <c r="F296" s="2" t="s">
        <v>1113</v>
      </c>
      <c r="G296" s="2" t="s">
        <v>1109</v>
      </c>
      <c r="H296" s="2" t="s">
        <v>1107</v>
      </c>
      <c r="I296" s="2">
        <v>26</v>
      </c>
      <c r="J296" s="2" t="s">
        <v>24</v>
      </c>
      <c r="K296" s="2">
        <v>-17.610700000000001</v>
      </c>
      <c r="L296" s="2">
        <v>-66.023700000000005</v>
      </c>
      <c r="M296" s="2" t="s">
        <v>776</v>
      </c>
      <c r="N296" s="2">
        <v>2070</v>
      </c>
      <c r="O296" s="2" t="s">
        <v>1114</v>
      </c>
      <c r="P296" s="2"/>
      <c r="Q296" s="2"/>
      <c r="R296" s="2">
        <f>IFERROR(VLOOKUP(A296,'[1]Recintos Cochabamba'!A$1:R$838,17,FALSE),0)</f>
        <v>7</v>
      </c>
      <c r="S296" s="3">
        <f>IFERROR(VLOOKUP(A296,'[1]Recintos Cochabamba'!A$1:T$838,18,FALSE),0)</f>
        <v>0.75754776097081389</v>
      </c>
    </row>
    <row r="297" spans="1:19" x14ac:dyDescent="0.25">
      <c r="A297" s="2">
        <v>2071</v>
      </c>
      <c r="B297" s="2" t="s">
        <v>19</v>
      </c>
      <c r="C297" s="2" t="s">
        <v>1106</v>
      </c>
      <c r="D297" s="2" t="s">
        <v>1107</v>
      </c>
      <c r="E297" s="2" t="s">
        <v>1115</v>
      </c>
      <c r="F297" s="2" t="s">
        <v>1116</v>
      </c>
      <c r="G297" s="2" t="s">
        <v>1117</v>
      </c>
      <c r="H297" s="2" t="s">
        <v>1115</v>
      </c>
      <c r="I297" s="2">
        <v>26</v>
      </c>
      <c r="J297" s="2" t="s">
        <v>24</v>
      </c>
      <c r="K297" s="2">
        <v>-17.6419</v>
      </c>
      <c r="L297" s="2">
        <v>-65.979600000000005</v>
      </c>
      <c r="M297" s="2" t="s">
        <v>776</v>
      </c>
      <c r="N297" s="2">
        <v>2071</v>
      </c>
      <c r="O297" s="2" t="s">
        <v>1118</v>
      </c>
      <c r="P297" s="2"/>
      <c r="Q297" s="2"/>
      <c r="R297" s="2">
        <f>IFERROR(VLOOKUP(A297,'[1]Recintos Cochabamba'!A$1:R$838,17,FALSE),0)</f>
        <v>4</v>
      </c>
      <c r="S297" s="3">
        <f>IFERROR(VLOOKUP(A297,'[1]Recintos Cochabamba'!A$1:T$838,18,FALSE),0)</f>
        <v>0.91445340459819413</v>
      </c>
    </row>
    <row r="298" spans="1:19" x14ac:dyDescent="0.25">
      <c r="A298" s="2">
        <v>2072</v>
      </c>
      <c r="B298" s="2" t="s">
        <v>19</v>
      </c>
      <c r="C298" s="2" t="s">
        <v>1106</v>
      </c>
      <c r="D298" s="2" t="s">
        <v>1107</v>
      </c>
      <c r="E298" s="2" t="s">
        <v>1119</v>
      </c>
      <c r="F298" s="2" t="s">
        <v>1120</v>
      </c>
      <c r="G298" s="2" t="s">
        <v>1121</v>
      </c>
      <c r="H298" s="2" t="s">
        <v>1119</v>
      </c>
      <c r="I298" s="2">
        <v>26</v>
      </c>
      <c r="J298" s="2" t="s">
        <v>24</v>
      </c>
      <c r="K298" s="2">
        <v>-17.615200000000002</v>
      </c>
      <c r="L298" s="2">
        <v>-65.967100000000002</v>
      </c>
      <c r="M298" s="2" t="s">
        <v>776</v>
      </c>
      <c r="N298" s="2">
        <v>2072</v>
      </c>
      <c r="O298" s="2" t="s">
        <v>1122</v>
      </c>
      <c r="P298" s="2"/>
      <c r="Q298" s="2"/>
      <c r="R298" s="2">
        <f>IFERROR(VLOOKUP(A298,'[1]Recintos Cochabamba'!A$1:R$838,17,FALSE),0)</f>
        <v>1</v>
      </c>
      <c r="S298" s="3">
        <f>IFERROR(VLOOKUP(A298,'[1]Recintos Cochabamba'!A$1:T$838,18,FALSE),0)</f>
        <v>0.83098591549295775</v>
      </c>
    </row>
    <row r="299" spans="1:19" x14ac:dyDescent="0.25">
      <c r="A299" s="2">
        <v>2073</v>
      </c>
      <c r="B299" s="2" t="s">
        <v>19</v>
      </c>
      <c r="C299" s="2" t="s">
        <v>1106</v>
      </c>
      <c r="D299" s="2" t="s">
        <v>1107</v>
      </c>
      <c r="E299" s="2" t="s">
        <v>1123</v>
      </c>
      <c r="F299" s="2" t="s">
        <v>1124</v>
      </c>
      <c r="G299" s="2" t="s">
        <v>1125</v>
      </c>
      <c r="H299" s="2" t="s">
        <v>1123</v>
      </c>
      <c r="I299" s="2">
        <v>26</v>
      </c>
      <c r="J299" s="2" t="s">
        <v>24</v>
      </c>
      <c r="K299" s="2">
        <v>-17.754300000000001</v>
      </c>
      <c r="L299" s="2">
        <v>-66.074200000000005</v>
      </c>
      <c r="M299" s="2" t="s">
        <v>776</v>
      </c>
      <c r="N299" s="2">
        <v>2073</v>
      </c>
      <c r="O299" s="2" t="s">
        <v>1126</v>
      </c>
      <c r="P299" s="2"/>
      <c r="Q299" s="2"/>
      <c r="R299" s="2">
        <f>IFERROR(VLOOKUP(A299,'[1]Recintos Cochabamba'!A$1:R$838,17,FALSE),0)</f>
        <v>1</v>
      </c>
      <c r="S299" s="3">
        <f>IFERROR(VLOOKUP(A299,'[1]Recintos Cochabamba'!A$1:T$838,18,FALSE),0)</f>
        <v>0.91477272727272729</v>
      </c>
    </row>
    <row r="300" spans="1:19" x14ac:dyDescent="0.25">
      <c r="A300" s="2">
        <v>2074</v>
      </c>
      <c r="B300" s="2" t="s">
        <v>19</v>
      </c>
      <c r="C300" s="2" t="s">
        <v>1106</v>
      </c>
      <c r="D300" s="2" t="s">
        <v>1107</v>
      </c>
      <c r="E300" s="2" t="s">
        <v>1127</v>
      </c>
      <c r="F300" s="2" t="s">
        <v>1128</v>
      </c>
      <c r="G300" s="2" t="s">
        <v>1129</v>
      </c>
      <c r="H300" s="2" t="s">
        <v>1127</v>
      </c>
      <c r="I300" s="2">
        <v>26</v>
      </c>
      <c r="J300" s="2" t="s">
        <v>24</v>
      </c>
      <c r="K300" s="2">
        <v>-17.638000000000002</v>
      </c>
      <c r="L300" s="2">
        <v>-66.113799999999998</v>
      </c>
      <c r="M300" s="2" t="s">
        <v>776</v>
      </c>
      <c r="N300" s="2">
        <v>2074</v>
      </c>
      <c r="O300" s="2" t="s">
        <v>1130</v>
      </c>
      <c r="P300" s="2"/>
      <c r="Q300" s="2"/>
      <c r="R300" s="2">
        <f>IFERROR(VLOOKUP(A300,'[1]Recintos Cochabamba'!A$1:R$838,17,FALSE),0)</f>
        <v>2</v>
      </c>
      <c r="S300" s="3">
        <f>IFERROR(VLOOKUP(A300,'[1]Recintos Cochabamba'!A$1:T$838,18,FALSE),0)</f>
        <v>0.98653365833107642</v>
      </c>
    </row>
    <row r="301" spans="1:19" x14ac:dyDescent="0.25">
      <c r="A301" s="2">
        <v>2075</v>
      </c>
      <c r="B301" s="2" t="s">
        <v>19</v>
      </c>
      <c r="C301" s="2" t="s">
        <v>1106</v>
      </c>
      <c r="D301" s="2" t="s">
        <v>1131</v>
      </c>
      <c r="E301" s="2" t="s">
        <v>1131</v>
      </c>
      <c r="F301" s="2" t="s">
        <v>1132</v>
      </c>
      <c r="G301" s="2" t="s">
        <v>1133</v>
      </c>
      <c r="H301" s="2" t="s">
        <v>1134</v>
      </c>
      <c r="I301" s="2">
        <v>26</v>
      </c>
      <c r="J301" s="2" t="s">
        <v>24</v>
      </c>
      <c r="K301" s="2">
        <v>-17.782359</v>
      </c>
      <c r="L301" s="2">
        <v>-65.933288000000005</v>
      </c>
      <c r="M301" s="2" t="s">
        <v>25</v>
      </c>
      <c r="N301" s="2">
        <v>2075</v>
      </c>
      <c r="O301" s="2" t="s">
        <v>1135</v>
      </c>
      <c r="P301" s="2"/>
      <c r="Q301" s="2"/>
      <c r="R301" s="2">
        <f>IFERROR(VLOOKUP(A301,'[1]Recintos Cochabamba'!A$1:R$838,17,FALSE),0)</f>
        <v>11</v>
      </c>
      <c r="S301" s="3">
        <v>0</v>
      </c>
    </row>
    <row r="302" spans="1:19" x14ac:dyDescent="0.25">
      <c r="A302" s="2">
        <v>2076</v>
      </c>
      <c r="B302" s="2" t="s">
        <v>19</v>
      </c>
      <c r="C302" s="2" t="s">
        <v>1106</v>
      </c>
      <c r="D302" s="2" t="s">
        <v>1131</v>
      </c>
      <c r="E302" s="2" t="s">
        <v>1136</v>
      </c>
      <c r="F302" s="2" t="s">
        <v>1137</v>
      </c>
      <c r="G302" s="2" t="s">
        <v>1138</v>
      </c>
      <c r="H302" s="2" t="s">
        <v>1136</v>
      </c>
      <c r="I302" s="2">
        <v>26</v>
      </c>
      <c r="J302" s="2" t="s">
        <v>24</v>
      </c>
      <c r="K302" s="2">
        <v>-17.703299999999999</v>
      </c>
      <c r="L302" s="2">
        <v>-65.945700000000002</v>
      </c>
      <c r="M302" s="2" t="s">
        <v>25</v>
      </c>
      <c r="N302" s="2">
        <v>2076</v>
      </c>
      <c r="O302" s="2" t="s">
        <v>1139</v>
      </c>
      <c r="P302" s="2"/>
      <c r="Q302" s="2"/>
      <c r="R302" s="2">
        <f>IFERROR(VLOOKUP(A302,'[1]Recintos Cochabamba'!A$1:R$838,17,FALSE),0)</f>
        <v>1</v>
      </c>
      <c r="S302" s="3">
        <v>0</v>
      </c>
    </row>
    <row r="303" spans="1:19" x14ac:dyDescent="0.25">
      <c r="A303" s="2">
        <v>2077</v>
      </c>
      <c r="B303" s="2" t="s">
        <v>19</v>
      </c>
      <c r="C303" s="2" t="s">
        <v>1106</v>
      </c>
      <c r="D303" s="2" t="s">
        <v>1131</v>
      </c>
      <c r="E303" s="2" t="s">
        <v>1140</v>
      </c>
      <c r="F303" s="2" t="s">
        <v>1141</v>
      </c>
      <c r="G303" s="2" t="s">
        <v>1142</v>
      </c>
      <c r="H303" s="2" t="s">
        <v>1140</v>
      </c>
      <c r="I303" s="2">
        <v>26</v>
      </c>
      <c r="J303" s="2" t="s">
        <v>24</v>
      </c>
      <c r="K303" s="2">
        <v>-17.969000000000001</v>
      </c>
      <c r="L303" s="2">
        <v>-65.856399999999994</v>
      </c>
      <c r="M303" s="2" t="s">
        <v>25</v>
      </c>
      <c r="N303" s="2">
        <v>2077</v>
      </c>
      <c r="O303" s="2" t="s">
        <v>1143</v>
      </c>
      <c r="P303" s="2"/>
      <c r="Q303" s="2"/>
      <c r="R303" s="2">
        <f>IFERROR(VLOOKUP(A303,'[1]Recintos Cochabamba'!A$1:R$838,17,FALSE),0)</f>
        <v>2</v>
      </c>
      <c r="S303" s="3">
        <v>0</v>
      </c>
    </row>
    <row r="304" spans="1:19" x14ac:dyDescent="0.25">
      <c r="A304" s="2">
        <v>2078</v>
      </c>
      <c r="B304" s="2" t="s">
        <v>19</v>
      </c>
      <c r="C304" s="2" t="s">
        <v>1106</v>
      </c>
      <c r="D304" s="2" t="s">
        <v>1131</v>
      </c>
      <c r="E304" s="2" t="s">
        <v>1144</v>
      </c>
      <c r="F304" s="2" t="s">
        <v>1145</v>
      </c>
      <c r="G304" s="2" t="s">
        <v>1146</v>
      </c>
      <c r="H304" s="2" t="s">
        <v>1144</v>
      </c>
      <c r="I304" s="2">
        <v>26</v>
      </c>
      <c r="J304" s="2" t="s">
        <v>24</v>
      </c>
      <c r="K304" s="2">
        <v>-17.8995</v>
      </c>
      <c r="L304" s="2">
        <v>-65.944999999999993</v>
      </c>
      <c r="M304" s="2" t="s">
        <v>776</v>
      </c>
      <c r="N304" s="2">
        <v>2078</v>
      </c>
      <c r="O304" s="2" t="s">
        <v>1147</v>
      </c>
      <c r="P304" s="2"/>
      <c r="Q304" s="2"/>
      <c r="R304" s="2">
        <f>IFERROR(VLOOKUP(A304,'[1]Recintos Cochabamba'!A$1:R$838,17,FALSE),0)</f>
        <v>1</v>
      </c>
      <c r="S304" s="3">
        <v>0</v>
      </c>
    </row>
    <row r="305" spans="1:19" x14ac:dyDescent="0.25">
      <c r="A305" s="2">
        <v>2079</v>
      </c>
      <c r="B305" s="2" t="s">
        <v>19</v>
      </c>
      <c r="C305" s="2" t="s">
        <v>1106</v>
      </c>
      <c r="D305" s="2" t="s">
        <v>1131</v>
      </c>
      <c r="E305" s="2" t="s">
        <v>1148</v>
      </c>
      <c r="F305" s="2" t="s">
        <v>1149</v>
      </c>
      <c r="G305" s="2" t="s">
        <v>1138</v>
      </c>
      <c r="H305" s="2" t="s">
        <v>1148</v>
      </c>
      <c r="I305" s="2">
        <v>26</v>
      </c>
      <c r="J305" s="2" t="s">
        <v>24</v>
      </c>
      <c r="K305" s="2">
        <v>-17.8642</v>
      </c>
      <c r="L305" s="2">
        <v>-65.938500000000005</v>
      </c>
      <c r="M305" s="2" t="s">
        <v>776</v>
      </c>
      <c r="N305" s="2">
        <v>2079</v>
      </c>
      <c r="O305" s="2" t="s">
        <v>1150</v>
      </c>
      <c r="P305" s="2"/>
      <c r="Q305" s="2"/>
      <c r="R305" s="2">
        <f>IFERROR(VLOOKUP(A305,'[1]Recintos Cochabamba'!A$1:R$838,17,FALSE),0)</f>
        <v>1</v>
      </c>
      <c r="S305" s="3">
        <f>IFERROR(VLOOKUP(A305,'[1]Recintos Cochabamba'!A$1:T$838,18,FALSE),0)</f>
        <v>0.94594594594594594</v>
      </c>
    </row>
    <row r="306" spans="1:19" x14ac:dyDescent="0.25">
      <c r="A306" s="2">
        <v>2080</v>
      </c>
      <c r="B306" s="2" t="s">
        <v>19</v>
      </c>
      <c r="C306" s="2" t="s">
        <v>1106</v>
      </c>
      <c r="D306" s="2" t="s">
        <v>1131</v>
      </c>
      <c r="E306" s="2" t="s">
        <v>1151</v>
      </c>
      <c r="F306" s="2" t="s">
        <v>1152</v>
      </c>
      <c r="G306" s="2" t="s">
        <v>1138</v>
      </c>
      <c r="H306" s="2" t="s">
        <v>1153</v>
      </c>
      <c r="I306" s="2">
        <v>26</v>
      </c>
      <c r="J306" s="2" t="s">
        <v>24</v>
      </c>
      <c r="K306" s="2">
        <v>-17.891400000000001</v>
      </c>
      <c r="L306" s="2">
        <v>-65.829099999999997</v>
      </c>
      <c r="M306" s="2" t="s">
        <v>776</v>
      </c>
      <c r="N306" s="2">
        <v>2080</v>
      </c>
      <c r="O306" s="2" t="s">
        <v>1154</v>
      </c>
      <c r="P306" s="2"/>
      <c r="Q306" s="2"/>
      <c r="R306" s="2">
        <f>IFERROR(VLOOKUP(A306,'[1]Recintos Cochabamba'!A$1:R$838,17,FALSE),0)</f>
        <v>1</v>
      </c>
      <c r="S306" s="3">
        <v>0</v>
      </c>
    </row>
    <row r="307" spans="1:19" x14ac:dyDescent="0.25">
      <c r="A307" s="2">
        <v>2081</v>
      </c>
      <c r="B307" s="2" t="s">
        <v>19</v>
      </c>
      <c r="C307" s="2" t="s">
        <v>1106</v>
      </c>
      <c r="D307" s="2" t="s">
        <v>1131</v>
      </c>
      <c r="E307" s="2" t="s">
        <v>1155</v>
      </c>
      <c r="F307" s="2" t="s">
        <v>1156</v>
      </c>
      <c r="G307" s="2" t="s">
        <v>1138</v>
      </c>
      <c r="H307" s="2" t="s">
        <v>1157</v>
      </c>
      <c r="I307" s="2">
        <v>26</v>
      </c>
      <c r="J307" s="2" t="s">
        <v>24</v>
      </c>
      <c r="K307" s="2">
        <v>-17.775562000000001</v>
      </c>
      <c r="L307" s="2">
        <v>-65.983496000000002</v>
      </c>
      <c r="M307" s="2" t="s">
        <v>25</v>
      </c>
      <c r="N307" s="2">
        <v>2081</v>
      </c>
      <c r="O307" s="2" t="s">
        <v>1158</v>
      </c>
      <c r="P307" s="2"/>
      <c r="Q307" s="2"/>
      <c r="R307" s="2">
        <f>IFERROR(VLOOKUP(A307,'[1]Recintos Cochabamba'!A$1:R$838,17,FALSE),0)</f>
        <v>0</v>
      </c>
      <c r="S307" s="3">
        <v>0</v>
      </c>
    </row>
    <row r="308" spans="1:19" x14ac:dyDescent="0.25">
      <c r="A308" s="2">
        <v>2082</v>
      </c>
      <c r="B308" s="2" t="s">
        <v>19</v>
      </c>
      <c r="C308" s="2" t="s">
        <v>1106</v>
      </c>
      <c r="D308" s="2" t="s">
        <v>1159</v>
      </c>
      <c r="E308" s="2" t="s">
        <v>1159</v>
      </c>
      <c r="F308" s="2" t="s">
        <v>1160</v>
      </c>
      <c r="G308" s="2" t="s">
        <v>1161</v>
      </c>
      <c r="H308" s="2" t="s">
        <v>1159</v>
      </c>
      <c r="I308" s="2">
        <v>26</v>
      </c>
      <c r="J308" s="2" t="s">
        <v>24</v>
      </c>
      <c r="K308" s="2">
        <v>-17.5855</v>
      </c>
      <c r="L308" s="2">
        <v>-66.017200000000003</v>
      </c>
      <c r="M308" s="2" t="s">
        <v>25</v>
      </c>
      <c r="N308" s="2">
        <v>2082</v>
      </c>
      <c r="O308" s="2" t="s">
        <v>1162</v>
      </c>
      <c r="P308" s="2"/>
      <c r="Q308" s="2"/>
      <c r="R308" s="2">
        <f>IFERROR(VLOOKUP(A308,'[1]Recintos Cochabamba'!A$1:R$838,17,FALSE),0)</f>
        <v>9</v>
      </c>
      <c r="S308" s="3">
        <v>0</v>
      </c>
    </row>
    <row r="309" spans="1:19" x14ac:dyDescent="0.25">
      <c r="A309" s="2">
        <v>2083</v>
      </c>
      <c r="B309" s="2" t="s">
        <v>19</v>
      </c>
      <c r="C309" s="2" t="s">
        <v>1106</v>
      </c>
      <c r="D309" s="2" t="s">
        <v>1159</v>
      </c>
      <c r="E309" s="2" t="s">
        <v>1163</v>
      </c>
      <c r="F309" s="2" t="s">
        <v>1164</v>
      </c>
      <c r="G309" s="2" t="s">
        <v>1165</v>
      </c>
      <c r="H309" s="2" t="s">
        <v>1163</v>
      </c>
      <c r="I309" s="2">
        <v>26</v>
      </c>
      <c r="J309" s="2" t="s">
        <v>24</v>
      </c>
      <c r="K309" s="2">
        <v>-17.5838</v>
      </c>
      <c r="L309" s="2">
        <v>-66.052599999999998</v>
      </c>
      <c r="M309" s="2" t="s">
        <v>776</v>
      </c>
      <c r="N309" s="2">
        <v>2083</v>
      </c>
      <c r="O309" s="2" t="s">
        <v>1166</v>
      </c>
      <c r="P309" s="2"/>
      <c r="Q309" s="2"/>
      <c r="R309" s="2">
        <f>IFERROR(VLOOKUP(A309,'[1]Recintos Cochabamba'!A$1:R$838,17,FALSE),0)</f>
        <v>4</v>
      </c>
      <c r="S309" s="3">
        <v>0</v>
      </c>
    </row>
    <row r="310" spans="1:19" x14ac:dyDescent="0.25">
      <c r="A310" s="2">
        <v>2084</v>
      </c>
      <c r="B310" s="2" t="s">
        <v>19</v>
      </c>
      <c r="C310" s="2" t="s">
        <v>1106</v>
      </c>
      <c r="D310" s="2" t="s">
        <v>1159</v>
      </c>
      <c r="E310" s="2" t="s">
        <v>543</v>
      </c>
      <c r="F310" s="2" t="s">
        <v>1167</v>
      </c>
      <c r="G310" s="2" t="s">
        <v>1168</v>
      </c>
      <c r="H310" s="2" t="s">
        <v>543</v>
      </c>
      <c r="I310" s="2">
        <v>26</v>
      </c>
      <c r="J310" s="2" t="s">
        <v>24</v>
      </c>
      <c r="K310" s="2">
        <v>-17.593</v>
      </c>
      <c r="L310" s="2">
        <v>-65.9816</v>
      </c>
      <c r="M310" s="2" t="s">
        <v>776</v>
      </c>
      <c r="N310" s="2">
        <v>2084</v>
      </c>
      <c r="O310" s="2" t="s">
        <v>1169</v>
      </c>
      <c r="P310" s="2"/>
      <c r="Q310" s="2"/>
      <c r="R310" s="2">
        <f>IFERROR(VLOOKUP(A310,'[1]Recintos Cochabamba'!A$1:R$838,17,FALSE),0)</f>
        <v>2</v>
      </c>
      <c r="S310" s="3">
        <v>0</v>
      </c>
    </row>
    <row r="311" spans="1:19" x14ac:dyDescent="0.25">
      <c r="A311" s="2">
        <v>2085</v>
      </c>
      <c r="B311" s="2" t="s">
        <v>19</v>
      </c>
      <c r="C311" s="2" t="s">
        <v>1106</v>
      </c>
      <c r="D311" s="2" t="s">
        <v>1159</v>
      </c>
      <c r="E311" s="2" t="s">
        <v>1170</v>
      </c>
      <c r="F311" s="2" t="s">
        <v>1171</v>
      </c>
      <c r="G311" s="2" t="s">
        <v>1172</v>
      </c>
      <c r="H311" s="2" t="s">
        <v>1170</v>
      </c>
      <c r="I311" s="2">
        <v>26</v>
      </c>
      <c r="J311" s="2" t="s">
        <v>24</v>
      </c>
      <c r="K311" s="2">
        <v>-17.5672</v>
      </c>
      <c r="L311" s="2">
        <v>-66.072900000000004</v>
      </c>
      <c r="M311" s="2" t="s">
        <v>776</v>
      </c>
      <c r="N311" s="2">
        <v>2085</v>
      </c>
      <c r="O311" s="2" t="s">
        <v>1173</v>
      </c>
      <c r="P311" s="2"/>
      <c r="Q311" s="2"/>
      <c r="R311" s="2">
        <f>IFERROR(VLOOKUP(A311,'[1]Recintos Cochabamba'!A$1:R$838,17,FALSE),0)</f>
        <v>5</v>
      </c>
      <c r="S311" s="3">
        <f>IFERROR(VLOOKUP(A311,'[1]Recintos Cochabamba'!A$1:T$838,18,FALSE),0)</f>
        <v>0.91209785625628825</v>
      </c>
    </row>
    <row r="312" spans="1:19" x14ac:dyDescent="0.25">
      <c r="A312" s="2">
        <v>2086</v>
      </c>
      <c r="B312" s="2" t="s">
        <v>19</v>
      </c>
      <c r="C312" s="2" t="s">
        <v>1106</v>
      </c>
      <c r="D312" s="2" t="s">
        <v>1159</v>
      </c>
      <c r="E312" s="2" t="s">
        <v>1174</v>
      </c>
      <c r="F312" s="2" t="s">
        <v>1175</v>
      </c>
      <c r="G312" s="2" t="s">
        <v>1172</v>
      </c>
      <c r="H312" s="2" t="s">
        <v>1176</v>
      </c>
      <c r="I312" s="2">
        <v>26</v>
      </c>
      <c r="J312" s="2" t="s">
        <v>24</v>
      </c>
      <c r="K312" s="2">
        <v>-17.489639</v>
      </c>
      <c r="L312" s="2">
        <v>-66.095681999999996</v>
      </c>
      <c r="M312" s="2" t="s">
        <v>776</v>
      </c>
      <c r="N312" s="2">
        <v>2086</v>
      </c>
      <c r="O312" s="2" t="s">
        <v>1177</v>
      </c>
      <c r="P312" s="2"/>
      <c r="Q312" s="2"/>
      <c r="R312" s="2">
        <f>IFERROR(VLOOKUP(A312,'[1]Recintos Cochabamba'!A$1:R$838,17,FALSE),0)</f>
        <v>19</v>
      </c>
      <c r="S312" s="3">
        <f>IFERROR(VLOOKUP(A312,'[1]Recintos Cochabamba'!A$1:T$838,18,FALSE),0)</f>
        <v>0.90297931257751962</v>
      </c>
    </row>
    <row r="313" spans="1:19" x14ac:dyDescent="0.25">
      <c r="A313" s="2">
        <v>2087</v>
      </c>
      <c r="B313" s="2" t="s">
        <v>19</v>
      </c>
      <c r="C313" s="2" t="s">
        <v>1106</v>
      </c>
      <c r="D313" s="2" t="s">
        <v>1159</v>
      </c>
      <c r="E313" s="2" t="s">
        <v>1178</v>
      </c>
      <c r="F313" s="2" t="s">
        <v>1179</v>
      </c>
      <c r="G313" s="2" t="s">
        <v>1172</v>
      </c>
      <c r="H313" s="2" t="s">
        <v>1180</v>
      </c>
      <c r="I313" s="2">
        <v>26</v>
      </c>
      <c r="J313" s="2" t="s">
        <v>24</v>
      </c>
      <c r="K313" s="2">
        <v>-17.533121000000001</v>
      </c>
      <c r="L313" s="2">
        <v>-66.116101</v>
      </c>
      <c r="M313" s="2" t="s">
        <v>25</v>
      </c>
      <c r="N313" s="2">
        <v>2087</v>
      </c>
      <c r="O313" s="2" t="s">
        <v>1181</v>
      </c>
      <c r="P313" s="2"/>
      <c r="Q313" s="2"/>
      <c r="R313" s="2">
        <f>IFERROR(VLOOKUP(A313,'[1]Recintos Cochabamba'!A$1:R$838,17,FALSE),0)</f>
        <v>3</v>
      </c>
      <c r="S313" s="3">
        <f>IFERROR(VLOOKUP(A313,'[1]Recintos Cochabamba'!A$1:T$838,18,FALSE),0)</f>
        <v>0.87258670520231219</v>
      </c>
    </row>
    <row r="314" spans="1:19" x14ac:dyDescent="0.25">
      <c r="A314" s="2">
        <v>2088</v>
      </c>
      <c r="B314" s="2" t="s">
        <v>19</v>
      </c>
      <c r="C314" s="2" t="s">
        <v>1106</v>
      </c>
      <c r="D314" s="2" t="s">
        <v>1159</v>
      </c>
      <c r="E314" s="2" t="s">
        <v>1182</v>
      </c>
      <c r="F314" s="2" t="s">
        <v>1183</v>
      </c>
      <c r="G314" s="2" t="s">
        <v>1184</v>
      </c>
      <c r="H314" s="2" t="s">
        <v>1182</v>
      </c>
      <c r="I314" s="2">
        <v>26</v>
      </c>
      <c r="J314" s="2" t="s">
        <v>24</v>
      </c>
      <c r="K314" s="2">
        <v>-17.512</v>
      </c>
      <c r="L314" s="2">
        <v>-66.087999999999994</v>
      </c>
      <c r="M314" s="2" t="s">
        <v>25</v>
      </c>
      <c r="N314" s="2">
        <v>2088</v>
      </c>
      <c r="O314" s="2" t="s">
        <v>1185</v>
      </c>
      <c r="P314" s="2"/>
      <c r="Q314" s="2"/>
      <c r="R314" s="2">
        <f>IFERROR(VLOOKUP(A314,'[1]Recintos Cochabamba'!A$1:R$838,17,FALSE),0)</f>
        <v>3</v>
      </c>
      <c r="S314" s="3">
        <f>IFERROR(VLOOKUP(A314,'[1]Recintos Cochabamba'!A$1:T$838,18,FALSE),0)</f>
        <v>0.70160750555487394</v>
      </c>
    </row>
    <row r="315" spans="1:19" x14ac:dyDescent="0.25">
      <c r="A315" s="2">
        <v>2089</v>
      </c>
      <c r="B315" s="2" t="s">
        <v>19</v>
      </c>
      <c r="C315" s="2" t="s">
        <v>1106</v>
      </c>
      <c r="D315" s="2" t="s">
        <v>1186</v>
      </c>
      <c r="E315" s="2" t="s">
        <v>1186</v>
      </c>
      <c r="F315" s="2" t="s">
        <v>1187</v>
      </c>
      <c r="G315" s="2" t="s">
        <v>1188</v>
      </c>
      <c r="H315" s="2" t="s">
        <v>1186</v>
      </c>
      <c r="I315" s="2">
        <v>26</v>
      </c>
      <c r="J315" s="2" t="s">
        <v>24</v>
      </c>
      <c r="K315" s="2">
        <v>-17.817</v>
      </c>
      <c r="L315" s="2">
        <v>-65.775700000000001</v>
      </c>
      <c r="M315" s="2" t="s">
        <v>25</v>
      </c>
      <c r="N315" s="2">
        <v>2089</v>
      </c>
      <c r="O315" s="2" t="s">
        <v>1189</v>
      </c>
      <c r="P315" s="2"/>
      <c r="Q315" s="2"/>
      <c r="R315" s="2">
        <f>IFERROR(VLOOKUP(A315,'[1]Recintos Cochabamba'!A$1:R$838,17,FALSE),0)</f>
        <v>4</v>
      </c>
      <c r="S315" s="3">
        <v>0</v>
      </c>
    </row>
    <row r="316" spans="1:19" x14ac:dyDescent="0.25">
      <c r="A316" s="2">
        <v>2090</v>
      </c>
      <c r="B316" s="2" t="s">
        <v>19</v>
      </c>
      <c r="C316" s="2" t="s">
        <v>1106</v>
      </c>
      <c r="D316" s="2" t="s">
        <v>1186</v>
      </c>
      <c r="E316" s="2" t="s">
        <v>1190</v>
      </c>
      <c r="F316" s="2" t="s">
        <v>1191</v>
      </c>
      <c r="G316" s="2" t="s">
        <v>1192</v>
      </c>
      <c r="H316" s="2" t="s">
        <v>1190</v>
      </c>
      <c r="I316" s="2">
        <v>26</v>
      </c>
      <c r="J316" s="2" t="s">
        <v>24</v>
      </c>
      <c r="K316" s="2">
        <v>-17.831600000000002</v>
      </c>
      <c r="L316" s="2">
        <v>-65.756900000000002</v>
      </c>
      <c r="M316" s="2" t="s">
        <v>776</v>
      </c>
      <c r="N316" s="2">
        <v>2090</v>
      </c>
      <c r="O316" s="2" t="s">
        <v>1193</v>
      </c>
      <c r="P316" s="2"/>
      <c r="Q316" s="2"/>
      <c r="R316" s="2">
        <f>IFERROR(VLOOKUP(A316,'[1]Recintos Cochabamba'!A$1:R$838,17,FALSE),0)</f>
        <v>2</v>
      </c>
      <c r="S316" s="3">
        <f>IFERROR(VLOOKUP(A316,'[1]Recintos Cochabamba'!A$1:T$838,18,FALSE),0)</f>
        <v>0.96152758132956151</v>
      </c>
    </row>
    <row r="317" spans="1:19" x14ac:dyDescent="0.25">
      <c r="A317" s="2">
        <v>2091</v>
      </c>
      <c r="B317" s="2" t="s">
        <v>19</v>
      </c>
      <c r="C317" s="2" t="s">
        <v>1106</v>
      </c>
      <c r="D317" s="2" t="s">
        <v>1186</v>
      </c>
      <c r="E317" s="2" t="s">
        <v>1194</v>
      </c>
      <c r="F317" s="2" t="s">
        <v>1195</v>
      </c>
      <c r="G317" s="2" t="s">
        <v>1196</v>
      </c>
      <c r="H317" s="2" t="s">
        <v>1194</v>
      </c>
      <c r="I317" s="2">
        <v>26</v>
      </c>
      <c r="J317" s="2" t="s">
        <v>24</v>
      </c>
      <c r="K317" s="2">
        <v>-17.803100000000001</v>
      </c>
      <c r="L317" s="2">
        <v>-65.801400000000001</v>
      </c>
      <c r="M317" s="2" t="s">
        <v>776</v>
      </c>
      <c r="N317" s="2">
        <v>2091</v>
      </c>
      <c r="O317" s="2" t="s">
        <v>1197</v>
      </c>
      <c r="P317" s="2"/>
      <c r="Q317" s="2"/>
      <c r="R317" s="2">
        <f>IFERROR(VLOOKUP(A317,'[1]Recintos Cochabamba'!A$1:R$838,17,FALSE),0)</f>
        <v>3</v>
      </c>
      <c r="S317" s="3">
        <f>IFERROR(VLOOKUP(A317,'[1]Recintos Cochabamba'!A$1:T$838,18,FALSE),0)</f>
        <v>0.89300293404771025</v>
      </c>
    </row>
    <row r="318" spans="1:19" x14ac:dyDescent="0.25">
      <c r="A318" s="2">
        <v>2092</v>
      </c>
      <c r="B318" s="2" t="s">
        <v>19</v>
      </c>
      <c r="C318" s="2" t="s">
        <v>1106</v>
      </c>
      <c r="D318" s="2" t="s">
        <v>1186</v>
      </c>
      <c r="E318" s="2" t="s">
        <v>1198</v>
      </c>
      <c r="F318" s="2" t="s">
        <v>1199</v>
      </c>
      <c r="G318" s="2" t="s">
        <v>1200</v>
      </c>
      <c r="H318" s="2" t="s">
        <v>1198</v>
      </c>
      <c r="I318" s="2">
        <v>26</v>
      </c>
      <c r="J318" s="2" t="s">
        <v>24</v>
      </c>
      <c r="K318" s="2">
        <v>-17.7026</v>
      </c>
      <c r="L318" s="2">
        <v>-65.823599999999999</v>
      </c>
      <c r="M318" s="2" t="s">
        <v>776</v>
      </c>
      <c r="N318" s="2">
        <v>2092</v>
      </c>
      <c r="O318" s="2" t="s">
        <v>1201</v>
      </c>
      <c r="P318" s="2"/>
      <c r="Q318" s="2"/>
      <c r="R318" s="2">
        <f>IFERROR(VLOOKUP(A318,'[1]Recintos Cochabamba'!A$1:R$838,17,FALSE),0)</f>
        <v>2</v>
      </c>
      <c r="S318" s="3">
        <f>IFERROR(VLOOKUP(A318,'[1]Recintos Cochabamba'!A$1:T$838,18,FALSE),0)</f>
        <v>0.96655491698595153</v>
      </c>
    </row>
    <row r="319" spans="1:19" x14ac:dyDescent="0.25">
      <c r="A319" s="2">
        <v>2093</v>
      </c>
      <c r="B319" s="2" t="s">
        <v>19</v>
      </c>
      <c r="C319" s="2" t="s">
        <v>1106</v>
      </c>
      <c r="D319" s="2" t="s">
        <v>1186</v>
      </c>
      <c r="E319" s="2" t="s">
        <v>1202</v>
      </c>
      <c r="F319" s="2" t="s">
        <v>1203</v>
      </c>
      <c r="G319" s="2" t="s">
        <v>1204</v>
      </c>
      <c r="H319" s="2" t="s">
        <v>1202</v>
      </c>
      <c r="I319" s="2">
        <v>26</v>
      </c>
      <c r="J319" s="2" t="s">
        <v>24</v>
      </c>
      <c r="K319" s="2">
        <v>-17.7623</v>
      </c>
      <c r="L319" s="2">
        <v>-65.851500000000001</v>
      </c>
      <c r="M319" s="2" t="s">
        <v>776</v>
      </c>
      <c r="N319" s="2">
        <v>2093</v>
      </c>
      <c r="O319" s="2" t="s">
        <v>1205</v>
      </c>
      <c r="P319" s="2"/>
      <c r="Q319" s="2"/>
      <c r="R319" s="2">
        <f>IFERROR(VLOOKUP(A319,'[1]Recintos Cochabamba'!A$1:R$838,17,FALSE),0)</f>
        <v>1</v>
      </c>
      <c r="S319" s="3">
        <f>IFERROR(VLOOKUP(A319,'[1]Recintos Cochabamba'!A$1:T$838,18,FALSE),0)</f>
        <v>0.9382022471910112</v>
      </c>
    </row>
    <row r="320" spans="1:19" x14ac:dyDescent="0.25">
      <c r="A320" s="2">
        <v>2094</v>
      </c>
      <c r="B320" s="2" t="s">
        <v>19</v>
      </c>
      <c r="C320" s="2" t="s">
        <v>1206</v>
      </c>
      <c r="D320" s="2" t="s">
        <v>1206</v>
      </c>
      <c r="E320" s="2" t="s">
        <v>1206</v>
      </c>
      <c r="F320" s="2" t="s">
        <v>182</v>
      </c>
      <c r="G320" s="2" t="s">
        <v>1207</v>
      </c>
      <c r="H320" s="2" t="s">
        <v>1206</v>
      </c>
      <c r="I320" s="2">
        <v>26</v>
      </c>
      <c r="J320" s="2" t="s">
        <v>24</v>
      </c>
      <c r="K320" s="2">
        <v>-17.573399999999999</v>
      </c>
      <c r="L320" s="2">
        <v>-65.775400000000005</v>
      </c>
      <c r="M320" s="2" t="s">
        <v>776</v>
      </c>
      <c r="N320" s="2">
        <v>2094</v>
      </c>
      <c r="O320" s="2" t="s">
        <v>1208</v>
      </c>
      <c r="P320" s="2"/>
      <c r="Q320" s="2"/>
      <c r="R320" s="2">
        <f>IFERROR(VLOOKUP(A320,'[1]Recintos Cochabamba'!A$1:R$838,17,FALSE),0)</f>
        <v>14</v>
      </c>
      <c r="S320" s="3">
        <f>IFERROR(VLOOKUP(A320,'[1]Recintos Cochabamba'!A$1:T$838,18,FALSE),0)</f>
        <v>0.75730005054114602</v>
      </c>
    </row>
    <row r="321" spans="1:19" x14ac:dyDescent="0.25">
      <c r="A321" s="2">
        <v>2095</v>
      </c>
      <c r="B321" s="2" t="s">
        <v>19</v>
      </c>
      <c r="C321" s="2" t="s">
        <v>1206</v>
      </c>
      <c r="D321" s="2" t="s">
        <v>1206</v>
      </c>
      <c r="E321" s="2" t="s">
        <v>1206</v>
      </c>
      <c r="F321" s="2" t="s">
        <v>1209</v>
      </c>
      <c r="G321" s="2" t="s">
        <v>1207</v>
      </c>
      <c r="H321" s="2" t="s">
        <v>1210</v>
      </c>
      <c r="I321" s="2">
        <v>26</v>
      </c>
      <c r="J321" s="2" t="s">
        <v>24</v>
      </c>
      <c r="K321" s="2">
        <v>-17.5731</v>
      </c>
      <c r="L321" s="2">
        <v>-65.773399999999995</v>
      </c>
      <c r="M321" s="2" t="s">
        <v>776</v>
      </c>
      <c r="N321" s="2">
        <v>2095</v>
      </c>
      <c r="O321" s="2" t="s">
        <v>1211</v>
      </c>
      <c r="P321" s="2"/>
      <c r="Q321" s="2"/>
      <c r="R321" s="2">
        <f>IFERROR(VLOOKUP(A321,'[1]Recintos Cochabamba'!A$1:R$838,17,FALSE),0)</f>
        <v>13</v>
      </c>
      <c r="S321" s="3">
        <f>IFERROR(VLOOKUP(A321,'[1]Recintos Cochabamba'!A$1:T$838,18,FALSE),0)</f>
        <v>0.68873024285670781</v>
      </c>
    </row>
    <row r="322" spans="1:19" x14ac:dyDescent="0.25">
      <c r="A322" s="2">
        <v>2096</v>
      </c>
      <c r="B322" s="2" t="s">
        <v>19</v>
      </c>
      <c r="C322" s="2" t="s">
        <v>1206</v>
      </c>
      <c r="D322" s="2" t="s">
        <v>1206</v>
      </c>
      <c r="E322" s="2" t="s">
        <v>1206</v>
      </c>
      <c r="F322" s="2" t="s">
        <v>1212</v>
      </c>
      <c r="G322" s="2" t="s">
        <v>1207</v>
      </c>
      <c r="H322" s="2" t="s">
        <v>1213</v>
      </c>
      <c r="I322" s="2">
        <v>26</v>
      </c>
      <c r="J322" s="2" t="s">
        <v>24</v>
      </c>
      <c r="K322" s="2">
        <v>-17.573328</v>
      </c>
      <c r="L322" s="2">
        <v>-65.770415</v>
      </c>
      <c r="M322" s="2" t="s">
        <v>776</v>
      </c>
      <c r="N322" s="2">
        <v>2096</v>
      </c>
      <c r="O322" s="2" t="s">
        <v>1214</v>
      </c>
      <c r="P322" s="2"/>
      <c r="Q322" s="2"/>
      <c r="R322" s="2">
        <f>IFERROR(VLOOKUP(A322,'[1]Recintos Cochabamba'!A$1:R$838,17,FALSE),0)</f>
        <v>1</v>
      </c>
      <c r="S322" s="3">
        <f>IFERROR(VLOOKUP(A322,'[1]Recintos Cochabamba'!A$1:T$838,18,FALSE),0)</f>
        <v>1</v>
      </c>
    </row>
    <row r="323" spans="1:19" x14ac:dyDescent="0.25">
      <c r="A323" s="2">
        <v>2097</v>
      </c>
      <c r="B323" s="2" t="s">
        <v>19</v>
      </c>
      <c r="C323" s="2" t="s">
        <v>1206</v>
      </c>
      <c r="D323" s="2" t="s">
        <v>1206</v>
      </c>
      <c r="E323" s="2" t="s">
        <v>1215</v>
      </c>
      <c r="F323" s="2" t="s">
        <v>1216</v>
      </c>
      <c r="G323" s="2" t="s">
        <v>1217</v>
      </c>
      <c r="H323" s="2" t="s">
        <v>1215</v>
      </c>
      <c r="I323" s="2">
        <v>26</v>
      </c>
      <c r="J323" s="2" t="s">
        <v>24</v>
      </c>
      <c r="K323" s="2">
        <v>-17.601199999999999</v>
      </c>
      <c r="L323" s="2">
        <v>-65.7607</v>
      </c>
      <c r="M323" s="2" t="s">
        <v>25</v>
      </c>
      <c r="N323" s="2">
        <v>2097</v>
      </c>
      <c r="O323" s="2" t="s">
        <v>1218</v>
      </c>
      <c r="P323" s="2"/>
      <c r="Q323" s="2"/>
      <c r="R323" s="2">
        <f>IFERROR(VLOOKUP(A323,'[1]Recintos Cochabamba'!A$1:R$838,17,FALSE),0)</f>
        <v>3</v>
      </c>
      <c r="S323" s="3">
        <f>IFERROR(VLOOKUP(A323,'[1]Recintos Cochabamba'!A$1:T$838,18,FALSE),0)</f>
        <v>0.83282587788601636</v>
      </c>
    </row>
    <row r="324" spans="1:19" x14ac:dyDescent="0.25">
      <c r="A324" s="2">
        <v>2098</v>
      </c>
      <c r="B324" s="2" t="s">
        <v>19</v>
      </c>
      <c r="C324" s="2" t="s">
        <v>1206</v>
      </c>
      <c r="D324" s="2" t="s">
        <v>1206</v>
      </c>
      <c r="E324" s="2" t="s">
        <v>1219</v>
      </c>
      <c r="F324" s="2" t="s">
        <v>1220</v>
      </c>
      <c r="G324" s="2" t="s">
        <v>1221</v>
      </c>
      <c r="H324" s="2" t="s">
        <v>1219</v>
      </c>
      <c r="I324" s="2">
        <v>26</v>
      </c>
      <c r="J324" s="2" t="s">
        <v>24</v>
      </c>
      <c r="K324" s="2">
        <v>-17.61</v>
      </c>
      <c r="L324" s="2">
        <v>-65.726500000000001</v>
      </c>
      <c r="M324" s="2" t="s">
        <v>776</v>
      </c>
      <c r="N324" s="2">
        <v>2098</v>
      </c>
      <c r="O324" s="2" t="s">
        <v>1222</v>
      </c>
      <c r="P324" s="2"/>
      <c r="Q324" s="2"/>
      <c r="R324" s="2">
        <f>IFERROR(VLOOKUP(A324,'[1]Recintos Cochabamba'!A$1:R$838,17,FALSE),0)</f>
        <v>2</v>
      </c>
      <c r="S324" s="3">
        <f>IFERROR(VLOOKUP(A324,'[1]Recintos Cochabamba'!A$1:T$838,18,FALSE),0)</f>
        <v>0.78071308925580274</v>
      </c>
    </row>
    <row r="325" spans="1:19" x14ac:dyDescent="0.25">
      <c r="A325" s="2">
        <v>2099</v>
      </c>
      <c r="B325" s="2" t="s">
        <v>19</v>
      </c>
      <c r="C325" s="2" t="s">
        <v>1206</v>
      </c>
      <c r="D325" s="2" t="s">
        <v>1206</v>
      </c>
      <c r="E325" s="2" t="s">
        <v>1223</v>
      </c>
      <c r="F325" s="2" t="s">
        <v>1224</v>
      </c>
      <c r="G325" s="2" t="s">
        <v>1225</v>
      </c>
      <c r="H325" s="2" t="s">
        <v>1226</v>
      </c>
      <c r="I325" s="2">
        <v>26</v>
      </c>
      <c r="J325" s="2" t="s">
        <v>24</v>
      </c>
      <c r="K325" s="2">
        <v>-17.549167000000001</v>
      </c>
      <c r="L325" s="2">
        <v>-65.686004999999994</v>
      </c>
      <c r="M325" s="2" t="s">
        <v>776</v>
      </c>
      <c r="N325" s="2">
        <v>2099</v>
      </c>
      <c r="O325" s="2" t="s">
        <v>1227</v>
      </c>
      <c r="P325" s="2"/>
      <c r="Q325" s="2"/>
      <c r="R325" s="2">
        <f>IFERROR(VLOOKUP(A325,'[1]Recintos Cochabamba'!A$1:R$838,17,FALSE),0)</f>
        <v>1</v>
      </c>
      <c r="S325" s="3">
        <v>0</v>
      </c>
    </row>
    <row r="326" spans="1:19" x14ac:dyDescent="0.25">
      <c r="A326" s="2">
        <v>2100</v>
      </c>
      <c r="B326" s="2" t="s">
        <v>19</v>
      </c>
      <c r="C326" s="2" t="s">
        <v>1206</v>
      </c>
      <c r="D326" s="2" t="s">
        <v>1228</v>
      </c>
      <c r="E326" s="2" t="s">
        <v>1228</v>
      </c>
      <c r="F326" s="2" t="s">
        <v>1229</v>
      </c>
      <c r="G326" s="2" t="s">
        <v>1230</v>
      </c>
      <c r="H326" s="2" t="s">
        <v>1228</v>
      </c>
      <c r="I326" s="2">
        <v>25</v>
      </c>
      <c r="J326" s="2" t="s">
        <v>24</v>
      </c>
      <c r="K326" s="2">
        <v>-17.575399999999998</v>
      </c>
      <c r="L326" s="2">
        <v>-65.581699999999998</v>
      </c>
      <c r="M326" s="2" t="s">
        <v>776</v>
      </c>
      <c r="N326" s="2">
        <v>2100</v>
      </c>
      <c r="O326" s="2" t="s">
        <v>1231</v>
      </c>
      <c r="P326" s="2"/>
      <c r="Q326" s="2"/>
      <c r="R326" s="2">
        <f>IFERROR(VLOOKUP(A326,'[1]Recintos Cochabamba'!A$1:R$838,17,FALSE),0)</f>
        <v>13</v>
      </c>
      <c r="S326" s="3">
        <f>IFERROR(VLOOKUP(A326,'[1]Recintos Cochabamba'!A$1:T$838,18,FALSE),0)</f>
        <v>0.92527890559462578</v>
      </c>
    </row>
    <row r="327" spans="1:19" x14ac:dyDescent="0.25">
      <c r="A327" s="2">
        <v>2101</v>
      </c>
      <c r="B327" s="2" t="s">
        <v>19</v>
      </c>
      <c r="C327" s="2" t="s">
        <v>1206</v>
      </c>
      <c r="D327" s="2" t="s">
        <v>1228</v>
      </c>
      <c r="E327" s="2" t="s">
        <v>1232</v>
      </c>
      <c r="F327" s="2" t="s">
        <v>1233</v>
      </c>
      <c r="G327" s="2" t="s">
        <v>1234</v>
      </c>
      <c r="H327" s="2" t="s">
        <v>1235</v>
      </c>
      <c r="I327" s="2">
        <v>25</v>
      </c>
      <c r="J327" s="2" t="s">
        <v>24</v>
      </c>
      <c r="K327" s="2">
        <v>-17.630299999999998</v>
      </c>
      <c r="L327" s="2">
        <v>-65.637100000000004</v>
      </c>
      <c r="M327" s="2" t="s">
        <v>776</v>
      </c>
      <c r="N327" s="2">
        <v>2101</v>
      </c>
      <c r="O327" s="2" t="s">
        <v>1236</v>
      </c>
      <c r="P327" s="2"/>
      <c r="Q327" s="2"/>
      <c r="R327" s="2">
        <f>IFERROR(VLOOKUP(A327,'[1]Recintos Cochabamba'!A$1:R$838,17,FALSE),0)</f>
        <v>5</v>
      </c>
      <c r="S327" s="3">
        <f>IFERROR(VLOOKUP(A327,'[1]Recintos Cochabamba'!A$1:T$838,18,FALSE),0)</f>
        <v>0.95895833941890196</v>
      </c>
    </row>
    <row r="328" spans="1:19" x14ac:dyDescent="0.25">
      <c r="A328" s="2">
        <v>2102</v>
      </c>
      <c r="B328" s="2" t="s">
        <v>19</v>
      </c>
      <c r="C328" s="2" t="s">
        <v>1206</v>
      </c>
      <c r="D328" s="2" t="s">
        <v>1228</v>
      </c>
      <c r="E328" s="2" t="s">
        <v>1237</v>
      </c>
      <c r="F328" s="2" t="s">
        <v>1238</v>
      </c>
      <c r="G328" s="2" t="s">
        <v>1234</v>
      </c>
      <c r="H328" s="2" t="s">
        <v>1239</v>
      </c>
      <c r="I328" s="2">
        <v>25</v>
      </c>
      <c r="J328" s="2" t="s">
        <v>24</v>
      </c>
      <c r="K328" s="2">
        <v>-17.6785</v>
      </c>
      <c r="L328" s="2">
        <v>-65.550899999999999</v>
      </c>
      <c r="M328" s="2" t="s">
        <v>776</v>
      </c>
      <c r="N328" s="2">
        <v>2102</v>
      </c>
      <c r="O328" s="2" t="s">
        <v>1240</v>
      </c>
      <c r="P328" s="2"/>
      <c r="Q328" s="2"/>
      <c r="R328" s="2">
        <f>IFERROR(VLOOKUP(A328,'[1]Recintos Cochabamba'!A$1:R$838,17,FALSE),0)</f>
        <v>1</v>
      </c>
      <c r="S328" s="3">
        <f>IFERROR(VLOOKUP(A328,'[1]Recintos Cochabamba'!A$1:T$838,18,FALSE),0)</f>
        <v>0.9360730593607306</v>
      </c>
    </row>
    <row r="329" spans="1:19" x14ac:dyDescent="0.25">
      <c r="A329" s="2">
        <v>2103</v>
      </c>
      <c r="B329" s="2" t="s">
        <v>19</v>
      </c>
      <c r="C329" s="2" t="s">
        <v>1206</v>
      </c>
      <c r="D329" s="2" t="s">
        <v>1228</v>
      </c>
      <c r="E329" s="2" t="s">
        <v>1241</v>
      </c>
      <c r="F329" s="2" t="s">
        <v>1242</v>
      </c>
      <c r="G329" s="2" t="s">
        <v>1234</v>
      </c>
      <c r="H329" s="2" t="s">
        <v>1241</v>
      </c>
      <c r="I329" s="2">
        <v>25</v>
      </c>
      <c r="J329" s="2" t="s">
        <v>24</v>
      </c>
      <c r="K329" s="2">
        <v>-17.534099999999999</v>
      </c>
      <c r="L329" s="2">
        <v>-65.641400000000004</v>
      </c>
      <c r="M329" s="2" t="s">
        <v>776</v>
      </c>
      <c r="N329" s="2">
        <v>2103</v>
      </c>
      <c r="O329" s="2" t="s">
        <v>1243</v>
      </c>
      <c r="P329" s="2"/>
      <c r="Q329" s="2"/>
      <c r="R329" s="2">
        <f>IFERROR(VLOOKUP(A329,'[1]Recintos Cochabamba'!A$1:R$838,17,FALSE),0)</f>
        <v>3</v>
      </c>
      <c r="S329" s="3">
        <f>IFERROR(VLOOKUP(A329,'[1]Recintos Cochabamba'!A$1:T$838,18,FALSE),0)</f>
        <v>0.9383768990270559</v>
      </c>
    </row>
    <row r="330" spans="1:19" x14ac:dyDescent="0.25">
      <c r="A330" s="2">
        <v>2104</v>
      </c>
      <c r="B330" s="2" t="s">
        <v>19</v>
      </c>
      <c r="C330" s="2" t="s">
        <v>1244</v>
      </c>
      <c r="D330" s="2" t="s">
        <v>1244</v>
      </c>
      <c r="E330" s="2" t="s">
        <v>1244</v>
      </c>
      <c r="F330" s="2" t="s">
        <v>1245</v>
      </c>
      <c r="G330" s="2" t="s">
        <v>1246</v>
      </c>
      <c r="H330" s="2" t="s">
        <v>1244</v>
      </c>
      <c r="I330" s="2">
        <v>27</v>
      </c>
      <c r="J330" s="2" t="s">
        <v>24</v>
      </c>
      <c r="K330" s="2">
        <v>-17.820399999999999</v>
      </c>
      <c r="L330" s="2">
        <v>-66.404300000000006</v>
      </c>
      <c r="M330" s="2" t="s">
        <v>776</v>
      </c>
      <c r="N330" s="2">
        <v>2104</v>
      </c>
      <c r="O330" s="2" t="s">
        <v>1247</v>
      </c>
      <c r="P330" s="2"/>
      <c r="Q330" s="2"/>
      <c r="R330" s="2">
        <f>IFERROR(VLOOKUP(A330,'[1]Recintos Cochabamba'!A$1:R$838,17,FALSE),0)</f>
        <v>4</v>
      </c>
      <c r="S330" s="3">
        <f>IFERROR(VLOOKUP(A330,'[1]Recintos Cochabamba'!A$1:T$838,18,FALSE),0)</f>
        <v>0.94145133486633226</v>
      </c>
    </row>
    <row r="331" spans="1:19" x14ac:dyDescent="0.25">
      <c r="A331" s="2">
        <v>2105</v>
      </c>
      <c r="B331" s="2" t="s">
        <v>19</v>
      </c>
      <c r="C331" s="2" t="s">
        <v>1244</v>
      </c>
      <c r="D331" s="2" t="s">
        <v>1244</v>
      </c>
      <c r="E331" s="2" t="s">
        <v>1248</v>
      </c>
      <c r="F331" s="2" t="s">
        <v>1249</v>
      </c>
      <c r="G331" s="2" t="s">
        <v>1250</v>
      </c>
      <c r="H331" s="2" t="s">
        <v>1248</v>
      </c>
      <c r="I331" s="2">
        <v>27</v>
      </c>
      <c r="J331" s="2" t="s">
        <v>24</v>
      </c>
      <c r="K331" s="2">
        <v>-17.7105</v>
      </c>
      <c r="L331" s="2">
        <v>-66.5501</v>
      </c>
      <c r="M331" s="2" t="s">
        <v>776</v>
      </c>
      <c r="N331" s="2">
        <v>2105</v>
      </c>
      <c r="O331" s="2" t="s">
        <v>1251</v>
      </c>
      <c r="P331" s="2"/>
      <c r="Q331" s="2"/>
      <c r="R331" s="2">
        <f>IFERROR(VLOOKUP(A331,'[1]Recintos Cochabamba'!A$1:R$838,17,FALSE),0)</f>
        <v>2</v>
      </c>
      <c r="S331" s="3">
        <v>0</v>
      </c>
    </row>
    <row r="332" spans="1:19" x14ac:dyDescent="0.25">
      <c r="A332" s="2">
        <v>2106</v>
      </c>
      <c r="B332" s="2" t="s">
        <v>19</v>
      </c>
      <c r="C332" s="2" t="s">
        <v>1244</v>
      </c>
      <c r="D332" s="2" t="s">
        <v>1244</v>
      </c>
      <c r="E332" s="2" t="s">
        <v>1252</v>
      </c>
      <c r="F332" s="2" t="s">
        <v>1253</v>
      </c>
      <c r="G332" s="2" t="s">
        <v>1250</v>
      </c>
      <c r="H332" s="2" t="s">
        <v>1252</v>
      </c>
      <c r="I332" s="2">
        <v>27</v>
      </c>
      <c r="J332" s="2" t="s">
        <v>24</v>
      </c>
      <c r="K332" s="2">
        <v>-17.949000000000002</v>
      </c>
      <c r="L332" s="2">
        <v>-66.290000000000006</v>
      </c>
      <c r="M332" s="2" t="s">
        <v>25</v>
      </c>
      <c r="N332" s="2">
        <v>2106</v>
      </c>
      <c r="O332" s="2" t="s">
        <v>1254</v>
      </c>
      <c r="P332" s="2"/>
      <c r="Q332" s="2"/>
      <c r="R332" s="2">
        <f>IFERROR(VLOOKUP(A332,'[1]Recintos Cochabamba'!A$1:R$838,17,FALSE),0)</f>
        <v>3</v>
      </c>
      <c r="S332" s="3">
        <f>IFERROR(VLOOKUP(A332,'[1]Recintos Cochabamba'!A$1:T$838,18,FALSE),0)</f>
        <v>0.97834529447294505</v>
      </c>
    </row>
    <row r="333" spans="1:19" x14ac:dyDescent="0.25">
      <c r="A333" s="2">
        <v>2107</v>
      </c>
      <c r="B333" s="2" t="s">
        <v>19</v>
      </c>
      <c r="C333" s="2" t="s">
        <v>1244</v>
      </c>
      <c r="D333" s="2" t="s">
        <v>1244</v>
      </c>
      <c r="E333" s="2" t="s">
        <v>1255</v>
      </c>
      <c r="F333" s="2" t="s">
        <v>1256</v>
      </c>
      <c r="G333" s="2" t="s">
        <v>1257</v>
      </c>
      <c r="H333" s="2" t="s">
        <v>1258</v>
      </c>
      <c r="I333" s="2">
        <v>27</v>
      </c>
      <c r="J333" s="2" t="s">
        <v>24</v>
      </c>
      <c r="K333" s="2">
        <v>-17.8567</v>
      </c>
      <c r="L333" s="2">
        <v>-66.419200000000004</v>
      </c>
      <c r="M333" s="2" t="s">
        <v>776</v>
      </c>
      <c r="N333" s="2">
        <v>2107</v>
      </c>
      <c r="O333" s="2" t="s">
        <v>1259</v>
      </c>
      <c r="P333" s="2"/>
      <c r="Q333" s="2"/>
      <c r="R333" s="2">
        <f>IFERROR(VLOOKUP(A333,'[1]Recintos Cochabamba'!A$1:R$838,17,FALSE),0)</f>
        <v>1</v>
      </c>
      <c r="S333" s="3">
        <f>IFERROR(VLOOKUP(A333,'[1]Recintos Cochabamba'!A$1:T$838,18,FALSE),0)</f>
        <v>0.94739466467215161</v>
      </c>
    </row>
    <row r="334" spans="1:19" x14ac:dyDescent="0.25">
      <c r="A334" s="2">
        <v>2108</v>
      </c>
      <c r="B334" s="2" t="s">
        <v>19</v>
      </c>
      <c r="C334" s="2" t="s">
        <v>1244</v>
      </c>
      <c r="D334" s="2" t="s">
        <v>1244</v>
      </c>
      <c r="E334" s="2" t="s">
        <v>1260</v>
      </c>
      <c r="F334" s="2" t="s">
        <v>1261</v>
      </c>
      <c r="G334" s="2" t="s">
        <v>1257</v>
      </c>
      <c r="H334" s="2" t="s">
        <v>1260</v>
      </c>
      <c r="I334" s="2">
        <v>27</v>
      </c>
      <c r="J334" s="2" t="s">
        <v>24</v>
      </c>
      <c r="K334" s="2">
        <v>-17.904499999999999</v>
      </c>
      <c r="L334" s="2">
        <v>-66.398600000000002</v>
      </c>
      <c r="M334" s="2" t="s">
        <v>776</v>
      </c>
      <c r="N334" s="2">
        <v>2108</v>
      </c>
      <c r="O334" s="2" t="s">
        <v>1262</v>
      </c>
      <c r="P334" s="2"/>
      <c r="Q334" s="2"/>
      <c r="R334" s="2">
        <f>IFERROR(VLOOKUP(A334,'[1]Recintos Cochabamba'!A$1:R$838,17,FALSE),0)</f>
        <v>4</v>
      </c>
      <c r="S334" s="3">
        <f>IFERROR(VLOOKUP(A334,'[1]Recintos Cochabamba'!A$1:T$838,18,FALSE),0)</f>
        <v>0.93942492464375049</v>
      </c>
    </row>
    <row r="335" spans="1:19" x14ac:dyDescent="0.25">
      <c r="A335" s="2">
        <v>2109</v>
      </c>
      <c r="B335" s="2" t="s">
        <v>19</v>
      </c>
      <c r="C335" s="2" t="s">
        <v>1244</v>
      </c>
      <c r="D335" s="2" t="s">
        <v>1244</v>
      </c>
      <c r="E335" s="2" t="s">
        <v>1263</v>
      </c>
      <c r="F335" s="2" t="s">
        <v>1264</v>
      </c>
      <c r="G335" s="2" t="s">
        <v>1250</v>
      </c>
      <c r="H335" s="2" t="s">
        <v>1265</v>
      </c>
      <c r="I335" s="2">
        <v>27</v>
      </c>
      <c r="J335" s="2" t="s">
        <v>24</v>
      </c>
      <c r="K335" s="2">
        <v>-17.674600000000002</v>
      </c>
      <c r="L335" s="2">
        <v>-66.474000000000004</v>
      </c>
      <c r="M335" s="2" t="s">
        <v>776</v>
      </c>
      <c r="N335" s="2">
        <v>2109</v>
      </c>
      <c r="O335" s="2" t="s">
        <v>1266</v>
      </c>
      <c r="P335" s="2"/>
      <c r="Q335" s="2"/>
      <c r="R335" s="2">
        <f>IFERROR(VLOOKUP(A335,'[1]Recintos Cochabamba'!A$1:R$838,17,FALSE),0)</f>
        <v>1</v>
      </c>
      <c r="S335" s="3">
        <v>0</v>
      </c>
    </row>
    <row r="336" spans="1:19" x14ac:dyDescent="0.25">
      <c r="A336" s="2">
        <v>2110</v>
      </c>
      <c r="B336" s="2" t="s">
        <v>19</v>
      </c>
      <c r="C336" s="2" t="s">
        <v>1244</v>
      </c>
      <c r="D336" s="2" t="s">
        <v>1244</v>
      </c>
      <c r="E336" s="2" t="s">
        <v>1267</v>
      </c>
      <c r="F336" s="2" t="s">
        <v>1268</v>
      </c>
      <c r="G336" s="2" t="s">
        <v>1250</v>
      </c>
      <c r="H336" s="2" t="s">
        <v>1267</v>
      </c>
      <c r="I336" s="2">
        <v>27</v>
      </c>
      <c r="J336" s="2" t="s">
        <v>24</v>
      </c>
      <c r="K336" s="2">
        <v>-17.894100000000002</v>
      </c>
      <c r="L336" s="2">
        <v>-66.324100000000001</v>
      </c>
      <c r="M336" s="2" t="s">
        <v>776</v>
      </c>
      <c r="N336" s="2">
        <v>2110</v>
      </c>
      <c r="O336" s="2" t="s">
        <v>1269</v>
      </c>
      <c r="P336" s="2"/>
      <c r="Q336" s="2"/>
      <c r="R336" s="2">
        <f>IFERROR(VLOOKUP(A336,'[1]Recintos Cochabamba'!A$1:R$838,17,FALSE),0)</f>
        <v>2</v>
      </c>
      <c r="S336" s="3">
        <v>0</v>
      </c>
    </row>
    <row r="337" spans="1:19" x14ac:dyDescent="0.25">
      <c r="A337" s="2">
        <v>2111</v>
      </c>
      <c r="B337" s="2" t="s">
        <v>19</v>
      </c>
      <c r="C337" s="2" t="s">
        <v>1244</v>
      </c>
      <c r="D337" s="2" t="s">
        <v>1244</v>
      </c>
      <c r="E337" s="2" t="s">
        <v>1270</v>
      </c>
      <c r="F337" s="2" t="s">
        <v>1271</v>
      </c>
      <c r="G337" s="2" t="s">
        <v>1250</v>
      </c>
      <c r="H337" s="2" t="s">
        <v>1270</v>
      </c>
      <c r="I337" s="2">
        <v>27</v>
      </c>
      <c r="J337" s="2" t="s">
        <v>24</v>
      </c>
      <c r="K337" s="2">
        <v>-17.774799999999999</v>
      </c>
      <c r="L337" s="2">
        <v>-66.468500000000006</v>
      </c>
      <c r="M337" s="2" t="s">
        <v>776</v>
      </c>
      <c r="N337" s="2">
        <v>2111</v>
      </c>
      <c r="O337" s="2" t="s">
        <v>1272</v>
      </c>
      <c r="P337" s="2"/>
      <c r="Q337" s="2"/>
      <c r="R337" s="2">
        <f>IFERROR(VLOOKUP(A337,'[1]Recintos Cochabamba'!A$1:R$838,17,FALSE),0)</f>
        <v>2</v>
      </c>
      <c r="S337" s="3">
        <f>IFERROR(VLOOKUP(A337,'[1]Recintos Cochabamba'!A$1:T$838,18,FALSE),0)</f>
        <v>0.91239603960396043</v>
      </c>
    </row>
    <row r="338" spans="1:19" x14ac:dyDescent="0.25">
      <c r="A338" s="2">
        <v>2112</v>
      </c>
      <c r="B338" s="2" t="s">
        <v>19</v>
      </c>
      <c r="C338" s="2" t="s">
        <v>1244</v>
      </c>
      <c r="D338" s="2" t="s">
        <v>1244</v>
      </c>
      <c r="E338" s="2" t="s">
        <v>1273</v>
      </c>
      <c r="F338" s="2" t="s">
        <v>1274</v>
      </c>
      <c r="G338" s="2" t="s">
        <v>1250</v>
      </c>
      <c r="H338" s="2" t="s">
        <v>1273</v>
      </c>
      <c r="I338" s="2">
        <v>27</v>
      </c>
      <c r="J338" s="2" t="s">
        <v>24</v>
      </c>
      <c r="K338" s="2">
        <v>-17.714051999999999</v>
      </c>
      <c r="L338" s="2">
        <v>-66.468289999999996</v>
      </c>
      <c r="M338" s="2" t="s">
        <v>776</v>
      </c>
      <c r="N338" s="2">
        <v>2112</v>
      </c>
      <c r="O338" s="2" t="s">
        <v>1275</v>
      </c>
      <c r="P338" s="2"/>
      <c r="Q338" s="2"/>
      <c r="R338" s="2">
        <f>IFERROR(VLOOKUP(A338,'[1]Recintos Cochabamba'!A$1:R$838,17,FALSE),0)</f>
        <v>2</v>
      </c>
      <c r="S338" s="3">
        <f>IFERROR(VLOOKUP(A338,'[1]Recintos Cochabamba'!A$1:T$838,18,FALSE),0)</f>
        <v>0.94688155636086213</v>
      </c>
    </row>
    <row r="339" spans="1:19" x14ac:dyDescent="0.25">
      <c r="A339" s="2">
        <v>2113</v>
      </c>
      <c r="B339" s="2" t="s">
        <v>19</v>
      </c>
      <c r="C339" s="2" t="s">
        <v>1244</v>
      </c>
      <c r="D339" s="2" t="s">
        <v>1276</v>
      </c>
      <c r="E339" s="2" t="s">
        <v>1276</v>
      </c>
      <c r="F339" s="2" t="s">
        <v>1277</v>
      </c>
      <c r="G339" s="2" t="s">
        <v>1278</v>
      </c>
      <c r="H339" s="2" t="s">
        <v>1276</v>
      </c>
      <c r="I339" s="2">
        <v>27</v>
      </c>
      <c r="J339" s="2" t="s">
        <v>24</v>
      </c>
      <c r="K339" s="2">
        <v>-17.835999999999999</v>
      </c>
      <c r="L339" s="2">
        <v>-66.536100000000005</v>
      </c>
      <c r="M339" s="2" t="s">
        <v>776</v>
      </c>
      <c r="N339" s="2">
        <v>2113</v>
      </c>
      <c r="O339" s="2" t="s">
        <v>1279</v>
      </c>
      <c r="P339" s="2"/>
      <c r="Q339" s="2"/>
      <c r="R339" s="2">
        <f>IFERROR(VLOOKUP(A339,'[1]Recintos Cochabamba'!A$1:R$838,17,FALSE),0)</f>
        <v>6</v>
      </c>
      <c r="S339" s="3">
        <v>0</v>
      </c>
    </row>
    <row r="340" spans="1:19" x14ac:dyDescent="0.25">
      <c r="A340" s="2">
        <v>2114</v>
      </c>
      <c r="B340" s="2" t="s">
        <v>19</v>
      </c>
      <c r="C340" s="2" t="s">
        <v>1244</v>
      </c>
      <c r="D340" s="2" t="s">
        <v>1276</v>
      </c>
      <c r="E340" s="2" t="s">
        <v>1280</v>
      </c>
      <c r="F340" s="2" t="s">
        <v>1281</v>
      </c>
      <c r="G340" s="2" t="s">
        <v>1282</v>
      </c>
      <c r="H340" s="2" t="s">
        <v>1280</v>
      </c>
      <c r="I340" s="2">
        <v>27</v>
      </c>
      <c r="J340" s="2" t="s">
        <v>24</v>
      </c>
      <c r="K340" s="2">
        <v>-17.768599999999999</v>
      </c>
      <c r="L340" s="2">
        <v>-66.596999999999994</v>
      </c>
      <c r="M340" s="2" t="s">
        <v>776</v>
      </c>
      <c r="N340" s="2">
        <v>2114</v>
      </c>
      <c r="O340" s="2" t="s">
        <v>1283</v>
      </c>
      <c r="P340" s="2"/>
      <c r="Q340" s="2"/>
      <c r="R340" s="2">
        <f>IFERROR(VLOOKUP(A340,'[1]Recintos Cochabamba'!A$1:R$838,17,FALSE),0)</f>
        <v>2</v>
      </c>
      <c r="S340" s="3">
        <f>IFERROR(VLOOKUP(A340,'[1]Recintos Cochabamba'!A$1:T$838,18,FALSE),0)</f>
        <v>0.8486587525414836</v>
      </c>
    </row>
    <row r="341" spans="1:19" x14ac:dyDescent="0.25">
      <c r="A341" s="2">
        <v>2115</v>
      </c>
      <c r="B341" s="2" t="s">
        <v>19</v>
      </c>
      <c r="C341" s="2" t="s">
        <v>1244</v>
      </c>
      <c r="D341" s="2" t="s">
        <v>1276</v>
      </c>
      <c r="E341" s="2" t="s">
        <v>1284</v>
      </c>
      <c r="F341" s="2" t="s">
        <v>1285</v>
      </c>
      <c r="G341" s="2" t="s">
        <v>1286</v>
      </c>
      <c r="H341" s="2" t="s">
        <v>1284</v>
      </c>
      <c r="I341" s="2">
        <v>27</v>
      </c>
      <c r="J341" s="2" t="s">
        <v>24</v>
      </c>
      <c r="K341" s="2">
        <v>-17.7972</v>
      </c>
      <c r="L341" s="2">
        <v>-66.671000000000006</v>
      </c>
      <c r="M341" s="2" t="s">
        <v>776</v>
      </c>
      <c r="N341" s="2">
        <v>2115</v>
      </c>
      <c r="O341" s="2" t="s">
        <v>1287</v>
      </c>
      <c r="P341" s="2"/>
      <c r="Q341" s="2"/>
      <c r="R341" s="2">
        <f>IFERROR(VLOOKUP(A341,'[1]Recintos Cochabamba'!A$1:R$838,17,FALSE),0)</f>
        <v>2</v>
      </c>
      <c r="S341" s="3">
        <f>IFERROR(VLOOKUP(A341,'[1]Recintos Cochabamba'!A$1:T$838,18,FALSE),0)</f>
        <v>0.89147666578605811</v>
      </c>
    </row>
    <row r="342" spans="1:19" x14ac:dyDescent="0.25">
      <c r="A342" s="2">
        <v>2116</v>
      </c>
      <c r="B342" s="2" t="s">
        <v>19</v>
      </c>
      <c r="C342" s="2" t="s">
        <v>1244</v>
      </c>
      <c r="D342" s="2" t="s">
        <v>1276</v>
      </c>
      <c r="E342" s="2" t="s">
        <v>1288</v>
      </c>
      <c r="F342" s="2" t="s">
        <v>1289</v>
      </c>
      <c r="G342" s="2" t="s">
        <v>1286</v>
      </c>
      <c r="H342" s="2" t="s">
        <v>1290</v>
      </c>
      <c r="I342" s="2">
        <v>27</v>
      </c>
      <c r="J342" s="2" t="s">
        <v>24</v>
      </c>
      <c r="K342" s="2">
        <v>-17.8612</v>
      </c>
      <c r="L342" s="2">
        <v>-66.7012</v>
      </c>
      <c r="M342" s="2" t="s">
        <v>25</v>
      </c>
      <c r="N342" s="2">
        <v>2116</v>
      </c>
      <c r="O342" s="2" t="s">
        <v>1291</v>
      </c>
      <c r="P342" s="2"/>
      <c r="Q342" s="2"/>
      <c r="R342" s="2">
        <f>IFERROR(VLOOKUP(A342,'[1]Recintos Cochabamba'!A$1:R$838,17,FALSE),0)</f>
        <v>1</v>
      </c>
      <c r="S342" s="3">
        <v>0</v>
      </c>
    </row>
    <row r="343" spans="1:19" x14ac:dyDescent="0.25">
      <c r="A343" s="2">
        <v>2117</v>
      </c>
      <c r="B343" s="2" t="s">
        <v>19</v>
      </c>
      <c r="C343" s="2" t="s">
        <v>1244</v>
      </c>
      <c r="D343" s="2" t="s">
        <v>1276</v>
      </c>
      <c r="E343" s="2" t="s">
        <v>1292</v>
      </c>
      <c r="F343" s="2" t="s">
        <v>1293</v>
      </c>
      <c r="G343" s="2" t="s">
        <v>1286</v>
      </c>
      <c r="H343" s="2" t="s">
        <v>1292</v>
      </c>
      <c r="I343" s="2">
        <v>27</v>
      </c>
      <c r="J343" s="2" t="s">
        <v>24</v>
      </c>
      <c r="K343" s="2">
        <v>-17.884</v>
      </c>
      <c r="L343" s="2">
        <v>-66.615499999999997</v>
      </c>
      <c r="M343" s="2" t="s">
        <v>25</v>
      </c>
      <c r="N343" s="2">
        <v>2117</v>
      </c>
      <c r="O343" s="2" t="s">
        <v>1294</v>
      </c>
      <c r="P343" s="2"/>
      <c r="Q343" s="2"/>
      <c r="R343" s="2">
        <f>IFERROR(VLOOKUP(A343,'[1]Recintos Cochabamba'!A$1:R$838,17,FALSE),0)</f>
        <v>4</v>
      </c>
      <c r="S343" s="3">
        <f>IFERROR(VLOOKUP(A343,'[1]Recintos Cochabamba'!A$1:T$838,18,FALSE),0)</f>
        <v>0.95135664539353826</v>
      </c>
    </row>
    <row r="344" spans="1:19" x14ac:dyDescent="0.25">
      <c r="A344" s="2">
        <v>2118</v>
      </c>
      <c r="B344" s="2" t="s">
        <v>19</v>
      </c>
      <c r="C344" s="2" t="s">
        <v>1244</v>
      </c>
      <c r="D344" s="2" t="s">
        <v>1276</v>
      </c>
      <c r="E344" s="2" t="s">
        <v>1295</v>
      </c>
      <c r="F344" s="2" t="s">
        <v>1296</v>
      </c>
      <c r="G344" s="2" t="s">
        <v>1286</v>
      </c>
      <c r="H344" s="2" t="s">
        <v>1295</v>
      </c>
      <c r="I344" s="2">
        <v>27</v>
      </c>
      <c r="J344" s="2" t="s">
        <v>24</v>
      </c>
      <c r="K344" s="2">
        <v>-17.7119</v>
      </c>
      <c r="L344" s="2">
        <v>-66.739999999999995</v>
      </c>
      <c r="M344" s="2" t="s">
        <v>25</v>
      </c>
      <c r="N344" s="2">
        <v>2118</v>
      </c>
      <c r="O344" s="2" t="s">
        <v>1297</v>
      </c>
      <c r="P344" s="2"/>
      <c r="Q344" s="2"/>
      <c r="R344" s="2">
        <f>IFERROR(VLOOKUP(A344,'[1]Recintos Cochabamba'!A$1:R$838,17,FALSE),0)</f>
        <v>1</v>
      </c>
      <c r="S344" s="3">
        <f>IFERROR(VLOOKUP(A344,'[1]Recintos Cochabamba'!A$1:T$838,18,FALSE),0)</f>
        <v>0.98989898989898983</v>
      </c>
    </row>
    <row r="345" spans="1:19" x14ac:dyDescent="0.25">
      <c r="A345" s="2">
        <v>2119</v>
      </c>
      <c r="B345" s="2" t="s">
        <v>19</v>
      </c>
      <c r="C345" s="2" t="s">
        <v>1244</v>
      </c>
      <c r="D345" s="2" t="s">
        <v>1276</v>
      </c>
      <c r="E345" s="2" t="s">
        <v>1298</v>
      </c>
      <c r="F345" s="2" t="s">
        <v>1299</v>
      </c>
      <c r="G345" s="2" t="s">
        <v>1282</v>
      </c>
      <c r="H345" s="2" t="s">
        <v>1298</v>
      </c>
      <c r="I345" s="2">
        <v>27</v>
      </c>
      <c r="J345" s="2" t="s">
        <v>24</v>
      </c>
      <c r="K345" s="2">
        <v>-17.821400000000001</v>
      </c>
      <c r="L345" s="2">
        <v>-66.614199999999997</v>
      </c>
      <c r="M345" s="2" t="s">
        <v>25</v>
      </c>
      <c r="N345" s="2">
        <v>2119</v>
      </c>
      <c r="O345" s="2" t="s">
        <v>1300</v>
      </c>
      <c r="P345" s="2"/>
      <c r="Q345" s="2"/>
      <c r="R345" s="2">
        <f>IFERROR(VLOOKUP(A345,'[1]Recintos Cochabamba'!A$1:R$838,17,FALSE),0)</f>
        <v>1</v>
      </c>
      <c r="S345" s="3">
        <f>IFERROR(VLOOKUP(A345,'[1]Recintos Cochabamba'!A$1:T$838,18,FALSE),0)</f>
        <v>0.90476190476190477</v>
      </c>
    </row>
    <row r="346" spans="1:19" x14ac:dyDescent="0.25">
      <c r="A346" s="2">
        <v>2120</v>
      </c>
      <c r="B346" s="2" t="s">
        <v>19</v>
      </c>
      <c r="C346" s="2" t="s">
        <v>1244</v>
      </c>
      <c r="D346" s="2" t="s">
        <v>1276</v>
      </c>
      <c r="E346" s="2" t="s">
        <v>1301</v>
      </c>
      <c r="F346" s="2" t="s">
        <v>1302</v>
      </c>
      <c r="G346" s="2" t="s">
        <v>1282</v>
      </c>
      <c r="H346" s="2" t="s">
        <v>1301</v>
      </c>
      <c r="I346" s="2">
        <v>27</v>
      </c>
      <c r="J346" s="2" t="s">
        <v>24</v>
      </c>
      <c r="K346" s="2">
        <v>-17.782800000000002</v>
      </c>
      <c r="L346" s="2">
        <v>-66.537400000000005</v>
      </c>
      <c r="M346" s="2" t="s">
        <v>25</v>
      </c>
      <c r="N346" s="2">
        <v>2120</v>
      </c>
      <c r="O346" s="2" t="s">
        <v>1303</v>
      </c>
      <c r="P346" s="2"/>
      <c r="Q346" s="2"/>
      <c r="R346" s="2">
        <f>IFERROR(VLOOKUP(A346,'[1]Recintos Cochabamba'!A$1:R$838,17,FALSE),0)</f>
        <v>3</v>
      </c>
      <c r="S346" s="3">
        <f>IFERROR(VLOOKUP(A346,'[1]Recintos Cochabamba'!A$1:T$838,18,FALSE),0)</f>
        <v>0.98461978273299033</v>
      </c>
    </row>
    <row r="347" spans="1:19" x14ac:dyDescent="0.25">
      <c r="A347" s="2">
        <v>2121</v>
      </c>
      <c r="B347" s="2" t="s">
        <v>19</v>
      </c>
      <c r="C347" s="2" t="s">
        <v>1244</v>
      </c>
      <c r="D347" s="2" t="s">
        <v>1276</v>
      </c>
      <c r="E347" s="2" t="s">
        <v>1304</v>
      </c>
      <c r="F347" s="2" t="s">
        <v>1305</v>
      </c>
      <c r="G347" s="2" t="s">
        <v>1286</v>
      </c>
      <c r="H347" s="2" t="s">
        <v>1306</v>
      </c>
      <c r="I347" s="2">
        <v>27</v>
      </c>
      <c r="J347" s="2" t="s">
        <v>24</v>
      </c>
      <c r="K347" s="2">
        <v>-17.757418000000001</v>
      </c>
      <c r="L347" s="2">
        <v>-66.721633999999995</v>
      </c>
      <c r="M347" s="2" t="s">
        <v>25</v>
      </c>
      <c r="N347" s="2">
        <v>2121</v>
      </c>
      <c r="O347" s="2" t="s">
        <v>1307</v>
      </c>
      <c r="P347" s="2"/>
      <c r="Q347" s="2"/>
      <c r="R347" s="2">
        <f>IFERROR(VLOOKUP(A347,'[1]Recintos Cochabamba'!A$1:R$838,17,FALSE),0)</f>
        <v>1</v>
      </c>
      <c r="S347" s="3">
        <f>IFERROR(VLOOKUP(A347,'[1]Recintos Cochabamba'!A$1:T$838,18,FALSE),0)</f>
        <v>0.94680851063829785</v>
      </c>
    </row>
    <row r="348" spans="1:19" x14ac:dyDescent="0.25">
      <c r="A348" s="2">
        <v>2122</v>
      </c>
      <c r="B348" s="2" t="s">
        <v>19</v>
      </c>
      <c r="C348" s="2" t="s">
        <v>1244</v>
      </c>
      <c r="D348" s="2" t="s">
        <v>1276</v>
      </c>
      <c r="E348" s="2" t="s">
        <v>1308</v>
      </c>
      <c r="F348" s="2" t="s">
        <v>1309</v>
      </c>
      <c r="G348" s="2" t="s">
        <v>1282</v>
      </c>
      <c r="H348" s="2" t="s">
        <v>1310</v>
      </c>
      <c r="I348" s="2">
        <v>27</v>
      </c>
      <c r="J348" s="2" t="s">
        <v>24</v>
      </c>
      <c r="K348" s="2">
        <v>-17.827389</v>
      </c>
      <c r="L348" s="2">
        <v>-66.59478</v>
      </c>
      <c r="M348" s="2" t="s">
        <v>776</v>
      </c>
      <c r="N348" s="2">
        <v>2122</v>
      </c>
      <c r="O348" s="2" t="s">
        <v>1311</v>
      </c>
      <c r="P348" s="2"/>
      <c r="Q348" s="2"/>
      <c r="R348" s="2">
        <f>IFERROR(VLOOKUP(A348,'[1]Recintos Cochabamba'!A$1:R$838,17,FALSE),0)</f>
        <v>1</v>
      </c>
      <c r="S348" s="3">
        <f>IFERROR(VLOOKUP(A348,'[1]Recintos Cochabamba'!A$1:T$838,18,FALSE),0)</f>
        <v>0.95652173913043481</v>
      </c>
    </row>
    <row r="349" spans="1:19" x14ac:dyDescent="0.25">
      <c r="A349" s="2">
        <v>2123</v>
      </c>
      <c r="B349" s="2" t="s">
        <v>19</v>
      </c>
      <c r="C349" s="2" t="s">
        <v>1312</v>
      </c>
      <c r="D349" s="2" t="s">
        <v>1312</v>
      </c>
      <c r="E349" s="2" t="s">
        <v>1312</v>
      </c>
      <c r="F349" s="2" t="s">
        <v>1313</v>
      </c>
      <c r="G349" s="2" t="s">
        <v>1314</v>
      </c>
      <c r="H349" s="2" t="s">
        <v>1312</v>
      </c>
      <c r="I349" s="2">
        <v>26</v>
      </c>
      <c r="J349" s="2" t="s">
        <v>24</v>
      </c>
      <c r="K349" s="2">
        <v>-17.713999999999999</v>
      </c>
      <c r="L349" s="2">
        <v>-66.264700000000005</v>
      </c>
      <c r="M349" s="2" t="s">
        <v>776</v>
      </c>
      <c r="N349" s="2">
        <v>2123</v>
      </c>
      <c r="O349" s="2" t="s">
        <v>1315</v>
      </c>
      <c r="P349" s="2"/>
      <c r="Q349" s="2"/>
      <c r="R349" s="2">
        <f>IFERROR(VLOOKUP(A349,'[1]Recintos Cochabamba'!A$1:R$838,17,FALSE),0)</f>
        <v>15</v>
      </c>
      <c r="S349" s="3">
        <f>IFERROR(VLOOKUP(A349,'[1]Recintos Cochabamba'!A$1:T$838,18,FALSE),0)</f>
        <v>0.72209628924511005</v>
      </c>
    </row>
    <row r="350" spans="1:19" x14ac:dyDescent="0.25">
      <c r="A350" s="2">
        <v>2124</v>
      </c>
      <c r="B350" s="2" t="s">
        <v>19</v>
      </c>
      <c r="C350" s="2" t="s">
        <v>1312</v>
      </c>
      <c r="D350" s="2" t="s">
        <v>1312</v>
      </c>
      <c r="E350" s="2" t="s">
        <v>1312</v>
      </c>
      <c r="F350" s="2" t="s">
        <v>1316</v>
      </c>
      <c r="G350" s="2" t="s">
        <v>1314</v>
      </c>
      <c r="H350" s="2" t="s">
        <v>1312</v>
      </c>
      <c r="I350" s="2">
        <v>26</v>
      </c>
      <c r="J350" s="2" t="s">
        <v>24</v>
      </c>
      <c r="K350" s="2">
        <v>-17.713699999999999</v>
      </c>
      <c r="L350" s="2">
        <v>-66.264799999999994</v>
      </c>
      <c r="M350" s="2" t="s">
        <v>776</v>
      </c>
      <c r="N350" s="2">
        <v>2124</v>
      </c>
      <c r="O350" s="2" t="s">
        <v>1317</v>
      </c>
      <c r="P350" s="2"/>
      <c r="Q350" s="2"/>
      <c r="R350" s="2">
        <f>IFERROR(VLOOKUP(A350,'[1]Recintos Cochabamba'!A$1:R$838,17,FALSE),0)</f>
        <v>8</v>
      </c>
      <c r="S350" s="3">
        <f>IFERROR(VLOOKUP(A350,'[1]Recintos Cochabamba'!A$1:T$838,18,FALSE),0)</f>
        <v>0.82811139223161734</v>
      </c>
    </row>
    <row r="351" spans="1:19" x14ac:dyDescent="0.25">
      <c r="A351" s="2">
        <v>2125</v>
      </c>
      <c r="B351" s="2" t="s">
        <v>19</v>
      </c>
      <c r="C351" s="2" t="s">
        <v>1312</v>
      </c>
      <c r="D351" s="2" t="s">
        <v>1312</v>
      </c>
      <c r="E351" s="2" t="s">
        <v>1312</v>
      </c>
      <c r="F351" s="2" t="s">
        <v>1318</v>
      </c>
      <c r="G351" s="2" t="s">
        <v>1314</v>
      </c>
      <c r="H351" s="2" t="s">
        <v>1319</v>
      </c>
      <c r="I351" s="2">
        <v>26</v>
      </c>
      <c r="J351" s="2" t="s">
        <v>24</v>
      </c>
      <c r="K351" s="2">
        <v>-17.696583</v>
      </c>
      <c r="L351" s="2">
        <v>-66.261086000000006</v>
      </c>
      <c r="M351" s="2" t="s">
        <v>776</v>
      </c>
      <c r="N351" s="2">
        <v>2125</v>
      </c>
      <c r="O351" s="2" t="s">
        <v>1320</v>
      </c>
      <c r="P351" s="2"/>
      <c r="Q351" s="2"/>
      <c r="R351" s="2">
        <f>IFERROR(VLOOKUP(A351,'[1]Recintos Cochabamba'!A$1:R$838,17,FALSE),0)</f>
        <v>4</v>
      </c>
      <c r="S351" s="3">
        <f>IFERROR(VLOOKUP(A351,'[1]Recintos Cochabamba'!A$1:T$838,18,FALSE),0)</f>
        <v>0.76385888994584639</v>
      </c>
    </row>
    <row r="352" spans="1:19" x14ac:dyDescent="0.25">
      <c r="A352" s="2">
        <v>2126</v>
      </c>
      <c r="B352" s="2" t="s">
        <v>19</v>
      </c>
      <c r="C352" s="2" t="s">
        <v>1312</v>
      </c>
      <c r="D352" s="2" t="s">
        <v>1312</v>
      </c>
      <c r="E352" s="2" t="s">
        <v>1312</v>
      </c>
      <c r="F352" s="2" t="s">
        <v>1321</v>
      </c>
      <c r="G352" s="2" t="s">
        <v>1314</v>
      </c>
      <c r="H352" s="2" t="s">
        <v>1322</v>
      </c>
      <c r="I352" s="2">
        <v>26</v>
      </c>
      <c r="J352" s="2" t="s">
        <v>24</v>
      </c>
      <c r="K352" s="2">
        <v>-17.70823</v>
      </c>
      <c r="L352" s="2">
        <v>-66.265557000000001</v>
      </c>
      <c r="M352" s="2" t="s">
        <v>776</v>
      </c>
      <c r="N352" s="2">
        <v>2126</v>
      </c>
      <c r="O352" s="2" t="s">
        <v>1323</v>
      </c>
      <c r="P352" s="2"/>
      <c r="Q352" s="2"/>
      <c r="R352" s="2">
        <f>IFERROR(VLOOKUP(A352,'[1]Recintos Cochabamba'!A$1:R$838,17,FALSE),0)</f>
        <v>2</v>
      </c>
      <c r="S352" s="3">
        <v>0</v>
      </c>
    </row>
    <row r="353" spans="1:19" x14ac:dyDescent="0.25">
      <c r="A353" s="2">
        <v>2127</v>
      </c>
      <c r="B353" s="2" t="s">
        <v>19</v>
      </c>
      <c r="C353" s="2" t="s">
        <v>1312</v>
      </c>
      <c r="D353" s="2" t="s">
        <v>1312</v>
      </c>
      <c r="E353" s="2" t="s">
        <v>1324</v>
      </c>
      <c r="F353" s="2" t="s">
        <v>1325</v>
      </c>
      <c r="G353" s="2" t="s">
        <v>1326</v>
      </c>
      <c r="H353" s="2" t="s">
        <v>1327</v>
      </c>
      <c r="I353" s="2">
        <v>26</v>
      </c>
      <c r="J353" s="2" t="s">
        <v>24</v>
      </c>
      <c r="K353" s="2">
        <v>-17.721800000000002</v>
      </c>
      <c r="L353" s="2">
        <v>-66.284899999999993</v>
      </c>
      <c r="M353" s="2" t="s">
        <v>776</v>
      </c>
      <c r="N353" s="2">
        <v>2127</v>
      </c>
      <c r="O353" s="2" t="s">
        <v>1328</v>
      </c>
      <c r="P353" s="2"/>
      <c r="Q353" s="2"/>
      <c r="R353" s="2">
        <f>IFERROR(VLOOKUP(A353,'[1]Recintos Cochabamba'!A$1:R$838,17,FALSE),0)</f>
        <v>16</v>
      </c>
      <c r="S353" s="3">
        <f>IFERROR(VLOOKUP(A353,'[1]Recintos Cochabamba'!A$1:T$838,18,FALSE),0)</f>
        <v>0.71390978576219677</v>
      </c>
    </row>
    <row r="354" spans="1:19" x14ac:dyDescent="0.25">
      <c r="A354" s="2">
        <v>2128</v>
      </c>
      <c r="B354" s="2" t="s">
        <v>19</v>
      </c>
      <c r="C354" s="2" t="s">
        <v>1312</v>
      </c>
      <c r="D354" s="2" t="s">
        <v>1312</v>
      </c>
      <c r="E354" s="2" t="s">
        <v>1324</v>
      </c>
      <c r="F354" s="2" t="s">
        <v>1329</v>
      </c>
      <c r="G354" s="2" t="s">
        <v>1326</v>
      </c>
      <c r="H354" s="2" t="s">
        <v>1330</v>
      </c>
      <c r="I354" s="2">
        <v>26</v>
      </c>
      <c r="J354" s="2" t="s">
        <v>24</v>
      </c>
      <c r="K354" s="2">
        <v>-17.718471000000001</v>
      </c>
      <c r="L354" s="2">
        <v>-66.289683999999994</v>
      </c>
      <c r="M354" s="2" t="s">
        <v>776</v>
      </c>
      <c r="N354" s="2">
        <v>2128</v>
      </c>
      <c r="O354" s="2" t="s">
        <v>1331</v>
      </c>
      <c r="P354" s="2"/>
      <c r="Q354" s="2"/>
      <c r="R354" s="2">
        <f>IFERROR(VLOOKUP(A354,'[1]Recintos Cochabamba'!A$1:R$838,17,FALSE),0)</f>
        <v>1</v>
      </c>
      <c r="S354" s="3">
        <v>0</v>
      </c>
    </row>
    <row r="355" spans="1:19" x14ac:dyDescent="0.25">
      <c r="A355" s="2">
        <v>2129</v>
      </c>
      <c r="B355" s="2" t="s">
        <v>19</v>
      </c>
      <c r="C355" s="2" t="s">
        <v>1312</v>
      </c>
      <c r="D355" s="2" t="s">
        <v>1312</v>
      </c>
      <c r="E355" s="2" t="s">
        <v>1332</v>
      </c>
      <c r="F355" s="2" t="s">
        <v>1333</v>
      </c>
      <c r="G355" s="2" t="s">
        <v>1334</v>
      </c>
      <c r="H355" s="2" t="s">
        <v>1332</v>
      </c>
      <c r="I355" s="2">
        <v>26</v>
      </c>
      <c r="J355" s="2" t="s">
        <v>24</v>
      </c>
      <c r="K355" s="2">
        <v>-17.613499999999998</v>
      </c>
      <c r="L355" s="2">
        <v>-66.291399999999996</v>
      </c>
      <c r="M355" s="2" t="s">
        <v>25</v>
      </c>
      <c r="N355" s="2">
        <v>2129</v>
      </c>
      <c r="O355" s="2" t="s">
        <v>1335</v>
      </c>
      <c r="P355" s="2"/>
      <c r="Q355" s="2"/>
      <c r="R355" s="2">
        <f>IFERROR(VLOOKUP(A355,'[1]Recintos Cochabamba'!A$1:R$838,17,FALSE),0)</f>
        <v>4</v>
      </c>
      <c r="S355" s="3">
        <f>IFERROR(VLOOKUP(A355,'[1]Recintos Cochabamba'!A$1:T$838,18,FALSE),0)</f>
        <v>0.82713750833461552</v>
      </c>
    </row>
    <row r="356" spans="1:19" x14ac:dyDescent="0.25">
      <c r="A356" s="2">
        <v>2130</v>
      </c>
      <c r="B356" s="2" t="s">
        <v>19</v>
      </c>
      <c r="C356" s="2" t="s">
        <v>1312</v>
      </c>
      <c r="D356" s="2" t="s">
        <v>1312</v>
      </c>
      <c r="E356" s="2" t="s">
        <v>1336</v>
      </c>
      <c r="F356" s="2" t="s">
        <v>1337</v>
      </c>
      <c r="G356" s="2" t="s">
        <v>1338</v>
      </c>
      <c r="H356" s="2" t="s">
        <v>1336</v>
      </c>
      <c r="I356" s="2">
        <v>26</v>
      </c>
      <c r="J356" s="2" t="s">
        <v>24</v>
      </c>
      <c r="K356" s="2">
        <v>-17.862300000000001</v>
      </c>
      <c r="L356" s="2">
        <v>-66.254999999999995</v>
      </c>
      <c r="M356" s="2" t="s">
        <v>776</v>
      </c>
      <c r="N356" s="2">
        <v>2130</v>
      </c>
      <c r="O356" s="2" t="s">
        <v>1339</v>
      </c>
      <c r="P356" s="2"/>
      <c r="Q356" s="2"/>
      <c r="R356" s="2">
        <f>IFERROR(VLOOKUP(A356,'[1]Recintos Cochabamba'!A$1:R$838,17,FALSE),0)</f>
        <v>3</v>
      </c>
      <c r="S356" s="3">
        <f>IFERROR(VLOOKUP(A356,'[1]Recintos Cochabamba'!A$1:T$838,18,FALSE),0)</f>
        <v>0.94480314011363653</v>
      </c>
    </row>
    <row r="357" spans="1:19" x14ac:dyDescent="0.25">
      <c r="A357" s="2">
        <v>2131</v>
      </c>
      <c r="B357" s="2" t="s">
        <v>19</v>
      </c>
      <c r="C357" s="2" t="s">
        <v>1312</v>
      </c>
      <c r="D357" s="2" t="s">
        <v>1312</v>
      </c>
      <c r="E357" s="2" t="s">
        <v>1340</v>
      </c>
      <c r="F357" s="2" t="s">
        <v>1341</v>
      </c>
      <c r="G357" s="2" t="s">
        <v>1342</v>
      </c>
      <c r="H357" s="2" t="s">
        <v>1340</v>
      </c>
      <c r="I357" s="2">
        <v>26</v>
      </c>
      <c r="J357" s="2" t="s">
        <v>24</v>
      </c>
      <c r="K357" s="2">
        <v>-17.886600000000001</v>
      </c>
      <c r="L357" s="2">
        <v>-66.201300000000003</v>
      </c>
      <c r="M357" s="2" t="s">
        <v>776</v>
      </c>
      <c r="N357" s="2">
        <v>2131</v>
      </c>
      <c r="O357" s="2" t="s">
        <v>1343</v>
      </c>
      <c r="P357" s="2"/>
      <c r="Q357" s="2"/>
      <c r="R357" s="2">
        <f>IFERROR(VLOOKUP(A357,'[1]Recintos Cochabamba'!A$1:R$838,17,FALSE),0)</f>
        <v>2</v>
      </c>
      <c r="S357" s="3">
        <f>IFERROR(VLOOKUP(A357,'[1]Recintos Cochabamba'!A$1:T$838,18,FALSE),0)</f>
        <v>0.92738095238095242</v>
      </c>
    </row>
    <row r="358" spans="1:19" x14ac:dyDescent="0.25">
      <c r="A358" s="2">
        <v>2132</v>
      </c>
      <c r="B358" s="2" t="s">
        <v>19</v>
      </c>
      <c r="C358" s="2" t="s">
        <v>1312</v>
      </c>
      <c r="D358" s="2" t="s">
        <v>1312</v>
      </c>
      <c r="E358" s="2" t="s">
        <v>1344</v>
      </c>
      <c r="F358" s="2" t="s">
        <v>1345</v>
      </c>
      <c r="G358" s="2" t="s">
        <v>1338</v>
      </c>
      <c r="H358" s="2" t="s">
        <v>1344</v>
      </c>
      <c r="I358" s="2">
        <v>26</v>
      </c>
      <c r="J358" s="2" t="s">
        <v>24</v>
      </c>
      <c r="K358" s="2">
        <v>-17.685700000000001</v>
      </c>
      <c r="L358" s="2">
        <v>-66.194900000000004</v>
      </c>
      <c r="M358" s="2" t="s">
        <v>776</v>
      </c>
      <c r="N358" s="2">
        <v>2132</v>
      </c>
      <c r="O358" s="2" t="s">
        <v>1346</v>
      </c>
      <c r="P358" s="2"/>
      <c r="Q358" s="2"/>
      <c r="R358" s="2">
        <f>IFERROR(VLOOKUP(A358,'[1]Recintos Cochabamba'!A$1:R$838,17,FALSE),0)</f>
        <v>2</v>
      </c>
      <c r="S358" s="3">
        <f>IFERROR(VLOOKUP(A358,'[1]Recintos Cochabamba'!A$1:T$838,18,FALSE),0)</f>
        <v>0.9579411764705883</v>
      </c>
    </row>
    <row r="359" spans="1:19" x14ac:dyDescent="0.25">
      <c r="A359" s="2">
        <v>2133</v>
      </c>
      <c r="B359" s="2" t="s">
        <v>19</v>
      </c>
      <c r="C359" s="2" t="s">
        <v>1312</v>
      </c>
      <c r="D359" s="2" t="s">
        <v>1312</v>
      </c>
      <c r="E359" s="2" t="s">
        <v>1347</v>
      </c>
      <c r="F359" s="2" t="s">
        <v>1348</v>
      </c>
      <c r="G359" s="2" t="s">
        <v>1349</v>
      </c>
      <c r="H359" s="2" t="s">
        <v>1347</v>
      </c>
      <c r="I359" s="2">
        <v>26</v>
      </c>
      <c r="J359" s="2" t="s">
        <v>24</v>
      </c>
      <c r="K359" s="2">
        <v>-17.860533</v>
      </c>
      <c r="L359" s="2">
        <v>-66.130232000000007</v>
      </c>
      <c r="M359" s="2" t="s">
        <v>776</v>
      </c>
      <c r="N359" s="2">
        <v>2133</v>
      </c>
      <c r="O359" s="2" t="s">
        <v>1350</v>
      </c>
      <c r="P359" s="2"/>
      <c r="Q359" s="2"/>
      <c r="R359" s="2">
        <f>IFERROR(VLOOKUP(A359,'[1]Recintos Cochabamba'!A$1:R$838,17,FALSE),0)</f>
        <v>1</v>
      </c>
      <c r="S359" s="3">
        <v>0</v>
      </c>
    </row>
    <row r="360" spans="1:19" x14ac:dyDescent="0.25">
      <c r="A360" s="2">
        <v>2134</v>
      </c>
      <c r="B360" s="2" t="s">
        <v>19</v>
      </c>
      <c r="C360" s="2" t="s">
        <v>1312</v>
      </c>
      <c r="D360" s="2" t="s">
        <v>1312</v>
      </c>
      <c r="E360" s="2" t="s">
        <v>1351</v>
      </c>
      <c r="F360" s="2" t="s">
        <v>1352</v>
      </c>
      <c r="G360" s="2" t="s">
        <v>1338</v>
      </c>
      <c r="H360" s="2" t="s">
        <v>1351</v>
      </c>
      <c r="I360" s="2">
        <v>26</v>
      </c>
      <c r="J360" s="2" t="s">
        <v>24</v>
      </c>
      <c r="K360" s="2">
        <v>-17.732900000000001</v>
      </c>
      <c r="L360" s="2">
        <v>-66.271199999999993</v>
      </c>
      <c r="M360" s="2" t="s">
        <v>776</v>
      </c>
      <c r="N360" s="2">
        <v>2134</v>
      </c>
      <c r="O360" s="2" t="s">
        <v>1353</v>
      </c>
      <c r="P360" s="2"/>
      <c r="Q360" s="2"/>
      <c r="R360" s="2">
        <f>IFERROR(VLOOKUP(A360,'[1]Recintos Cochabamba'!A$1:R$838,17,FALSE),0)</f>
        <v>3</v>
      </c>
      <c r="S360" s="3">
        <f>IFERROR(VLOOKUP(A360,'[1]Recintos Cochabamba'!A$1:T$838,18,FALSE),0)</f>
        <v>0.86034182649957669</v>
      </c>
    </row>
    <row r="361" spans="1:19" x14ac:dyDescent="0.25">
      <c r="A361" s="2">
        <v>2135</v>
      </c>
      <c r="B361" s="2" t="s">
        <v>19</v>
      </c>
      <c r="C361" s="2" t="s">
        <v>1312</v>
      </c>
      <c r="D361" s="2" t="s">
        <v>1312</v>
      </c>
      <c r="E361" s="2" t="s">
        <v>1354</v>
      </c>
      <c r="F361" s="2" t="s">
        <v>1355</v>
      </c>
      <c r="G361" s="2" t="s">
        <v>1356</v>
      </c>
      <c r="H361" s="2" t="s">
        <v>1357</v>
      </c>
      <c r="I361" s="2">
        <v>26</v>
      </c>
      <c r="J361" s="2" t="s">
        <v>24</v>
      </c>
      <c r="K361" s="2">
        <v>-17.649308000000001</v>
      </c>
      <c r="L361" s="2">
        <v>-66.242401999999998</v>
      </c>
      <c r="M361" s="2" t="s">
        <v>776</v>
      </c>
      <c r="N361" s="2">
        <v>2135</v>
      </c>
      <c r="O361" s="2" t="s">
        <v>1358</v>
      </c>
      <c r="P361" s="2"/>
      <c r="Q361" s="2"/>
      <c r="R361" s="2">
        <f>IFERROR(VLOOKUP(A361,'[1]Recintos Cochabamba'!A$1:R$838,17,FALSE),0)</f>
        <v>2</v>
      </c>
      <c r="S361" s="3">
        <f>IFERROR(VLOOKUP(A361,'[1]Recintos Cochabamba'!A$1:T$838,18,FALSE),0)</f>
        <v>0.69444444444444442</v>
      </c>
    </row>
    <row r="362" spans="1:19" x14ac:dyDescent="0.25">
      <c r="A362" s="2">
        <v>2136</v>
      </c>
      <c r="B362" s="2" t="s">
        <v>19</v>
      </c>
      <c r="C362" s="2" t="s">
        <v>1312</v>
      </c>
      <c r="D362" s="2" t="s">
        <v>1359</v>
      </c>
      <c r="E362" s="2" t="s">
        <v>1359</v>
      </c>
      <c r="F362" s="2" t="s">
        <v>1360</v>
      </c>
      <c r="G362" s="2" t="s">
        <v>1361</v>
      </c>
      <c r="H362" s="2" t="s">
        <v>1359</v>
      </c>
      <c r="I362" s="2">
        <v>26</v>
      </c>
      <c r="J362" s="2" t="s">
        <v>24</v>
      </c>
      <c r="K362" s="2">
        <v>-17.5487</v>
      </c>
      <c r="L362" s="2">
        <v>-66.248099999999994</v>
      </c>
      <c r="M362" s="2" t="s">
        <v>776</v>
      </c>
      <c r="N362" s="2">
        <v>2136</v>
      </c>
      <c r="O362" s="2" t="s">
        <v>1362</v>
      </c>
      <c r="P362" s="2"/>
      <c r="Q362" s="2"/>
      <c r="R362" s="2">
        <f>IFERROR(VLOOKUP(A362,'[1]Recintos Cochabamba'!A$1:R$838,17,FALSE),0)</f>
        <v>11</v>
      </c>
      <c r="S362" s="3">
        <f>IFERROR(VLOOKUP(A362,'[1]Recintos Cochabamba'!A$1:T$838,18,FALSE),0)</f>
        <v>0.81627017152575609</v>
      </c>
    </row>
    <row r="363" spans="1:19" x14ac:dyDescent="0.25">
      <c r="A363" s="2">
        <v>2137</v>
      </c>
      <c r="B363" s="2" t="s">
        <v>19</v>
      </c>
      <c r="C363" s="2" t="s">
        <v>1312</v>
      </c>
      <c r="D363" s="2" t="s">
        <v>1359</v>
      </c>
      <c r="E363" s="2" t="s">
        <v>1363</v>
      </c>
      <c r="F363" s="2" t="s">
        <v>1364</v>
      </c>
      <c r="G363" s="2" t="s">
        <v>1365</v>
      </c>
      <c r="H363" s="2" t="s">
        <v>1363</v>
      </c>
      <c r="I363" s="2">
        <v>26</v>
      </c>
      <c r="J363" s="2" t="s">
        <v>24</v>
      </c>
      <c r="K363" s="2">
        <v>-17.546825999999999</v>
      </c>
      <c r="L363" s="2">
        <v>-66.270375999999999</v>
      </c>
      <c r="M363" s="2" t="s">
        <v>25</v>
      </c>
      <c r="N363" s="2">
        <v>2137</v>
      </c>
      <c r="O363" s="2" t="s">
        <v>1366</v>
      </c>
      <c r="P363" s="2"/>
      <c r="Q363" s="2"/>
      <c r="R363" s="2">
        <f>IFERROR(VLOOKUP(A363,'[1]Recintos Cochabamba'!A$1:R$838,17,FALSE),0)</f>
        <v>1</v>
      </c>
      <c r="S363" s="3">
        <f>IFERROR(VLOOKUP(A363,'[1]Recintos Cochabamba'!A$1:T$838,18,FALSE),0)</f>
        <v>0.83173076923076927</v>
      </c>
    </row>
    <row r="364" spans="1:19" x14ac:dyDescent="0.25">
      <c r="A364" s="2">
        <v>2138</v>
      </c>
      <c r="B364" s="2" t="s">
        <v>19</v>
      </c>
      <c r="C364" s="2" t="s">
        <v>1312</v>
      </c>
      <c r="D364" s="2" t="s">
        <v>1359</v>
      </c>
      <c r="E364" s="2" t="s">
        <v>1367</v>
      </c>
      <c r="F364" s="2" t="s">
        <v>1368</v>
      </c>
      <c r="G364" s="2" t="s">
        <v>1369</v>
      </c>
      <c r="H364" s="2" t="s">
        <v>1367</v>
      </c>
      <c r="I364" s="2">
        <v>26</v>
      </c>
      <c r="J364" s="2" t="s">
        <v>24</v>
      </c>
      <c r="K364" s="2">
        <v>-17.545300000000001</v>
      </c>
      <c r="L364" s="2">
        <v>-66.189099999999996</v>
      </c>
      <c r="M364" s="2" t="s">
        <v>776</v>
      </c>
      <c r="N364" s="2">
        <v>2138</v>
      </c>
      <c r="O364" s="2" t="s">
        <v>1370</v>
      </c>
      <c r="P364" s="2"/>
      <c r="Q364" s="2"/>
      <c r="R364" s="2">
        <f>IFERROR(VLOOKUP(A364,'[1]Recintos Cochabamba'!A$1:R$838,17,FALSE),0)</f>
        <v>3</v>
      </c>
      <c r="S364" s="3">
        <f>IFERROR(VLOOKUP(A364,'[1]Recintos Cochabamba'!A$1:T$838,18,FALSE),0)</f>
        <v>0.97568990727648475</v>
      </c>
    </row>
    <row r="365" spans="1:19" x14ac:dyDescent="0.25">
      <c r="A365" s="2">
        <v>2139</v>
      </c>
      <c r="B365" s="2" t="s">
        <v>19</v>
      </c>
      <c r="C365" s="2" t="s">
        <v>1312</v>
      </c>
      <c r="D365" s="2" t="s">
        <v>1359</v>
      </c>
      <c r="E365" s="2" t="s">
        <v>1371</v>
      </c>
      <c r="F365" s="2" t="s">
        <v>1372</v>
      </c>
      <c r="G365" s="2" t="s">
        <v>1369</v>
      </c>
      <c r="H365" s="2" t="s">
        <v>1371</v>
      </c>
      <c r="I365" s="2">
        <v>26</v>
      </c>
      <c r="J365" s="2" t="s">
        <v>24</v>
      </c>
      <c r="K365" s="2">
        <v>-17.550201000000001</v>
      </c>
      <c r="L365" s="2">
        <v>-66.140106000000003</v>
      </c>
      <c r="M365" s="2" t="s">
        <v>25</v>
      </c>
      <c r="N365" s="2">
        <v>2139</v>
      </c>
      <c r="O365" s="2" t="s">
        <v>1373</v>
      </c>
      <c r="P365" s="2"/>
      <c r="Q365" s="2"/>
      <c r="R365" s="2">
        <f>IFERROR(VLOOKUP(A365,'[1]Recintos Cochabamba'!A$1:R$838,17,FALSE),0)</f>
        <v>3</v>
      </c>
      <c r="S365" s="3">
        <f>IFERROR(VLOOKUP(A365,'[1]Recintos Cochabamba'!A$1:T$838,18,FALSE),0)</f>
        <v>0.91654324234728124</v>
      </c>
    </row>
    <row r="366" spans="1:19" x14ac:dyDescent="0.25">
      <c r="A366" s="2">
        <v>2140</v>
      </c>
      <c r="B366" s="2" t="s">
        <v>19</v>
      </c>
      <c r="C366" s="2" t="s">
        <v>1312</v>
      </c>
      <c r="D366" s="2" t="s">
        <v>1359</v>
      </c>
      <c r="E366" s="2" t="s">
        <v>1374</v>
      </c>
      <c r="F366" s="2" t="s">
        <v>1375</v>
      </c>
      <c r="G366" s="2" t="s">
        <v>1376</v>
      </c>
      <c r="H366" s="2" t="s">
        <v>1374</v>
      </c>
      <c r="I366" s="2">
        <v>26</v>
      </c>
      <c r="J366" s="2" t="s">
        <v>24</v>
      </c>
      <c r="K366" s="2">
        <v>-17.577999999999999</v>
      </c>
      <c r="L366" s="2">
        <v>-66.216300000000004</v>
      </c>
      <c r="M366" s="2" t="s">
        <v>25</v>
      </c>
      <c r="N366" s="2">
        <v>2140</v>
      </c>
      <c r="O366" s="2" t="s">
        <v>1377</v>
      </c>
      <c r="P366" s="2"/>
      <c r="Q366" s="2"/>
      <c r="R366" s="2">
        <f>IFERROR(VLOOKUP(A366,'[1]Recintos Cochabamba'!A$1:R$838,17,FALSE),0)</f>
        <v>3</v>
      </c>
      <c r="S366" s="3">
        <f>IFERROR(VLOOKUP(A366,'[1]Recintos Cochabamba'!A$1:T$838,18,FALSE),0)</f>
        <v>0.94237220015749779</v>
      </c>
    </row>
    <row r="367" spans="1:19" x14ac:dyDescent="0.25">
      <c r="A367" s="2">
        <v>2141</v>
      </c>
      <c r="B367" s="2" t="s">
        <v>19</v>
      </c>
      <c r="C367" s="2" t="s">
        <v>1312</v>
      </c>
      <c r="D367" s="2" t="s">
        <v>1359</v>
      </c>
      <c r="E367" s="2" t="s">
        <v>1378</v>
      </c>
      <c r="F367" s="2" t="s">
        <v>1379</v>
      </c>
      <c r="G367" s="2" t="s">
        <v>1376</v>
      </c>
      <c r="H367" s="2" t="s">
        <v>1378</v>
      </c>
      <c r="I367" s="2">
        <v>26</v>
      </c>
      <c r="J367" s="2" t="s">
        <v>24</v>
      </c>
      <c r="K367" s="2">
        <v>-17.617599999999999</v>
      </c>
      <c r="L367" s="2">
        <v>-66.146799999999999</v>
      </c>
      <c r="M367" s="2" t="s">
        <v>776</v>
      </c>
      <c r="N367" s="2">
        <v>2141</v>
      </c>
      <c r="O367" s="2" t="s">
        <v>1380</v>
      </c>
      <c r="P367" s="2"/>
      <c r="Q367" s="2"/>
      <c r="R367" s="2">
        <f>IFERROR(VLOOKUP(A367,'[1]Recintos Cochabamba'!A$1:R$838,17,FALSE),0)</f>
        <v>1</v>
      </c>
      <c r="S367" s="3">
        <f>IFERROR(VLOOKUP(A367,'[1]Recintos Cochabamba'!A$1:T$838,18,FALSE),0)</f>
        <v>0.9928057553956835</v>
      </c>
    </row>
    <row r="368" spans="1:19" x14ac:dyDescent="0.25">
      <c r="A368" s="2">
        <v>2142</v>
      </c>
      <c r="B368" s="2" t="s">
        <v>19</v>
      </c>
      <c r="C368" s="2" t="s">
        <v>1312</v>
      </c>
      <c r="D368" s="2" t="s">
        <v>1359</v>
      </c>
      <c r="E368" s="2" t="s">
        <v>1381</v>
      </c>
      <c r="F368" s="2" t="s">
        <v>1382</v>
      </c>
      <c r="G368" s="2" t="s">
        <v>1365</v>
      </c>
      <c r="H368" s="2" t="s">
        <v>1381</v>
      </c>
      <c r="I368" s="2">
        <v>26</v>
      </c>
      <c r="J368" s="2" t="s">
        <v>24</v>
      </c>
      <c r="K368" s="2">
        <v>-17.503499999999999</v>
      </c>
      <c r="L368" s="2">
        <v>-66.282200000000003</v>
      </c>
      <c r="M368" s="2" t="s">
        <v>25</v>
      </c>
      <c r="N368" s="2">
        <v>2142</v>
      </c>
      <c r="O368" s="2" t="s">
        <v>1383</v>
      </c>
      <c r="P368" s="2"/>
      <c r="Q368" s="2"/>
      <c r="R368" s="2">
        <f>IFERROR(VLOOKUP(A368,'[1]Recintos Cochabamba'!A$1:R$838,17,FALSE),0)</f>
        <v>2</v>
      </c>
      <c r="S368" s="3">
        <f>IFERROR(VLOOKUP(A368,'[1]Recintos Cochabamba'!A$1:T$838,18,FALSE),0)</f>
        <v>0.95138519699923207</v>
      </c>
    </row>
    <row r="369" spans="1:19" x14ac:dyDescent="0.25">
      <c r="A369" s="2">
        <v>2143</v>
      </c>
      <c r="B369" s="2" t="s">
        <v>19</v>
      </c>
      <c r="C369" s="2" t="s">
        <v>1312</v>
      </c>
      <c r="D369" s="2" t="s">
        <v>1359</v>
      </c>
      <c r="E369" s="2" t="s">
        <v>1384</v>
      </c>
      <c r="F369" s="2" t="s">
        <v>1385</v>
      </c>
      <c r="G369" s="2" t="s">
        <v>1376</v>
      </c>
      <c r="H369" s="2" t="s">
        <v>1384</v>
      </c>
      <c r="I369" s="2">
        <v>26</v>
      </c>
      <c r="J369" s="2" t="s">
        <v>24</v>
      </c>
      <c r="K369" s="2">
        <v>-17.615300000000001</v>
      </c>
      <c r="L369" s="2">
        <v>-66.262799999999999</v>
      </c>
      <c r="M369" s="2" t="s">
        <v>25</v>
      </c>
      <c r="N369" s="2">
        <v>2143</v>
      </c>
      <c r="O369" s="2" t="s">
        <v>1386</v>
      </c>
      <c r="P369" s="2"/>
      <c r="Q369" s="2"/>
      <c r="R369" s="2">
        <f>IFERROR(VLOOKUP(A369,'[1]Recintos Cochabamba'!A$1:R$838,17,FALSE),0)</f>
        <v>2</v>
      </c>
      <c r="S369" s="3">
        <f>IFERROR(VLOOKUP(A369,'[1]Recintos Cochabamba'!A$1:T$838,18,FALSE),0)</f>
        <v>0.78365384615384615</v>
      </c>
    </row>
    <row r="370" spans="1:19" x14ac:dyDescent="0.25">
      <c r="A370" s="2">
        <v>2144</v>
      </c>
      <c r="B370" s="2" t="s">
        <v>19</v>
      </c>
      <c r="C370" s="2" t="s">
        <v>1312</v>
      </c>
      <c r="D370" s="2" t="s">
        <v>1387</v>
      </c>
      <c r="E370" s="2" t="s">
        <v>1387</v>
      </c>
      <c r="F370" s="2" t="s">
        <v>1388</v>
      </c>
      <c r="G370" s="2" t="s">
        <v>1389</v>
      </c>
      <c r="H370" s="2" t="s">
        <v>1387</v>
      </c>
      <c r="I370" s="2">
        <v>26</v>
      </c>
      <c r="J370" s="2" t="s">
        <v>24</v>
      </c>
      <c r="K370" s="2">
        <v>-17.8005</v>
      </c>
      <c r="L370" s="2">
        <v>-66.332800000000006</v>
      </c>
      <c r="M370" s="2" t="s">
        <v>25</v>
      </c>
      <c r="N370" s="2">
        <v>2144</v>
      </c>
      <c r="O370" s="2" t="s">
        <v>1390</v>
      </c>
      <c r="P370" s="2"/>
      <c r="Q370" s="2"/>
      <c r="R370" s="2">
        <f>IFERROR(VLOOKUP(A370,'[1]Recintos Cochabamba'!A$1:R$838,17,FALSE),0)</f>
        <v>5</v>
      </c>
      <c r="S370" s="3">
        <f>IFERROR(VLOOKUP(A370,'[1]Recintos Cochabamba'!A$1:T$838,18,FALSE),0)</f>
        <v>0.97078475858288016</v>
      </c>
    </row>
    <row r="371" spans="1:19" x14ac:dyDescent="0.25">
      <c r="A371" s="2">
        <v>2145</v>
      </c>
      <c r="B371" s="2" t="s">
        <v>19</v>
      </c>
      <c r="C371" s="2" t="s">
        <v>1312</v>
      </c>
      <c r="D371" s="2" t="s">
        <v>1387</v>
      </c>
      <c r="E371" s="2" t="s">
        <v>1391</v>
      </c>
      <c r="F371" s="2" t="s">
        <v>1392</v>
      </c>
      <c r="G371" s="2" t="s">
        <v>1393</v>
      </c>
      <c r="H371" s="2" t="s">
        <v>1394</v>
      </c>
      <c r="I371" s="2">
        <v>26</v>
      </c>
      <c r="J371" s="2" t="s">
        <v>24</v>
      </c>
      <c r="K371" s="2">
        <v>-17.749110999999999</v>
      </c>
      <c r="L371" s="2">
        <v>-66.355108999999999</v>
      </c>
      <c r="M371" s="2" t="s">
        <v>776</v>
      </c>
      <c r="N371" s="2">
        <v>2145</v>
      </c>
      <c r="O371" s="2" t="s">
        <v>1395</v>
      </c>
      <c r="P371" s="2"/>
      <c r="Q371" s="2"/>
      <c r="R371" s="2">
        <f>IFERROR(VLOOKUP(A371,'[1]Recintos Cochabamba'!A$1:R$838,17,FALSE),0)</f>
        <v>3</v>
      </c>
      <c r="S371" s="3">
        <f>IFERROR(VLOOKUP(A371,'[1]Recintos Cochabamba'!A$1:T$838,18,FALSE),0)</f>
        <v>0.92236286403093815</v>
      </c>
    </row>
    <row r="372" spans="1:19" x14ac:dyDescent="0.25">
      <c r="A372" s="2">
        <v>2146</v>
      </c>
      <c r="B372" s="2" t="s">
        <v>19</v>
      </c>
      <c r="C372" s="2" t="s">
        <v>1396</v>
      </c>
      <c r="D372" s="2" t="s">
        <v>1397</v>
      </c>
      <c r="E372" s="2" t="s">
        <v>1397</v>
      </c>
      <c r="F372" s="2" t="s">
        <v>1398</v>
      </c>
      <c r="G372" s="2" t="s">
        <v>1399</v>
      </c>
      <c r="H372" s="2" t="s">
        <v>1400</v>
      </c>
      <c r="I372" s="2">
        <v>26</v>
      </c>
      <c r="J372" s="2" t="s">
        <v>24</v>
      </c>
      <c r="K372" s="2">
        <v>-17.591200000000001</v>
      </c>
      <c r="L372" s="2">
        <v>-65.933700000000002</v>
      </c>
      <c r="M372" s="2" t="s">
        <v>25</v>
      </c>
      <c r="N372" s="2">
        <v>2146</v>
      </c>
      <c r="O372" s="2" t="s">
        <v>1401</v>
      </c>
      <c r="P372" s="2"/>
      <c r="Q372" s="2"/>
      <c r="R372" s="2">
        <f>IFERROR(VLOOKUP(A372,'[1]Recintos Cochabamba'!A$1:R$838,17,FALSE),0)</f>
        <v>29</v>
      </c>
      <c r="S372" s="3">
        <f>IFERROR(VLOOKUP(A372,'[1]Recintos Cochabamba'!A$1:T$838,18,FALSE),0)</f>
        <v>0.72780311366501804</v>
      </c>
    </row>
    <row r="373" spans="1:19" x14ac:dyDescent="0.25">
      <c r="A373" s="2">
        <v>2147</v>
      </c>
      <c r="B373" s="2" t="s">
        <v>19</v>
      </c>
      <c r="C373" s="2" t="s">
        <v>1396</v>
      </c>
      <c r="D373" s="2" t="s">
        <v>1397</v>
      </c>
      <c r="E373" s="2" t="s">
        <v>1397</v>
      </c>
      <c r="F373" s="2" t="s">
        <v>1402</v>
      </c>
      <c r="G373" s="2" t="s">
        <v>1399</v>
      </c>
      <c r="H373" s="2" t="s">
        <v>1397</v>
      </c>
      <c r="I373" s="2">
        <v>26</v>
      </c>
      <c r="J373" s="2" t="s">
        <v>24</v>
      </c>
      <c r="K373" s="2">
        <v>-17.594000000000001</v>
      </c>
      <c r="L373" s="2">
        <v>-65.931100000000001</v>
      </c>
      <c r="M373" s="2" t="s">
        <v>776</v>
      </c>
      <c r="N373" s="2">
        <v>2147</v>
      </c>
      <c r="O373" s="2" t="s">
        <v>1403</v>
      </c>
      <c r="P373" s="2"/>
      <c r="Q373" s="2"/>
      <c r="R373" s="2">
        <f>IFERROR(VLOOKUP(A373,'[1]Recintos Cochabamba'!A$1:R$838,17,FALSE),0)</f>
        <v>17</v>
      </c>
      <c r="S373" s="3">
        <f>IFERROR(VLOOKUP(A373,'[1]Recintos Cochabamba'!A$1:T$838,18,FALSE),0)</f>
        <v>0.74885547265919683</v>
      </c>
    </row>
    <row r="374" spans="1:19" x14ac:dyDescent="0.25">
      <c r="A374" s="2">
        <v>2148</v>
      </c>
      <c r="B374" s="2" t="s">
        <v>19</v>
      </c>
      <c r="C374" s="2" t="s">
        <v>1396</v>
      </c>
      <c r="D374" s="2" t="s">
        <v>1397</v>
      </c>
      <c r="E374" s="2" t="s">
        <v>1397</v>
      </c>
      <c r="F374" s="2" t="s">
        <v>1404</v>
      </c>
      <c r="G374" s="2" t="s">
        <v>1399</v>
      </c>
      <c r="H374" s="2" t="s">
        <v>1405</v>
      </c>
      <c r="I374" s="2">
        <v>26</v>
      </c>
      <c r="J374" s="2" t="s">
        <v>24</v>
      </c>
      <c r="K374" s="2">
        <v>-17.571490000000001</v>
      </c>
      <c r="L374" s="2">
        <v>-65.931010999999998</v>
      </c>
      <c r="M374" s="2" t="s">
        <v>776</v>
      </c>
      <c r="N374" s="2">
        <v>2148</v>
      </c>
      <c r="O374" s="2" t="s">
        <v>1406</v>
      </c>
      <c r="P374" s="2"/>
      <c r="Q374" s="2"/>
      <c r="R374" s="2">
        <f>IFERROR(VLOOKUP(A374,'[1]Recintos Cochabamba'!A$1:R$838,17,FALSE),0)</f>
        <v>0</v>
      </c>
      <c r="S374" s="3">
        <v>0</v>
      </c>
    </row>
    <row r="375" spans="1:19" x14ac:dyDescent="0.25">
      <c r="A375" s="2">
        <v>2149</v>
      </c>
      <c r="B375" s="2" t="s">
        <v>19</v>
      </c>
      <c r="C375" s="2" t="s">
        <v>1396</v>
      </c>
      <c r="D375" s="2" t="s">
        <v>1397</v>
      </c>
      <c r="E375" s="2" t="s">
        <v>1397</v>
      </c>
      <c r="F375" s="2" t="s">
        <v>1407</v>
      </c>
      <c r="G375" s="2" t="s">
        <v>1399</v>
      </c>
      <c r="H375" s="2" t="s">
        <v>1408</v>
      </c>
      <c r="I375" s="2">
        <v>26</v>
      </c>
      <c r="J375" s="2" t="s">
        <v>24</v>
      </c>
      <c r="K375" s="2">
        <v>-17.561304</v>
      </c>
      <c r="L375" s="2">
        <v>-65.942632000000003</v>
      </c>
      <c r="M375" s="2" t="s">
        <v>776</v>
      </c>
      <c r="N375" s="2">
        <v>2149</v>
      </c>
      <c r="O375" s="2" t="s">
        <v>1409</v>
      </c>
      <c r="P375" s="2"/>
      <c r="Q375" s="2"/>
      <c r="R375" s="2">
        <f>IFERROR(VLOOKUP(A375,'[1]Recintos Cochabamba'!A$1:R$838,17,FALSE),0)</f>
        <v>0</v>
      </c>
      <c r="S375" s="3">
        <v>0</v>
      </c>
    </row>
    <row r="376" spans="1:19" x14ac:dyDescent="0.25">
      <c r="A376" s="2">
        <v>2150</v>
      </c>
      <c r="B376" s="2" t="s">
        <v>19</v>
      </c>
      <c r="C376" s="2" t="s">
        <v>1396</v>
      </c>
      <c r="D376" s="2" t="s">
        <v>1397</v>
      </c>
      <c r="E376" s="2" t="s">
        <v>1410</v>
      </c>
      <c r="F376" s="2" t="s">
        <v>1411</v>
      </c>
      <c r="G376" s="2" t="s">
        <v>1412</v>
      </c>
      <c r="H376" s="2" t="s">
        <v>1410</v>
      </c>
      <c r="I376" s="2">
        <v>26</v>
      </c>
      <c r="J376" s="2" t="s">
        <v>24</v>
      </c>
      <c r="K376" s="2">
        <v>-17.607199999999999</v>
      </c>
      <c r="L376" s="2">
        <v>-65.947699999999998</v>
      </c>
      <c r="M376" s="2" t="s">
        <v>776</v>
      </c>
      <c r="N376" s="2">
        <v>2150</v>
      </c>
      <c r="O376" s="2" t="s">
        <v>1413</v>
      </c>
      <c r="P376" s="2"/>
      <c r="Q376" s="2"/>
      <c r="R376" s="2">
        <f>IFERROR(VLOOKUP(A376,'[1]Recintos Cochabamba'!A$1:R$838,17,FALSE),0)</f>
        <v>4</v>
      </c>
      <c r="S376" s="3">
        <f>IFERROR(VLOOKUP(A376,'[1]Recintos Cochabamba'!A$1:T$838,18,FALSE),0)</f>
        <v>0.85765679157135299</v>
      </c>
    </row>
    <row r="377" spans="1:19" x14ac:dyDescent="0.25">
      <c r="A377" s="2">
        <v>2151</v>
      </c>
      <c r="B377" s="2" t="s">
        <v>19</v>
      </c>
      <c r="C377" s="2" t="s">
        <v>1396</v>
      </c>
      <c r="D377" s="2" t="s">
        <v>1397</v>
      </c>
      <c r="E377" s="2" t="s">
        <v>1414</v>
      </c>
      <c r="F377" s="2" t="s">
        <v>1415</v>
      </c>
      <c r="G377" s="2" t="s">
        <v>1399</v>
      </c>
      <c r="H377" s="2" t="s">
        <v>1414</v>
      </c>
      <c r="I377" s="2">
        <v>26</v>
      </c>
      <c r="J377" s="2" t="s">
        <v>24</v>
      </c>
      <c r="K377" s="2">
        <v>-17.5931</v>
      </c>
      <c r="L377" s="2">
        <v>-65.909499999999994</v>
      </c>
      <c r="M377" s="2" t="s">
        <v>25</v>
      </c>
      <c r="N377" s="2">
        <v>2151</v>
      </c>
      <c r="O377" s="2" t="s">
        <v>1416</v>
      </c>
      <c r="P377" s="2"/>
      <c r="Q377" s="2"/>
      <c r="R377" s="2">
        <f>IFERROR(VLOOKUP(A377,'[1]Recintos Cochabamba'!A$1:R$838,17,FALSE),0)</f>
        <v>4</v>
      </c>
      <c r="S377" s="3">
        <f>IFERROR(VLOOKUP(A377,'[1]Recintos Cochabamba'!A$1:T$838,18,FALSE),0)</f>
        <v>0.8674096911856396</v>
      </c>
    </row>
    <row r="378" spans="1:19" x14ac:dyDescent="0.25">
      <c r="A378" s="2">
        <v>2152</v>
      </c>
      <c r="B378" s="2" t="s">
        <v>19</v>
      </c>
      <c r="C378" s="2" t="s">
        <v>1396</v>
      </c>
      <c r="D378" s="2" t="s">
        <v>1397</v>
      </c>
      <c r="E378" s="2" t="s">
        <v>1417</v>
      </c>
      <c r="F378" s="2" t="s">
        <v>1418</v>
      </c>
      <c r="G378" s="2" t="s">
        <v>1399</v>
      </c>
      <c r="H378" s="2" t="s">
        <v>1417</v>
      </c>
      <c r="I378" s="2">
        <v>26</v>
      </c>
      <c r="J378" s="2" t="s">
        <v>24</v>
      </c>
      <c r="K378" s="2">
        <v>-17.5809</v>
      </c>
      <c r="L378" s="2">
        <v>-65.906700000000001</v>
      </c>
      <c r="M378" s="2" t="s">
        <v>25</v>
      </c>
      <c r="N378" s="2">
        <v>2152</v>
      </c>
      <c r="O378" s="2" t="s">
        <v>1419</v>
      </c>
      <c r="P378" s="2"/>
      <c r="Q378" s="2"/>
      <c r="R378" s="2">
        <f>IFERROR(VLOOKUP(A378,'[1]Recintos Cochabamba'!A$1:R$838,17,FALSE),0)</f>
        <v>11</v>
      </c>
      <c r="S378" s="3">
        <f>IFERROR(VLOOKUP(A378,'[1]Recintos Cochabamba'!A$1:T$838,18,FALSE),0)</f>
        <v>0.796252348835914</v>
      </c>
    </row>
    <row r="379" spans="1:19" x14ac:dyDescent="0.25">
      <c r="A379" s="2">
        <v>2153</v>
      </c>
      <c r="B379" s="2" t="s">
        <v>19</v>
      </c>
      <c r="C379" s="2" t="s">
        <v>1396</v>
      </c>
      <c r="D379" s="2" t="s">
        <v>1397</v>
      </c>
      <c r="E379" s="2" t="s">
        <v>1420</v>
      </c>
      <c r="F379" s="2" t="s">
        <v>1421</v>
      </c>
      <c r="G379" s="2" t="s">
        <v>1399</v>
      </c>
      <c r="H379" s="2" t="s">
        <v>1420</v>
      </c>
      <c r="I379" s="2">
        <v>26</v>
      </c>
      <c r="J379" s="2" t="s">
        <v>24</v>
      </c>
      <c r="K379" s="2">
        <v>-17.586200000000002</v>
      </c>
      <c r="L379" s="2">
        <v>-65.958200000000005</v>
      </c>
      <c r="M379" s="2" t="s">
        <v>25</v>
      </c>
      <c r="N379" s="2">
        <v>2153</v>
      </c>
      <c r="O379" s="2" t="s">
        <v>1422</v>
      </c>
      <c r="P379" s="2"/>
      <c r="Q379" s="2"/>
      <c r="R379" s="2">
        <f>IFERROR(VLOOKUP(A379,'[1]Recintos Cochabamba'!A$1:R$838,17,FALSE),0)</f>
        <v>3</v>
      </c>
      <c r="S379" s="3">
        <f>IFERROR(VLOOKUP(A379,'[1]Recintos Cochabamba'!A$1:T$838,18,FALSE),0)</f>
        <v>0.75809895108140724</v>
      </c>
    </row>
    <row r="380" spans="1:19" x14ac:dyDescent="0.25">
      <c r="A380" s="2">
        <v>2154</v>
      </c>
      <c r="B380" s="2" t="s">
        <v>19</v>
      </c>
      <c r="C380" s="2" t="s">
        <v>1396</v>
      </c>
      <c r="D380" s="2" t="s">
        <v>1397</v>
      </c>
      <c r="E380" s="2" t="s">
        <v>1423</v>
      </c>
      <c r="F380" s="2" t="s">
        <v>1424</v>
      </c>
      <c r="G380" s="2" t="s">
        <v>1425</v>
      </c>
      <c r="H380" s="2" t="s">
        <v>1426</v>
      </c>
      <c r="I380" s="2">
        <v>26</v>
      </c>
      <c r="J380" s="2" t="s">
        <v>24</v>
      </c>
      <c r="K380" s="2">
        <v>-17.563099999999999</v>
      </c>
      <c r="L380" s="2">
        <v>-65.971599999999995</v>
      </c>
      <c r="M380" s="2" t="s">
        <v>25</v>
      </c>
      <c r="N380" s="2">
        <v>2154</v>
      </c>
      <c r="O380" s="2" t="s">
        <v>1427</v>
      </c>
      <c r="P380" s="2"/>
      <c r="Q380" s="2"/>
      <c r="R380" s="2">
        <f>IFERROR(VLOOKUP(A380,'[1]Recintos Cochabamba'!A$1:R$838,17,FALSE),0)</f>
        <v>2</v>
      </c>
      <c r="S380" s="3">
        <f>IFERROR(VLOOKUP(A380,'[1]Recintos Cochabamba'!A$1:T$838,18,FALSE),0)</f>
        <v>0.86281435860278366</v>
      </c>
    </row>
    <row r="381" spans="1:19" x14ac:dyDescent="0.25">
      <c r="A381" s="2">
        <v>2155</v>
      </c>
      <c r="B381" s="2" t="s">
        <v>19</v>
      </c>
      <c r="C381" s="2" t="s">
        <v>1396</v>
      </c>
      <c r="D381" s="2" t="s">
        <v>1397</v>
      </c>
      <c r="E381" s="2" t="s">
        <v>1428</v>
      </c>
      <c r="F381" s="2" t="s">
        <v>1429</v>
      </c>
      <c r="G381" s="2" t="s">
        <v>1399</v>
      </c>
      <c r="H381" s="2" t="s">
        <v>1430</v>
      </c>
      <c r="I381" s="2">
        <v>26</v>
      </c>
      <c r="J381" s="2" t="s">
        <v>24</v>
      </c>
      <c r="K381" s="2">
        <v>-17.597000000000001</v>
      </c>
      <c r="L381" s="2">
        <v>-65.951999999999998</v>
      </c>
      <c r="M381" s="2" t="s">
        <v>25</v>
      </c>
      <c r="N381" s="2">
        <v>2155</v>
      </c>
      <c r="O381" s="2" t="s">
        <v>1431</v>
      </c>
      <c r="P381" s="2"/>
      <c r="Q381" s="2"/>
      <c r="R381" s="2">
        <f>IFERROR(VLOOKUP(A381,'[1]Recintos Cochabamba'!A$1:R$838,17,FALSE),0)</f>
        <v>1</v>
      </c>
      <c r="S381" s="3">
        <f>IFERROR(VLOOKUP(A381,'[1]Recintos Cochabamba'!A$1:T$838,18,FALSE),0)</f>
        <v>0.82317073170731703</v>
      </c>
    </row>
    <row r="382" spans="1:19" x14ac:dyDescent="0.25">
      <c r="A382" s="2">
        <v>2156</v>
      </c>
      <c r="B382" s="2" t="s">
        <v>19</v>
      </c>
      <c r="C382" s="2" t="s">
        <v>1396</v>
      </c>
      <c r="D382" s="2" t="s">
        <v>1432</v>
      </c>
      <c r="E382" s="2" t="s">
        <v>1432</v>
      </c>
      <c r="F382" s="2" t="s">
        <v>1433</v>
      </c>
      <c r="G382" s="2" t="s">
        <v>1434</v>
      </c>
      <c r="H382" s="2" t="s">
        <v>1432</v>
      </c>
      <c r="I382" s="2">
        <v>26</v>
      </c>
      <c r="J382" s="2" t="s">
        <v>24</v>
      </c>
      <c r="K382" s="2">
        <v>-17.6297</v>
      </c>
      <c r="L382" s="2">
        <v>-65.927800000000005</v>
      </c>
      <c r="M382" s="2" t="s">
        <v>25</v>
      </c>
      <c r="N382" s="2">
        <v>2156</v>
      </c>
      <c r="O382" s="2" t="s">
        <v>1435</v>
      </c>
      <c r="P382" s="2"/>
      <c r="Q382" s="2"/>
      <c r="R382" s="2">
        <f>IFERROR(VLOOKUP(A382,'[1]Recintos Cochabamba'!A$1:R$838,17,FALSE),0)</f>
        <v>11</v>
      </c>
      <c r="S382" s="3">
        <f>IFERROR(VLOOKUP(A382,'[1]Recintos Cochabamba'!A$1:T$838,18,FALSE),0)</f>
        <v>0.85695185736850743</v>
      </c>
    </row>
    <row r="383" spans="1:19" x14ac:dyDescent="0.25">
      <c r="A383" s="2">
        <v>2157</v>
      </c>
      <c r="B383" s="2" t="s">
        <v>19</v>
      </c>
      <c r="C383" s="2" t="s">
        <v>1396</v>
      </c>
      <c r="D383" s="2" t="s">
        <v>1432</v>
      </c>
      <c r="E383" s="2" t="s">
        <v>1436</v>
      </c>
      <c r="F383" s="2" t="s">
        <v>1437</v>
      </c>
      <c r="G383" s="2" t="s">
        <v>1434</v>
      </c>
      <c r="H383" s="2" t="s">
        <v>1436</v>
      </c>
      <c r="I383" s="2">
        <v>26</v>
      </c>
      <c r="J383" s="2" t="s">
        <v>24</v>
      </c>
      <c r="K383" s="2">
        <v>-17.667999999999999</v>
      </c>
      <c r="L383" s="2">
        <v>-65.945599999999999</v>
      </c>
      <c r="M383" s="2" t="s">
        <v>25</v>
      </c>
      <c r="N383" s="2">
        <v>2157</v>
      </c>
      <c r="O383" s="2" t="s">
        <v>1438</v>
      </c>
      <c r="P383" s="2"/>
      <c r="Q383" s="2"/>
      <c r="R383" s="2">
        <f>IFERROR(VLOOKUP(A383,'[1]Recintos Cochabamba'!A$1:R$838,17,FALSE),0)</f>
        <v>2</v>
      </c>
      <c r="S383" s="3">
        <f>IFERROR(VLOOKUP(A383,'[1]Recintos Cochabamba'!A$1:T$838,18,FALSE),0)</f>
        <v>0.89407216494845354</v>
      </c>
    </row>
    <row r="384" spans="1:19" x14ac:dyDescent="0.25">
      <c r="A384" s="2">
        <v>2158</v>
      </c>
      <c r="B384" s="2" t="s">
        <v>19</v>
      </c>
      <c r="C384" s="2" t="s">
        <v>1396</v>
      </c>
      <c r="D384" s="2" t="s">
        <v>1432</v>
      </c>
      <c r="E384" s="2" t="s">
        <v>1439</v>
      </c>
      <c r="F384" s="2" t="s">
        <v>1440</v>
      </c>
      <c r="G384" s="2" t="s">
        <v>1434</v>
      </c>
      <c r="H384" s="2" t="s">
        <v>1439</v>
      </c>
      <c r="I384" s="2">
        <v>26</v>
      </c>
      <c r="J384" s="2" t="s">
        <v>24</v>
      </c>
      <c r="K384" s="2">
        <v>-17.6111</v>
      </c>
      <c r="L384" s="2">
        <v>-65.910200000000003</v>
      </c>
      <c r="M384" s="2" t="s">
        <v>25</v>
      </c>
      <c r="N384" s="2">
        <v>2158</v>
      </c>
      <c r="O384" s="2" t="s">
        <v>1441</v>
      </c>
      <c r="P384" s="2"/>
      <c r="Q384" s="2"/>
      <c r="R384" s="2">
        <f>IFERROR(VLOOKUP(A384,'[1]Recintos Cochabamba'!A$1:R$838,17,FALSE),0)</f>
        <v>2</v>
      </c>
      <c r="S384" s="3">
        <f>IFERROR(VLOOKUP(A384,'[1]Recintos Cochabamba'!A$1:T$838,18,FALSE),0)</f>
        <v>0.89186870739085278</v>
      </c>
    </row>
    <row r="385" spans="1:19" x14ac:dyDescent="0.25">
      <c r="A385" s="2">
        <v>2159</v>
      </c>
      <c r="B385" s="2" t="s">
        <v>19</v>
      </c>
      <c r="C385" s="2" t="s">
        <v>1396</v>
      </c>
      <c r="D385" s="2" t="s">
        <v>1432</v>
      </c>
      <c r="E385" s="2" t="s">
        <v>1442</v>
      </c>
      <c r="F385" s="2" t="s">
        <v>1443</v>
      </c>
      <c r="G385" s="2" t="s">
        <v>1434</v>
      </c>
      <c r="H385" s="2" t="s">
        <v>1442</v>
      </c>
      <c r="I385" s="2">
        <v>26</v>
      </c>
      <c r="J385" s="2" t="s">
        <v>24</v>
      </c>
      <c r="K385" s="2">
        <v>-17.6387</v>
      </c>
      <c r="L385" s="2">
        <v>-65.911600000000007</v>
      </c>
      <c r="M385" s="2" t="s">
        <v>25</v>
      </c>
      <c r="N385" s="2">
        <v>2159</v>
      </c>
      <c r="O385" s="2" t="s">
        <v>1444</v>
      </c>
      <c r="P385" s="2"/>
      <c r="Q385" s="2"/>
      <c r="R385" s="2">
        <f>IFERROR(VLOOKUP(A385,'[1]Recintos Cochabamba'!A$1:R$838,17,FALSE),0)</f>
        <v>2</v>
      </c>
      <c r="S385" s="3">
        <f>IFERROR(VLOOKUP(A385,'[1]Recintos Cochabamba'!A$1:T$838,18,FALSE),0)</f>
        <v>0.86697330447330445</v>
      </c>
    </row>
    <row r="386" spans="1:19" x14ac:dyDescent="0.25">
      <c r="A386" s="2">
        <v>2160</v>
      </c>
      <c r="B386" s="2" t="s">
        <v>19</v>
      </c>
      <c r="C386" s="2" t="s">
        <v>1396</v>
      </c>
      <c r="D386" s="2" t="s">
        <v>1445</v>
      </c>
      <c r="E386" s="2" t="s">
        <v>1445</v>
      </c>
      <c r="F386" s="2" t="s">
        <v>1446</v>
      </c>
      <c r="G386" s="2" t="s">
        <v>1447</v>
      </c>
      <c r="H386" s="2" t="s">
        <v>1445</v>
      </c>
      <c r="I386" s="2">
        <v>26</v>
      </c>
      <c r="J386" s="2" t="s">
        <v>24</v>
      </c>
      <c r="K386" s="2">
        <v>-17.533100000000001</v>
      </c>
      <c r="L386" s="2">
        <v>-65.964100000000002</v>
      </c>
      <c r="M386" s="2" t="s">
        <v>25</v>
      </c>
      <c r="N386" s="2">
        <v>2160</v>
      </c>
      <c r="O386" s="2" t="s">
        <v>1448</v>
      </c>
      <c r="P386" s="2"/>
      <c r="Q386" s="2"/>
      <c r="R386" s="2">
        <f>IFERROR(VLOOKUP(A386,'[1]Recintos Cochabamba'!A$1:R$838,17,FALSE),0)</f>
        <v>11</v>
      </c>
      <c r="S386" s="3">
        <f>IFERROR(VLOOKUP(A386,'[1]Recintos Cochabamba'!A$1:T$838,18,FALSE),0)</f>
        <v>0.76765783865759663</v>
      </c>
    </row>
    <row r="387" spans="1:19" x14ac:dyDescent="0.25">
      <c r="A387" s="2">
        <v>2161</v>
      </c>
      <c r="B387" s="2" t="s">
        <v>19</v>
      </c>
      <c r="C387" s="2" t="s">
        <v>1396</v>
      </c>
      <c r="D387" s="2" t="s">
        <v>1445</v>
      </c>
      <c r="E387" s="2" t="s">
        <v>1449</v>
      </c>
      <c r="F387" s="2" t="s">
        <v>1450</v>
      </c>
      <c r="G387" s="2" t="s">
        <v>1447</v>
      </c>
      <c r="H387" s="2" t="s">
        <v>1449</v>
      </c>
      <c r="I387" s="2">
        <v>26</v>
      </c>
      <c r="J387" s="2" t="s">
        <v>24</v>
      </c>
      <c r="K387" s="2">
        <v>-17.545500000000001</v>
      </c>
      <c r="L387" s="2">
        <v>-66.008200000000002</v>
      </c>
      <c r="M387" s="2" t="s">
        <v>25</v>
      </c>
      <c r="N387" s="2">
        <v>2161</v>
      </c>
      <c r="O387" s="2" t="s">
        <v>1451</v>
      </c>
      <c r="P387" s="2"/>
      <c r="Q387" s="2"/>
      <c r="R387" s="2">
        <f>IFERROR(VLOOKUP(A387,'[1]Recintos Cochabamba'!A$1:R$838,17,FALSE),0)</f>
        <v>10</v>
      </c>
      <c r="S387" s="3">
        <f>IFERROR(VLOOKUP(A387,'[1]Recintos Cochabamba'!A$1:T$838,18,FALSE),0)</f>
        <v>0.6895079307514983</v>
      </c>
    </row>
    <row r="388" spans="1:19" x14ac:dyDescent="0.25">
      <c r="A388" s="2">
        <v>2162</v>
      </c>
      <c r="B388" s="2" t="s">
        <v>19</v>
      </c>
      <c r="C388" s="2" t="s">
        <v>1396</v>
      </c>
      <c r="D388" s="2" t="s">
        <v>1445</v>
      </c>
      <c r="E388" s="2" t="s">
        <v>1452</v>
      </c>
      <c r="F388" s="2" t="s">
        <v>1453</v>
      </c>
      <c r="G388" s="2" t="s">
        <v>1447</v>
      </c>
      <c r="H388" s="2" t="s">
        <v>1454</v>
      </c>
      <c r="I388" s="2">
        <v>26</v>
      </c>
      <c r="J388" s="2" t="s">
        <v>24</v>
      </c>
      <c r="K388" s="2">
        <v>-17.542128000000002</v>
      </c>
      <c r="L388" s="2">
        <v>-66.060535999999999</v>
      </c>
      <c r="M388" s="2" t="s">
        <v>25</v>
      </c>
      <c r="N388" s="2">
        <v>2162</v>
      </c>
      <c r="O388" s="2" t="s">
        <v>1455</v>
      </c>
      <c r="P388" s="2"/>
      <c r="Q388" s="2"/>
      <c r="R388" s="2">
        <f>IFERROR(VLOOKUP(A388,'[1]Recintos Cochabamba'!A$1:R$838,17,FALSE),0)</f>
        <v>3</v>
      </c>
      <c r="S388" s="3">
        <v>0</v>
      </c>
    </row>
    <row r="389" spans="1:19" x14ac:dyDescent="0.25">
      <c r="A389" s="2">
        <v>2163</v>
      </c>
      <c r="B389" s="2" t="s">
        <v>19</v>
      </c>
      <c r="C389" s="2" t="s">
        <v>1456</v>
      </c>
      <c r="D389" s="2" t="s">
        <v>1456</v>
      </c>
      <c r="E389" s="2" t="s">
        <v>1456</v>
      </c>
      <c r="F389" s="2" t="s">
        <v>1457</v>
      </c>
      <c r="G389" s="2" t="s">
        <v>1458</v>
      </c>
      <c r="H389" s="2" t="s">
        <v>1459</v>
      </c>
      <c r="I389" s="2">
        <v>28</v>
      </c>
      <c r="J389" s="2" t="s">
        <v>24</v>
      </c>
      <c r="K389" s="2">
        <v>-17.392700000000001</v>
      </c>
      <c r="L389" s="2">
        <v>-66.278999999999996</v>
      </c>
      <c r="M389" s="2" t="s">
        <v>25</v>
      </c>
      <c r="N389" s="2">
        <v>2163</v>
      </c>
      <c r="O389" s="2" t="s">
        <v>1460</v>
      </c>
      <c r="P389" s="2">
        <v>31</v>
      </c>
      <c r="Q389" s="2">
        <v>2</v>
      </c>
      <c r="R389" s="2">
        <f>IFERROR(VLOOKUP(A389,'[1]Recintos Cochabamba'!A$1:R$838,17,FALSE),0)</f>
        <v>14</v>
      </c>
      <c r="S389" s="3">
        <f>IFERROR(VLOOKUP(A389,'[1]Recintos Cochabamba'!A$1:T$838,18,FALSE),0)</f>
        <v>0.3641739205933035</v>
      </c>
    </row>
    <row r="390" spans="1:19" x14ac:dyDescent="0.25">
      <c r="A390" s="2">
        <v>2164</v>
      </c>
      <c r="B390" s="2" t="s">
        <v>19</v>
      </c>
      <c r="C390" s="2" t="s">
        <v>1456</v>
      </c>
      <c r="D390" s="2" t="s">
        <v>1456</v>
      </c>
      <c r="E390" s="2" t="s">
        <v>1456</v>
      </c>
      <c r="F390" s="2" t="s">
        <v>1461</v>
      </c>
      <c r="G390" s="2" t="s">
        <v>1458</v>
      </c>
      <c r="H390" s="2" t="s">
        <v>1462</v>
      </c>
      <c r="I390" s="2">
        <v>28</v>
      </c>
      <c r="J390" s="2" t="s">
        <v>24</v>
      </c>
      <c r="K390" s="2">
        <v>-17.388300000000001</v>
      </c>
      <c r="L390" s="2">
        <v>-66.280799999999999</v>
      </c>
      <c r="M390" s="2" t="s">
        <v>25</v>
      </c>
      <c r="N390" s="2">
        <v>2164</v>
      </c>
      <c r="O390" s="2" t="s">
        <v>1463</v>
      </c>
      <c r="P390" s="2">
        <v>31</v>
      </c>
      <c r="Q390" s="2">
        <v>2</v>
      </c>
      <c r="R390" s="2">
        <f>IFERROR(VLOOKUP(A390,'[1]Recintos Cochabamba'!A$1:R$838,17,FALSE),0)</f>
        <v>23</v>
      </c>
      <c r="S390" s="3">
        <f>IFERROR(VLOOKUP(A390,'[1]Recintos Cochabamba'!A$1:T$838,18,FALSE),0)</f>
        <v>0.42852084149233077</v>
      </c>
    </row>
    <row r="391" spans="1:19" x14ac:dyDescent="0.25">
      <c r="A391" s="2">
        <v>2165</v>
      </c>
      <c r="B391" s="2" t="s">
        <v>19</v>
      </c>
      <c r="C391" s="2" t="s">
        <v>1456</v>
      </c>
      <c r="D391" s="2" t="s">
        <v>1456</v>
      </c>
      <c r="E391" s="2" t="s">
        <v>1456</v>
      </c>
      <c r="F391" s="2" t="s">
        <v>1464</v>
      </c>
      <c r="G391" s="2" t="s">
        <v>1465</v>
      </c>
      <c r="H391" s="2" t="s">
        <v>1466</v>
      </c>
      <c r="I391" s="2">
        <v>28</v>
      </c>
      <c r="J391" s="2" t="s">
        <v>24</v>
      </c>
      <c r="K391" s="2">
        <v>-17.393999999999998</v>
      </c>
      <c r="L391" s="2">
        <v>-66.284899999999993</v>
      </c>
      <c r="M391" s="2" t="s">
        <v>25</v>
      </c>
      <c r="N391" s="2">
        <v>2165</v>
      </c>
      <c r="O391" s="2" t="s">
        <v>1467</v>
      </c>
      <c r="P391" s="2">
        <v>43</v>
      </c>
      <c r="Q391" s="2">
        <v>1</v>
      </c>
      <c r="R391" s="2">
        <f>IFERROR(VLOOKUP(A391,'[1]Recintos Cochabamba'!A$1:R$838,17,FALSE),0)</f>
        <v>32</v>
      </c>
      <c r="S391" s="3">
        <f>IFERROR(VLOOKUP(A391,'[1]Recintos Cochabamba'!A$1:T$838,18,FALSE),0)</f>
        <v>0.54568418652664119</v>
      </c>
    </row>
    <row r="392" spans="1:19" x14ac:dyDescent="0.25">
      <c r="A392" s="2">
        <v>2166</v>
      </c>
      <c r="B392" s="2" t="s">
        <v>19</v>
      </c>
      <c r="C392" s="2" t="s">
        <v>1456</v>
      </c>
      <c r="D392" s="2" t="s">
        <v>1456</v>
      </c>
      <c r="E392" s="2" t="s">
        <v>1456</v>
      </c>
      <c r="F392" s="2" t="s">
        <v>1468</v>
      </c>
      <c r="G392" s="2" t="s">
        <v>1469</v>
      </c>
      <c r="H392" s="2" t="s">
        <v>1470</v>
      </c>
      <c r="I392" s="2">
        <v>28</v>
      </c>
      <c r="J392" s="2" t="s">
        <v>24</v>
      </c>
      <c r="K392" s="2">
        <v>-17.4117</v>
      </c>
      <c r="L392" s="2">
        <v>-66.279300000000006</v>
      </c>
      <c r="M392" s="2" t="s">
        <v>25</v>
      </c>
      <c r="N392" s="2">
        <v>2166</v>
      </c>
      <c r="O392" s="2" t="s">
        <v>1471</v>
      </c>
      <c r="P392" s="2">
        <v>42</v>
      </c>
      <c r="Q392" s="2">
        <v>3</v>
      </c>
      <c r="R392" s="2">
        <f>IFERROR(VLOOKUP(A392,'[1]Recintos Cochabamba'!A$1:R$838,17,FALSE),0)</f>
        <v>18</v>
      </c>
      <c r="S392" s="3">
        <f>IFERROR(VLOOKUP(A392,'[1]Recintos Cochabamba'!A$1:T$838,18,FALSE),0)</f>
        <v>0.57608677132746855</v>
      </c>
    </row>
    <row r="393" spans="1:19" x14ac:dyDescent="0.25">
      <c r="A393" s="2">
        <v>2167</v>
      </c>
      <c r="B393" s="2" t="s">
        <v>19</v>
      </c>
      <c r="C393" s="2" t="s">
        <v>1456</v>
      </c>
      <c r="D393" s="2" t="s">
        <v>1456</v>
      </c>
      <c r="E393" s="2" t="s">
        <v>1456</v>
      </c>
      <c r="F393" s="2" t="s">
        <v>1472</v>
      </c>
      <c r="G393" s="2" t="s">
        <v>1473</v>
      </c>
      <c r="H393" s="2" t="s">
        <v>1474</v>
      </c>
      <c r="I393" s="2">
        <v>28</v>
      </c>
      <c r="J393" s="2" t="s">
        <v>24</v>
      </c>
      <c r="K393" s="2">
        <v>-17.364000000000001</v>
      </c>
      <c r="L393" s="2">
        <v>-66.275700000000001</v>
      </c>
      <c r="M393" s="2" t="s">
        <v>25</v>
      </c>
      <c r="N393" s="2">
        <v>2167</v>
      </c>
      <c r="O393" s="2" t="s">
        <v>1475</v>
      </c>
      <c r="P393" s="2">
        <v>50</v>
      </c>
      <c r="Q393" s="2">
        <v>8</v>
      </c>
      <c r="R393" s="2">
        <f>IFERROR(VLOOKUP(A393,'[1]Recintos Cochabamba'!A$1:R$838,17,FALSE),0)</f>
        <v>19</v>
      </c>
      <c r="S393" s="3">
        <f>IFERROR(VLOOKUP(A393,'[1]Recintos Cochabamba'!A$1:T$838,18,FALSE),0)</f>
        <v>0.68962756501724642</v>
      </c>
    </row>
    <row r="394" spans="1:19" x14ac:dyDescent="0.25">
      <c r="A394" s="2">
        <v>2168</v>
      </c>
      <c r="B394" s="2" t="s">
        <v>19</v>
      </c>
      <c r="C394" s="2" t="s">
        <v>1456</v>
      </c>
      <c r="D394" s="2" t="s">
        <v>1456</v>
      </c>
      <c r="E394" s="2" t="s">
        <v>1456</v>
      </c>
      <c r="F394" s="2" t="s">
        <v>1476</v>
      </c>
      <c r="G394" s="2" t="s">
        <v>1477</v>
      </c>
      <c r="H394" s="2" t="s">
        <v>1478</v>
      </c>
      <c r="I394" s="2">
        <v>28</v>
      </c>
      <c r="J394" s="2" t="s">
        <v>24</v>
      </c>
      <c r="K394" s="2">
        <v>-17.395199999999999</v>
      </c>
      <c r="L394" s="2">
        <v>-66.279200000000003</v>
      </c>
      <c r="M394" s="2" t="s">
        <v>25</v>
      </c>
      <c r="N394" s="2">
        <v>2168</v>
      </c>
      <c r="O394" s="2" t="s">
        <v>1479</v>
      </c>
      <c r="P394" s="2">
        <v>31</v>
      </c>
      <c r="Q394" s="2">
        <v>2</v>
      </c>
      <c r="R394" s="2">
        <f>IFERROR(VLOOKUP(A394,'[1]Recintos Cochabamba'!A$1:R$838,17,FALSE),0)</f>
        <v>16</v>
      </c>
      <c r="S394" s="3">
        <f>IFERROR(VLOOKUP(A394,'[1]Recintos Cochabamba'!A$1:T$838,18,FALSE),0)</f>
        <v>0.45060856292201179</v>
      </c>
    </row>
    <row r="395" spans="1:19" x14ac:dyDescent="0.25">
      <c r="A395" s="2">
        <v>2169</v>
      </c>
      <c r="B395" s="2" t="s">
        <v>19</v>
      </c>
      <c r="C395" s="2" t="s">
        <v>1456</v>
      </c>
      <c r="D395" s="2" t="s">
        <v>1456</v>
      </c>
      <c r="E395" s="2" t="s">
        <v>1456</v>
      </c>
      <c r="F395" s="2" t="s">
        <v>1480</v>
      </c>
      <c r="G395" s="2" t="s">
        <v>1481</v>
      </c>
      <c r="H395" s="2" t="s">
        <v>1456</v>
      </c>
      <c r="I395" s="2">
        <v>28</v>
      </c>
      <c r="J395" s="2" t="s">
        <v>24</v>
      </c>
      <c r="K395" s="2">
        <v>-17.395499999999998</v>
      </c>
      <c r="L395" s="2">
        <v>-66.283600000000007</v>
      </c>
      <c r="M395" s="2" t="s">
        <v>25</v>
      </c>
      <c r="N395" s="2">
        <v>2169</v>
      </c>
      <c r="O395" s="2" t="s">
        <v>1482</v>
      </c>
      <c r="P395" s="2">
        <v>43</v>
      </c>
      <c r="Q395" s="2">
        <v>1</v>
      </c>
      <c r="R395" s="2">
        <f>IFERROR(VLOOKUP(A395,'[1]Recintos Cochabamba'!A$1:R$838,17,FALSE),0)</f>
        <v>15</v>
      </c>
      <c r="S395" s="3">
        <f>IFERROR(VLOOKUP(A395,'[1]Recintos Cochabamba'!A$1:T$838,18,FALSE),0)</f>
        <v>0.35891380902638054</v>
      </c>
    </row>
    <row r="396" spans="1:19" x14ac:dyDescent="0.25">
      <c r="A396" s="2">
        <v>2170</v>
      </c>
      <c r="B396" s="2" t="s">
        <v>19</v>
      </c>
      <c r="C396" s="2" t="s">
        <v>1456</v>
      </c>
      <c r="D396" s="2" t="s">
        <v>1456</v>
      </c>
      <c r="E396" s="2" t="s">
        <v>1456</v>
      </c>
      <c r="F396" s="2" t="s">
        <v>1483</v>
      </c>
      <c r="G396" s="2" t="s">
        <v>1484</v>
      </c>
      <c r="H396" s="2" t="s">
        <v>1485</v>
      </c>
      <c r="I396" s="2">
        <v>28</v>
      </c>
      <c r="J396" s="2" t="s">
        <v>24</v>
      </c>
      <c r="K396" s="2">
        <v>-17.398900000000001</v>
      </c>
      <c r="L396" s="2">
        <v>-66.281700000000001</v>
      </c>
      <c r="M396" s="2" t="s">
        <v>25</v>
      </c>
      <c r="N396" s="2">
        <v>2170</v>
      </c>
      <c r="O396" s="2" t="s">
        <v>1486</v>
      </c>
      <c r="P396" s="2">
        <v>43</v>
      </c>
      <c r="Q396" s="2">
        <v>1</v>
      </c>
      <c r="R396" s="2">
        <f>IFERROR(VLOOKUP(A396,'[1]Recintos Cochabamba'!A$1:R$838,17,FALSE),0)</f>
        <v>23</v>
      </c>
      <c r="S396" s="3">
        <f>IFERROR(VLOOKUP(A396,'[1]Recintos Cochabamba'!A$1:T$838,18,FALSE),0)</f>
        <v>0.31544693228142778</v>
      </c>
    </row>
    <row r="397" spans="1:19" x14ac:dyDescent="0.25">
      <c r="A397" s="2">
        <v>2171</v>
      </c>
      <c r="B397" s="2" t="s">
        <v>19</v>
      </c>
      <c r="C397" s="2" t="s">
        <v>1456</v>
      </c>
      <c r="D397" s="2" t="s">
        <v>1456</v>
      </c>
      <c r="E397" s="2" t="s">
        <v>1456</v>
      </c>
      <c r="F397" s="2" t="s">
        <v>1487</v>
      </c>
      <c r="G397" s="2" t="s">
        <v>1488</v>
      </c>
      <c r="H397" s="2" t="s">
        <v>1489</v>
      </c>
      <c r="I397" s="2">
        <v>28</v>
      </c>
      <c r="J397" s="2" t="s">
        <v>24</v>
      </c>
      <c r="K397" s="2">
        <v>-17.402200000000001</v>
      </c>
      <c r="L397" s="2">
        <v>-66.280600000000007</v>
      </c>
      <c r="M397" s="2" t="s">
        <v>25</v>
      </c>
      <c r="N397" s="2">
        <v>2171</v>
      </c>
      <c r="O397" s="2" t="s">
        <v>1490</v>
      </c>
      <c r="P397" s="2">
        <v>42</v>
      </c>
      <c r="Q397" s="2">
        <v>3</v>
      </c>
      <c r="R397" s="2">
        <f>IFERROR(VLOOKUP(A397,'[1]Recintos Cochabamba'!A$1:R$838,17,FALSE),0)</f>
        <v>14</v>
      </c>
      <c r="S397" s="3">
        <f>IFERROR(VLOOKUP(A397,'[1]Recintos Cochabamba'!A$1:T$838,18,FALSE),0)</f>
        <v>0.39278316601631408</v>
      </c>
    </row>
    <row r="398" spans="1:19" x14ac:dyDescent="0.25">
      <c r="A398" s="2">
        <v>2172</v>
      </c>
      <c r="B398" s="2" t="s">
        <v>19</v>
      </c>
      <c r="C398" s="2" t="s">
        <v>1456</v>
      </c>
      <c r="D398" s="2" t="s">
        <v>1456</v>
      </c>
      <c r="E398" s="2" t="s">
        <v>1456</v>
      </c>
      <c r="F398" s="2" t="s">
        <v>1491</v>
      </c>
      <c r="G398" s="2" t="s">
        <v>1492</v>
      </c>
      <c r="H398" s="2" t="s">
        <v>1493</v>
      </c>
      <c r="I398" s="2">
        <v>28</v>
      </c>
      <c r="J398" s="2" t="s">
        <v>24</v>
      </c>
      <c r="K398" s="2">
        <v>-17.398700000000002</v>
      </c>
      <c r="L398" s="2">
        <v>-66.280600000000007</v>
      </c>
      <c r="M398" s="2" t="s">
        <v>25</v>
      </c>
      <c r="N398" s="2">
        <v>2172</v>
      </c>
      <c r="O398" s="2" t="s">
        <v>1494</v>
      </c>
      <c r="P398" s="2">
        <v>31</v>
      </c>
      <c r="Q398" s="2">
        <v>2</v>
      </c>
      <c r="R398" s="2">
        <f>IFERROR(VLOOKUP(A398,'[1]Recintos Cochabamba'!A$1:R$838,17,FALSE),0)</f>
        <v>12</v>
      </c>
      <c r="S398" s="3">
        <f>IFERROR(VLOOKUP(A398,'[1]Recintos Cochabamba'!A$1:T$838,18,FALSE),0)</f>
        <v>0.31922844638321091</v>
      </c>
    </row>
    <row r="399" spans="1:19" x14ac:dyDescent="0.25">
      <c r="A399" s="2">
        <v>2173</v>
      </c>
      <c r="B399" s="2" t="s">
        <v>19</v>
      </c>
      <c r="C399" s="2" t="s">
        <v>1456</v>
      </c>
      <c r="D399" s="2" t="s">
        <v>1456</v>
      </c>
      <c r="E399" s="2" t="s">
        <v>1456</v>
      </c>
      <c r="F399" s="2" t="s">
        <v>1495</v>
      </c>
      <c r="G399" s="2" t="s">
        <v>1496</v>
      </c>
      <c r="H399" s="2" t="s">
        <v>1497</v>
      </c>
      <c r="I399" s="2">
        <v>28</v>
      </c>
      <c r="J399" s="2" t="s">
        <v>24</v>
      </c>
      <c r="K399" s="2">
        <v>-17.4193</v>
      </c>
      <c r="L399" s="2">
        <v>-66.289699999999996</v>
      </c>
      <c r="M399" s="2" t="s">
        <v>25</v>
      </c>
      <c r="N399" s="2">
        <v>2173</v>
      </c>
      <c r="O399" s="2" t="s">
        <v>1498</v>
      </c>
      <c r="P399" s="2">
        <v>29</v>
      </c>
      <c r="Q399" s="2">
        <v>6</v>
      </c>
      <c r="R399" s="2">
        <f>IFERROR(VLOOKUP(A399,'[1]Recintos Cochabamba'!A$1:R$838,17,FALSE),0)</f>
        <v>19</v>
      </c>
      <c r="S399" s="3">
        <f>IFERROR(VLOOKUP(A399,'[1]Recintos Cochabamba'!A$1:T$838,18,FALSE),0)</f>
        <v>0.78818700677690123</v>
      </c>
    </row>
    <row r="400" spans="1:19" x14ac:dyDescent="0.25">
      <c r="A400" s="2">
        <v>2174</v>
      </c>
      <c r="B400" s="2" t="s">
        <v>19</v>
      </c>
      <c r="C400" s="2" t="s">
        <v>1456</v>
      </c>
      <c r="D400" s="2" t="s">
        <v>1456</v>
      </c>
      <c r="E400" s="2" t="s">
        <v>1456</v>
      </c>
      <c r="F400" s="2" t="s">
        <v>1499</v>
      </c>
      <c r="G400" s="2" t="s">
        <v>1500</v>
      </c>
      <c r="H400" s="2" t="s">
        <v>1501</v>
      </c>
      <c r="I400" s="2">
        <v>28</v>
      </c>
      <c r="J400" s="2" t="s">
        <v>24</v>
      </c>
      <c r="K400" s="2">
        <v>-17.388400000000001</v>
      </c>
      <c r="L400" s="2">
        <v>-66.282200000000003</v>
      </c>
      <c r="M400" s="2" t="s">
        <v>25</v>
      </c>
      <c r="N400" s="2">
        <v>2174</v>
      </c>
      <c r="O400" s="2" t="s">
        <v>1502</v>
      </c>
      <c r="P400" s="2">
        <v>43</v>
      </c>
      <c r="Q400" s="2">
        <v>1</v>
      </c>
      <c r="R400" s="2">
        <f>IFERROR(VLOOKUP(A400,'[1]Recintos Cochabamba'!A$1:R$838,17,FALSE),0)</f>
        <v>20</v>
      </c>
      <c r="S400" s="3">
        <f>IFERROR(VLOOKUP(A400,'[1]Recintos Cochabamba'!A$1:T$838,18,FALSE),0)</f>
        <v>0.60278965386778471</v>
      </c>
    </row>
    <row r="401" spans="1:19" x14ac:dyDescent="0.25">
      <c r="A401" s="2">
        <v>2175</v>
      </c>
      <c r="B401" s="2" t="s">
        <v>19</v>
      </c>
      <c r="C401" s="2" t="s">
        <v>1456</v>
      </c>
      <c r="D401" s="2" t="s">
        <v>1456</v>
      </c>
      <c r="E401" s="2" t="s">
        <v>1456</v>
      </c>
      <c r="F401" s="2" t="s">
        <v>1503</v>
      </c>
      <c r="G401" s="2" t="s">
        <v>1504</v>
      </c>
      <c r="H401" s="2" t="s">
        <v>1505</v>
      </c>
      <c r="I401" s="2">
        <v>28</v>
      </c>
      <c r="J401" s="2" t="s">
        <v>24</v>
      </c>
      <c r="K401" s="2">
        <v>-17.361699999999999</v>
      </c>
      <c r="L401" s="2">
        <v>-66.287000000000006</v>
      </c>
      <c r="M401" s="2" t="s">
        <v>25</v>
      </c>
      <c r="N401" s="2">
        <v>2175</v>
      </c>
      <c r="O401" s="2" t="s">
        <v>1506</v>
      </c>
      <c r="P401" s="2">
        <v>44</v>
      </c>
      <c r="Q401" s="2">
        <v>4</v>
      </c>
      <c r="R401" s="2">
        <f>IFERROR(VLOOKUP(A401,'[1]Recintos Cochabamba'!A$1:R$838,17,FALSE),0)</f>
        <v>16</v>
      </c>
      <c r="S401" s="3">
        <f>IFERROR(VLOOKUP(A401,'[1]Recintos Cochabamba'!A$1:T$838,18,FALSE),0)</f>
        <v>0.77099354301374945</v>
      </c>
    </row>
    <row r="402" spans="1:19" x14ac:dyDescent="0.25">
      <c r="A402" s="2">
        <v>2176</v>
      </c>
      <c r="B402" s="2" t="s">
        <v>19</v>
      </c>
      <c r="C402" s="2" t="s">
        <v>1456</v>
      </c>
      <c r="D402" s="2" t="s">
        <v>1456</v>
      </c>
      <c r="E402" s="2" t="s">
        <v>1456</v>
      </c>
      <c r="F402" s="2" t="s">
        <v>1507</v>
      </c>
      <c r="G402" s="2" t="s">
        <v>1508</v>
      </c>
      <c r="H402" s="2" t="s">
        <v>1456</v>
      </c>
      <c r="I402" s="2">
        <v>28</v>
      </c>
      <c r="J402" s="2" t="s">
        <v>24</v>
      </c>
      <c r="K402" s="2">
        <v>-17.339600000000001</v>
      </c>
      <c r="L402" s="2">
        <v>-66.289000000000001</v>
      </c>
      <c r="M402" s="2" t="s">
        <v>25</v>
      </c>
      <c r="N402" s="2">
        <v>2176</v>
      </c>
      <c r="O402" s="2" t="s">
        <v>1509</v>
      </c>
      <c r="P402" s="2">
        <v>49</v>
      </c>
      <c r="Q402" s="2">
        <v>7</v>
      </c>
      <c r="R402" s="2">
        <f>IFERROR(VLOOKUP(A402,'[1]Recintos Cochabamba'!A$1:R$838,17,FALSE),0)</f>
        <v>20</v>
      </c>
      <c r="S402" s="3">
        <f>IFERROR(VLOOKUP(A402,'[1]Recintos Cochabamba'!A$1:T$838,18,FALSE),0)</f>
        <v>0.78012402522788893</v>
      </c>
    </row>
    <row r="403" spans="1:19" x14ac:dyDescent="0.25">
      <c r="A403" s="2">
        <v>2177</v>
      </c>
      <c r="B403" s="2" t="s">
        <v>19</v>
      </c>
      <c r="C403" s="2" t="s">
        <v>1456</v>
      </c>
      <c r="D403" s="2" t="s">
        <v>1456</v>
      </c>
      <c r="E403" s="2" t="s">
        <v>1456</v>
      </c>
      <c r="F403" s="2" t="s">
        <v>1510</v>
      </c>
      <c r="G403" s="2" t="s">
        <v>1511</v>
      </c>
      <c r="H403" s="2" t="s">
        <v>1512</v>
      </c>
      <c r="I403" s="2">
        <v>28</v>
      </c>
      <c r="J403" s="2" t="s">
        <v>24</v>
      </c>
      <c r="K403" s="2">
        <v>-17.399899999999999</v>
      </c>
      <c r="L403" s="2">
        <v>-66.2821</v>
      </c>
      <c r="M403" s="2" t="s">
        <v>25</v>
      </c>
      <c r="N403" s="2">
        <v>2177</v>
      </c>
      <c r="O403" s="2" t="s">
        <v>1513</v>
      </c>
      <c r="P403" s="2">
        <v>43</v>
      </c>
      <c r="Q403" s="2">
        <v>1</v>
      </c>
      <c r="R403" s="2">
        <f>IFERROR(VLOOKUP(A403,'[1]Recintos Cochabamba'!A$1:R$838,17,FALSE),0)</f>
        <v>2</v>
      </c>
      <c r="S403" s="3">
        <f>IFERROR(VLOOKUP(A403,'[1]Recintos Cochabamba'!A$1:T$838,18,FALSE),0)</f>
        <v>0.81481481481481477</v>
      </c>
    </row>
    <row r="404" spans="1:19" x14ac:dyDescent="0.25">
      <c r="A404" s="2">
        <v>2178</v>
      </c>
      <c r="B404" s="2" t="s">
        <v>19</v>
      </c>
      <c r="C404" s="2" t="s">
        <v>1456</v>
      </c>
      <c r="D404" s="2" t="s">
        <v>1456</v>
      </c>
      <c r="E404" s="2" t="s">
        <v>1456</v>
      </c>
      <c r="F404" s="2" t="s">
        <v>1514</v>
      </c>
      <c r="G404" s="2" t="s">
        <v>1492</v>
      </c>
      <c r="H404" s="2" t="s">
        <v>1515</v>
      </c>
      <c r="I404" s="2">
        <v>28</v>
      </c>
      <c r="J404" s="2" t="s">
        <v>24</v>
      </c>
      <c r="K404" s="2">
        <v>-17.400600000000001</v>
      </c>
      <c r="L404" s="2">
        <v>-66.279300000000006</v>
      </c>
      <c r="M404" s="2" t="s">
        <v>25</v>
      </c>
      <c r="N404" s="2">
        <v>2178</v>
      </c>
      <c r="O404" s="2" t="s">
        <v>1516</v>
      </c>
      <c r="P404" s="2">
        <v>31</v>
      </c>
      <c r="Q404" s="2">
        <v>2</v>
      </c>
      <c r="R404" s="2">
        <f>IFERROR(VLOOKUP(A404,'[1]Recintos Cochabamba'!A$1:R$838,17,FALSE),0)</f>
        <v>13</v>
      </c>
      <c r="S404" s="3">
        <f>IFERROR(VLOOKUP(A404,'[1]Recintos Cochabamba'!A$1:T$838,18,FALSE),0)</f>
        <v>0.43276252705389029</v>
      </c>
    </row>
    <row r="405" spans="1:19" x14ac:dyDescent="0.25">
      <c r="A405" s="2">
        <v>2179</v>
      </c>
      <c r="B405" s="2" t="s">
        <v>19</v>
      </c>
      <c r="C405" s="2" t="s">
        <v>1456</v>
      </c>
      <c r="D405" s="2" t="s">
        <v>1456</v>
      </c>
      <c r="E405" s="2" t="s">
        <v>1456</v>
      </c>
      <c r="F405" s="2" t="s">
        <v>1517</v>
      </c>
      <c r="G405" s="2" t="s">
        <v>1518</v>
      </c>
      <c r="H405" s="2" t="s">
        <v>1459</v>
      </c>
      <c r="I405" s="2">
        <v>28</v>
      </c>
      <c r="J405" s="2" t="s">
        <v>24</v>
      </c>
      <c r="K405" s="2">
        <v>-17.386099999999999</v>
      </c>
      <c r="L405" s="2">
        <v>-66.2761</v>
      </c>
      <c r="M405" s="2" t="s">
        <v>25</v>
      </c>
      <c r="N405" s="2">
        <v>2179</v>
      </c>
      <c r="O405" s="2" t="s">
        <v>1519</v>
      </c>
      <c r="P405" s="2">
        <v>31</v>
      </c>
      <c r="Q405" s="2">
        <v>2</v>
      </c>
      <c r="R405" s="2">
        <f>IFERROR(VLOOKUP(A405,'[1]Recintos Cochabamba'!A$1:R$838,17,FALSE),0)</f>
        <v>22</v>
      </c>
      <c r="S405" s="3">
        <f>IFERROR(VLOOKUP(A405,'[1]Recintos Cochabamba'!A$1:T$838,18,FALSE),0)</f>
        <v>0.44742834526288422</v>
      </c>
    </row>
    <row r="406" spans="1:19" x14ac:dyDescent="0.25">
      <c r="A406" s="2">
        <v>2180</v>
      </c>
      <c r="B406" s="2" t="s">
        <v>19</v>
      </c>
      <c r="C406" s="2" t="s">
        <v>1456</v>
      </c>
      <c r="D406" s="2" t="s">
        <v>1456</v>
      </c>
      <c r="E406" s="2" t="s">
        <v>1456</v>
      </c>
      <c r="F406" s="2" t="s">
        <v>1520</v>
      </c>
      <c r="G406" s="2" t="s">
        <v>1521</v>
      </c>
      <c r="H406" s="2" t="s">
        <v>1522</v>
      </c>
      <c r="I406" s="2">
        <v>28</v>
      </c>
      <c r="J406" s="2" t="s">
        <v>24</v>
      </c>
      <c r="K406" s="2">
        <v>-17.388000000000002</v>
      </c>
      <c r="L406" s="2">
        <v>-66.295699999999997</v>
      </c>
      <c r="M406" s="2" t="s">
        <v>25</v>
      </c>
      <c r="N406" s="2">
        <v>2180</v>
      </c>
      <c r="O406" s="2" t="s">
        <v>1523</v>
      </c>
      <c r="P406" s="2">
        <v>44</v>
      </c>
      <c r="Q406" s="2">
        <v>4</v>
      </c>
      <c r="R406" s="2">
        <f>IFERROR(VLOOKUP(A406,'[1]Recintos Cochabamba'!A$1:R$838,17,FALSE),0)</f>
        <v>10</v>
      </c>
      <c r="S406" s="3">
        <f>IFERROR(VLOOKUP(A406,'[1]Recintos Cochabamba'!A$1:T$838,18,FALSE),0)</f>
        <v>0.63875608341268086</v>
      </c>
    </row>
    <row r="407" spans="1:19" x14ac:dyDescent="0.25">
      <c r="A407" s="2">
        <v>2181</v>
      </c>
      <c r="B407" s="2" t="s">
        <v>19</v>
      </c>
      <c r="C407" s="2" t="s">
        <v>1456</v>
      </c>
      <c r="D407" s="2" t="s">
        <v>1456</v>
      </c>
      <c r="E407" s="2" t="s">
        <v>1456</v>
      </c>
      <c r="F407" s="2" t="s">
        <v>1524</v>
      </c>
      <c r="G407" s="2" t="s">
        <v>1458</v>
      </c>
      <c r="H407" s="2" t="s">
        <v>1525</v>
      </c>
      <c r="I407" s="2">
        <v>28</v>
      </c>
      <c r="J407" s="2" t="s">
        <v>24</v>
      </c>
      <c r="K407" s="2">
        <v>-17.3918</v>
      </c>
      <c r="L407" s="2">
        <v>-66.279300000000006</v>
      </c>
      <c r="M407" s="2" t="s">
        <v>25</v>
      </c>
      <c r="N407" s="2">
        <v>2181</v>
      </c>
      <c r="O407" s="2" t="s">
        <v>1526</v>
      </c>
      <c r="P407" s="2">
        <v>31</v>
      </c>
      <c r="Q407" s="2">
        <v>2</v>
      </c>
      <c r="R407" s="2">
        <f>IFERROR(VLOOKUP(A407,'[1]Recintos Cochabamba'!A$1:R$838,17,FALSE),0)</f>
        <v>1</v>
      </c>
      <c r="S407" s="3">
        <f>IFERROR(VLOOKUP(A407,'[1]Recintos Cochabamba'!A$1:T$838,18,FALSE),0)</f>
        <v>0.36363636363636365</v>
      </c>
    </row>
    <row r="408" spans="1:19" x14ac:dyDescent="0.25">
      <c r="A408" s="2">
        <v>2182</v>
      </c>
      <c r="B408" s="2" t="s">
        <v>19</v>
      </c>
      <c r="C408" s="2" t="s">
        <v>1456</v>
      </c>
      <c r="D408" s="2" t="s">
        <v>1456</v>
      </c>
      <c r="E408" s="2" t="s">
        <v>1456</v>
      </c>
      <c r="F408" s="2" t="s">
        <v>1527</v>
      </c>
      <c r="G408" s="2" t="s">
        <v>1528</v>
      </c>
      <c r="H408" s="2" t="s">
        <v>1529</v>
      </c>
      <c r="I408" s="2">
        <v>28</v>
      </c>
      <c r="J408" s="2" t="s">
        <v>24</v>
      </c>
      <c r="K408" s="2">
        <v>-17.383099999999999</v>
      </c>
      <c r="L408" s="2">
        <v>-66.262</v>
      </c>
      <c r="M408" s="2" t="s">
        <v>25</v>
      </c>
      <c r="N408" s="2">
        <v>2182</v>
      </c>
      <c r="O408" s="2" t="s">
        <v>1530</v>
      </c>
      <c r="P408" s="2">
        <v>47</v>
      </c>
      <c r="Q408" s="2">
        <v>5</v>
      </c>
      <c r="R408" s="2">
        <f>IFERROR(VLOOKUP(A408,'[1]Recintos Cochabamba'!A$1:R$838,17,FALSE),0)</f>
        <v>11</v>
      </c>
      <c r="S408" s="3">
        <f>IFERROR(VLOOKUP(A408,'[1]Recintos Cochabamba'!A$1:T$838,18,FALSE),0)</f>
        <v>0.43294245530612291</v>
      </c>
    </row>
    <row r="409" spans="1:19" x14ac:dyDescent="0.25">
      <c r="A409" s="2">
        <v>2183</v>
      </c>
      <c r="B409" s="2" t="s">
        <v>19</v>
      </c>
      <c r="C409" s="2" t="s">
        <v>1456</v>
      </c>
      <c r="D409" s="2" t="s">
        <v>1456</v>
      </c>
      <c r="E409" s="2" t="s">
        <v>1456</v>
      </c>
      <c r="F409" s="2" t="s">
        <v>1531</v>
      </c>
      <c r="G409" s="2" t="s">
        <v>1532</v>
      </c>
      <c r="H409" s="2" t="s">
        <v>1533</v>
      </c>
      <c r="I409" s="2">
        <v>28</v>
      </c>
      <c r="J409" s="2" t="s">
        <v>24</v>
      </c>
      <c r="K409" s="2">
        <v>-17.396948999999999</v>
      </c>
      <c r="L409" s="2">
        <v>-66.290295999999998</v>
      </c>
      <c r="M409" s="2" t="s">
        <v>25</v>
      </c>
      <c r="N409" s="2">
        <v>2183</v>
      </c>
      <c r="O409" s="2" t="s">
        <v>1534</v>
      </c>
      <c r="P409" s="2">
        <v>43</v>
      </c>
      <c r="Q409" s="2">
        <v>1</v>
      </c>
      <c r="R409" s="2">
        <f>IFERROR(VLOOKUP(A409,'[1]Recintos Cochabamba'!A$1:R$838,17,FALSE),0)</f>
        <v>3</v>
      </c>
      <c r="S409" s="3">
        <f>IFERROR(VLOOKUP(A409,'[1]Recintos Cochabamba'!A$1:T$838,18,FALSE),0)</f>
        <v>0.45417506520666495</v>
      </c>
    </row>
    <row r="410" spans="1:19" x14ac:dyDescent="0.25">
      <c r="A410" s="2">
        <v>2184</v>
      </c>
      <c r="B410" s="2" t="s">
        <v>19</v>
      </c>
      <c r="C410" s="2" t="s">
        <v>1456</v>
      </c>
      <c r="D410" s="2" t="s">
        <v>1456</v>
      </c>
      <c r="E410" s="2" t="s">
        <v>1456</v>
      </c>
      <c r="F410" s="2" t="s">
        <v>1535</v>
      </c>
      <c r="G410" s="2" t="s">
        <v>1536</v>
      </c>
      <c r="H410" s="2" t="s">
        <v>1537</v>
      </c>
      <c r="I410" s="2">
        <v>28</v>
      </c>
      <c r="J410" s="2" t="s">
        <v>24</v>
      </c>
      <c r="K410" s="2">
        <v>-17.407546</v>
      </c>
      <c r="L410" s="2">
        <v>-66.279522</v>
      </c>
      <c r="M410" s="2" t="s">
        <v>25</v>
      </c>
      <c r="N410" s="2">
        <v>2184</v>
      </c>
      <c r="O410" s="2" t="s">
        <v>1538</v>
      </c>
      <c r="P410" s="2">
        <v>42</v>
      </c>
      <c r="Q410" s="2">
        <v>3</v>
      </c>
      <c r="R410" s="2">
        <f>IFERROR(VLOOKUP(A410,'[1]Recintos Cochabamba'!A$1:R$838,17,FALSE),0)</f>
        <v>5</v>
      </c>
      <c r="S410" s="3">
        <f>IFERROR(VLOOKUP(A410,'[1]Recintos Cochabamba'!A$1:T$838,18,FALSE),0)</f>
        <v>0.50627070457038648</v>
      </c>
    </row>
    <row r="411" spans="1:19" x14ac:dyDescent="0.25">
      <c r="A411" s="2">
        <v>2185</v>
      </c>
      <c r="B411" s="2" t="s">
        <v>19</v>
      </c>
      <c r="C411" s="2" t="s">
        <v>1456</v>
      </c>
      <c r="D411" s="2" t="s">
        <v>1456</v>
      </c>
      <c r="E411" s="2" t="s">
        <v>1456</v>
      </c>
      <c r="F411" s="2" t="s">
        <v>1539</v>
      </c>
      <c r="G411" s="2" t="s">
        <v>1540</v>
      </c>
      <c r="H411" s="2" t="s">
        <v>1541</v>
      </c>
      <c r="I411" s="2">
        <v>28</v>
      </c>
      <c r="J411" s="2" t="s">
        <v>24</v>
      </c>
      <c r="K411" s="2">
        <v>-17.407903999999998</v>
      </c>
      <c r="L411" s="2">
        <v>-66.295068000000001</v>
      </c>
      <c r="M411" s="2" t="s">
        <v>25</v>
      </c>
      <c r="N411" s="2">
        <v>2185</v>
      </c>
      <c r="O411" s="2" t="s">
        <v>1542</v>
      </c>
      <c r="P411" s="2">
        <v>42</v>
      </c>
      <c r="Q411" s="2">
        <v>3</v>
      </c>
      <c r="R411" s="2">
        <f>IFERROR(VLOOKUP(A411,'[1]Recintos Cochabamba'!A$1:R$838,17,FALSE),0)</f>
        <v>4</v>
      </c>
      <c r="S411" s="3">
        <f>IFERROR(VLOOKUP(A411,'[1]Recintos Cochabamba'!A$1:T$838,18,FALSE),0)</f>
        <v>0.54361370716510893</v>
      </c>
    </row>
    <row r="412" spans="1:19" x14ac:dyDescent="0.25">
      <c r="A412" s="2">
        <v>2186</v>
      </c>
      <c r="B412" s="2" t="s">
        <v>19</v>
      </c>
      <c r="C412" s="2" t="s">
        <v>1456</v>
      </c>
      <c r="D412" s="2" t="s">
        <v>1456</v>
      </c>
      <c r="E412" s="2" t="s">
        <v>1456</v>
      </c>
      <c r="F412" s="2" t="s">
        <v>1543</v>
      </c>
      <c r="G412" s="2" t="s">
        <v>1544</v>
      </c>
      <c r="H412" s="2" t="s">
        <v>1545</v>
      </c>
      <c r="I412" s="2">
        <v>28</v>
      </c>
      <c r="J412" s="2" t="s">
        <v>24</v>
      </c>
      <c r="K412" s="2">
        <v>-17.355509000000001</v>
      </c>
      <c r="L412" s="2">
        <v>-66.283389999999997</v>
      </c>
      <c r="M412" s="2" t="s">
        <v>25</v>
      </c>
      <c r="N412" s="2">
        <v>2186</v>
      </c>
      <c r="O412" s="2" t="s">
        <v>1546</v>
      </c>
      <c r="P412" s="2">
        <v>44</v>
      </c>
      <c r="Q412" s="2">
        <v>4</v>
      </c>
      <c r="R412" s="2">
        <f>IFERROR(VLOOKUP(A412,'[1]Recintos Cochabamba'!A$1:R$838,17,FALSE),0)</f>
        <v>8</v>
      </c>
      <c r="S412" s="3">
        <f>IFERROR(VLOOKUP(A412,'[1]Recintos Cochabamba'!A$1:T$838,18,FALSE),0)</f>
        <v>0.79042890656145992</v>
      </c>
    </row>
    <row r="413" spans="1:19" x14ac:dyDescent="0.25">
      <c r="A413" s="2">
        <v>2187</v>
      </c>
      <c r="B413" s="2" t="s">
        <v>19</v>
      </c>
      <c r="C413" s="2" t="s">
        <v>1456</v>
      </c>
      <c r="D413" s="2" t="s">
        <v>1456</v>
      </c>
      <c r="E413" s="2" t="s">
        <v>1456</v>
      </c>
      <c r="F413" s="2" t="s">
        <v>1547</v>
      </c>
      <c r="G413" s="2" t="s">
        <v>1488</v>
      </c>
      <c r="H413" s="2" t="s">
        <v>1548</v>
      </c>
      <c r="I413" s="2">
        <v>28</v>
      </c>
      <c r="J413" s="2" t="s">
        <v>24</v>
      </c>
      <c r="K413" s="2">
        <v>-17.40269</v>
      </c>
      <c r="L413" s="2">
        <v>-66.280816999999999</v>
      </c>
      <c r="M413" s="2" t="s">
        <v>25</v>
      </c>
      <c r="N413" s="2">
        <v>2187</v>
      </c>
      <c r="O413" s="2" t="s">
        <v>1549</v>
      </c>
      <c r="P413" s="2">
        <v>42</v>
      </c>
      <c r="Q413" s="2">
        <v>3</v>
      </c>
      <c r="R413" s="2">
        <f>IFERROR(VLOOKUP(A413,'[1]Recintos Cochabamba'!A$1:R$838,17,FALSE),0)</f>
        <v>2</v>
      </c>
      <c r="S413" s="3">
        <v>0</v>
      </c>
    </row>
    <row r="414" spans="1:19" x14ac:dyDescent="0.25">
      <c r="A414" s="2">
        <v>2188</v>
      </c>
      <c r="B414" s="2" t="s">
        <v>19</v>
      </c>
      <c r="C414" s="2" t="s">
        <v>1456</v>
      </c>
      <c r="D414" s="2" t="s">
        <v>1456</v>
      </c>
      <c r="E414" s="2" t="s">
        <v>1456</v>
      </c>
      <c r="F414" s="2" t="s">
        <v>1550</v>
      </c>
      <c r="G414" s="2" t="s">
        <v>1551</v>
      </c>
      <c r="H414" s="2" t="s">
        <v>1552</v>
      </c>
      <c r="I414" s="2">
        <v>28</v>
      </c>
      <c r="J414" s="2" t="s">
        <v>24</v>
      </c>
      <c r="K414" s="2">
        <v>-17.396684</v>
      </c>
      <c r="L414" s="2">
        <v>-66.27646</v>
      </c>
      <c r="M414" s="2" t="s">
        <v>25</v>
      </c>
      <c r="N414" s="2">
        <v>2188</v>
      </c>
      <c r="O414" s="2" t="s">
        <v>1553</v>
      </c>
      <c r="P414" s="2">
        <v>31</v>
      </c>
      <c r="Q414" s="2">
        <v>2</v>
      </c>
      <c r="R414" s="2">
        <f>IFERROR(VLOOKUP(A414,'[1]Recintos Cochabamba'!A$1:R$838,17,FALSE),0)</f>
        <v>2</v>
      </c>
      <c r="S414" s="3">
        <v>0</v>
      </c>
    </row>
    <row r="415" spans="1:19" x14ac:dyDescent="0.25">
      <c r="A415" s="2">
        <v>2189</v>
      </c>
      <c r="B415" s="2" t="s">
        <v>19</v>
      </c>
      <c r="C415" s="2" t="s">
        <v>1456</v>
      </c>
      <c r="D415" s="2" t="s">
        <v>1456</v>
      </c>
      <c r="E415" s="2" t="s">
        <v>1456</v>
      </c>
      <c r="F415" s="2" t="s">
        <v>1554</v>
      </c>
      <c r="G415" s="2" t="s">
        <v>1473</v>
      </c>
      <c r="H415" s="2" t="s">
        <v>1555</v>
      </c>
      <c r="I415" s="2">
        <v>28</v>
      </c>
      <c r="J415" s="2" t="s">
        <v>24</v>
      </c>
      <c r="K415" s="2">
        <v>-17.366067000000001</v>
      </c>
      <c r="L415" s="2">
        <v>-66.276610000000005</v>
      </c>
      <c r="M415" s="2" t="s">
        <v>25</v>
      </c>
      <c r="N415" s="2">
        <v>2189</v>
      </c>
      <c r="O415" s="2" t="s">
        <v>1556</v>
      </c>
      <c r="P415" s="2">
        <v>50</v>
      </c>
      <c r="Q415" s="2">
        <v>8</v>
      </c>
      <c r="R415" s="2">
        <f>IFERROR(VLOOKUP(A415,'[1]Recintos Cochabamba'!A$1:R$838,17,FALSE),0)</f>
        <v>1</v>
      </c>
      <c r="S415" s="3">
        <f>IFERROR(VLOOKUP(A415,'[1]Recintos Cochabamba'!A$1:T$838,18,FALSE),0)</f>
        <v>0.73661738559721324</v>
      </c>
    </row>
    <row r="416" spans="1:19" x14ac:dyDescent="0.25">
      <c r="A416" s="2">
        <v>2190</v>
      </c>
      <c r="B416" s="2" t="s">
        <v>19</v>
      </c>
      <c r="C416" s="2" t="s">
        <v>1456</v>
      </c>
      <c r="D416" s="2" t="s">
        <v>1456</v>
      </c>
      <c r="E416" s="2" t="s">
        <v>1456</v>
      </c>
      <c r="F416" s="2" t="s">
        <v>1557</v>
      </c>
      <c r="G416" s="2" t="s">
        <v>1508</v>
      </c>
      <c r="H416" s="2" t="s">
        <v>1558</v>
      </c>
      <c r="I416" s="2">
        <v>28</v>
      </c>
      <c r="J416" s="2" t="s">
        <v>24</v>
      </c>
      <c r="K416" s="2">
        <v>-17.342500999999999</v>
      </c>
      <c r="L416" s="2">
        <v>-66.291533000000001</v>
      </c>
      <c r="M416" s="2" t="s">
        <v>25</v>
      </c>
      <c r="N416" s="2">
        <v>2190</v>
      </c>
      <c r="O416" s="2" t="s">
        <v>1559</v>
      </c>
      <c r="P416" s="2">
        <v>49</v>
      </c>
      <c r="Q416" s="2">
        <v>7</v>
      </c>
      <c r="R416" s="2">
        <f>IFERROR(VLOOKUP(A416,'[1]Recintos Cochabamba'!A$1:R$838,17,FALSE),0)</f>
        <v>3</v>
      </c>
      <c r="S416" s="3">
        <v>0</v>
      </c>
    </row>
    <row r="417" spans="1:19" x14ac:dyDescent="0.25">
      <c r="A417" s="2">
        <v>2191</v>
      </c>
      <c r="B417" s="2" t="s">
        <v>19</v>
      </c>
      <c r="C417" s="2" t="s">
        <v>1456</v>
      </c>
      <c r="D417" s="2" t="s">
        <v>1456</v>
      </c>
      <c r="E417" s="2" t="s">
        <v>1456</v>
      </c>
      <c r="F417" s="2" t="s">
        <v>1560</v>
      </c>
      <c r="G417" s="2" t="s">
        <v>1561</v>
      </c>
      <c r="H417" s="2" t="s">
        <v>1562</v>
      </c>
      <c r="I417" s="2">
        <v>28</v>
      </c>
      <c r="J417" s="2" t="s">
        <v>24</v>
      </c>
      <c r="K417" s="2">
        <v>-17.394214999999999</v>
      </c>
      <c r="L417" s="2">
        <v>-66.291100999999998</v>
      </c>
      <c r="M417" s="2" t="s">
        <v>25</v>
      </c>
      <c r="N417" s="2">
        <v>2191</v>
      </c>
      <c r="O417" s="2" t="s">
        <v>1563</v>
      </c>
      <c r="P417" s="2">
        <v>43</v>
      </c>
      <c r="Q417" s="2">
        <v>1</v>
      </c>
      <c r="R417" s="2">
        <f>IFERROR(VLOOKUP(A417,'[1]Recintos Cochabamba'!A$1:R$838,17,FALSE),0)</f>
        <v>2</v>
      </c>
      <c r="S417" s="3">
        <v>0</v>
      </c>
    </row>
    <row r="418" spans="1:19" x14ac:dyDescent="0.25">
      <c r="A418" s="2">
        <v>2192</v>
      </c>
      <c r="B418" s="2" t="s">
        <v>19</v>
      </c>
      <c r="C418" s="2" t="s">
        <v>1456</v>
      </c>
      <c r="D418" s="2" t="s">
        <v>1456</v>
      </c>
      <c r="E418" s="2" t="s">
        <v>1456</v>
      </c>
      <c r="F418" s="2" t="s">
        <v>1564</v>
      </c>
      <c r="G418" s="2" t="s">
        <v>1565</v>
      </c>
      <c r="H418" s="2" t="s">
        <v>1566</v>
      </c>
      <c r="I418" s="2">
        <v>28</v>
      </c>
      <c r="J418" s="2" t="s">
        <v>24</v>
      </c>
      <c r="K418" s="2">
        <v>-17.358321</v>
      </c>
      <c r="L418" s="2">
        <v>-66.281379000000001</v>
      </c>
      <c r="M418" s="2" t="s">
        <v>25</v>
      </c>
      <c r="N418" s="2">
        <v>2192</v>
      </c>
      <c r="O418" s="2" t="s">
        <v>1567</v>
      </c>
      <c r="P418" s="2">
        <v>44</v>
      </c>
      <c r="Q418" s="2">
        <v>4</v>
      </c>
      <c r="R418" s="2">
        <f>IFERROR(VLOOKUP(A418,'[1]Recintos Cochabamba'!A$1:R$838,17,FALSE),0)</f>
        <v>0</v>
      </c>
      <c r="S418" s="3">
        <v>0</v>
      </c>
    </row>
    <row r="419" spans="1:19" x14ac:dyDescent="0.25">
      <c r="A419" s="2">
        <v>2193</v>
      </c>
      <c r="B419" s="2" t="s">
        <v>19</v>
      </c>
      <c r="C419" s="2" t="s">
        <v>1456</v>
      </c>
      <c r="D419" s="2" t="s">
        <v>1456</v>
      </c>
      <c r="E419" s="2" t="s">
        <v>1456</v>
      </c>
      <c r="F419" s="2" t="s">
        <v>1568</v>
      </c>
      <c r="G419" s="2" t="s">
        <v>1569</v>
      </c>
      <c r="H419" s="2" t="s">
        <v>1570</v>
      </c>
      <c r="I419" s="2">
        <v>28</v>
      </c>
      <c r="J419" s="2" t="s">
        <v>24</v>
      </c>
      <c r="K419" s="2">
        <v>-17.420831</v>
      </c>
      <c r="L419" s="2">
        <v>-66.299937</v>
      </c>
      <c r="M419" s="2" t="s">
        <v>25</v>
      </c>
      <c r="N419" s="2">
        <v>2193</v>
      </c>
      <c r="O419" s="2" t="s">
        <v>1571</v>
      </c>
      <c r="P419" s="2">
        <v>29</v>
      </c>
      <c r="Q419" s="2">
        <v>6</v>
      </c>
      <c r="R419" s="2">
        <f>IFERROR(VLOOKUP(A419,'[1]Recintos Cochabamba'!A$1:R$838,17,FALSE),0)</f>
        <v>0</v>
      </c>
      <c r="S419" s="3">
        <v>0</v>
      </c>
    </row>
    <row r="420" spans="1:19" x14ac:dyDescent="0.25">
      <c r="A420" s="2">
        <v>2194</v>
      </c>
      <c r="B420" s="2" t="s">
        <v>19</v>
      </c>
      <c r="C420" s="2" t="s">
        <v>1456</v>
      </c>
      <c r="D420" s="2" t="s">
        <v>1456</v>
      </c>
      <c r="E420" s="2" t="s">
        <v>1572</v>
      </c>
      <c r="F420" s="2" t="s">
        <v>1573</v>
      </c>
      <c r="G420" s="2" t="s">
        <v>1574</v>
      </c>
      <c r="H420" s="2" t="s">
        <v>1575</v>
      </c>
      <c r="I420" s="2">
        <v>28</v>
      </c>
      <c r="J420" s="2" t="s">
        <v>24</v>
      </c>
      <c r="K420" s="2">
        <v>-17.3675</v>
      </c>
      <c r="L420" s="2">
        <v>-66.300299999999993</v>
      </c>
      <c r="M420" s="2" t="s">
        <v>25</v>
      </c>
      <c r="N420" s="2">
        <v>2194</v>
      </c>
      <c r="O420" s="2" t="s">
        <v>1576</v>
      </c>
      <c r="P420" s="2">
        <v>44</v>
      </c>
      <c r="Q420" s="2">
        <v>4</v>
      </c>
      <c r="R420" s="2">
        <f>IFERROR(VLOOKUP(A420,'[1]Recintos Cochabamba'!A$1:R$838,17,FALSE),0)</f>
        <v>8</v>
      </c>
      <c r="S420" s="3">
        <f>IFERROR(VLOOKUP(A420,'[1]Recintos Cochabamba'!A$1:T$838,18,FALSE),0)</f>
        <v>0.72272083642072782</v>
      </c>
    </row>
    <row r="421" spans="1:19" x14ac:dyDescent="0.25">
      <c r="A421" s="2">
        <v>2195</v>
      </c>
      <c r="B421" s="2" t="s">
        <v>19</v>
      </c>
      <c r="C421" s="2" t="s">
        <v>1456</v>
      </c>
      <c r="D421" s="2" t="s">
        <v>1456</v>
      </c>
      <c r="E421" s="2" t="s">
        <v>1577</v>
      </c>
      <c r="F421" s="2" t="s">
        <v>1578</v>
      </c>
      <c r="G421" s="2" t="s">
        <v>1579</v>
      </c>
      <c r="H421" s="2" t="s">
        <v>1580</v>
      </c>
      <c r="I421" s="2">
        <v>28</v>
      </c>
      <c r="J421" s="2" t="s">
        <v>24</v>
      </c>
      <c r="K421" s="2">
        <v>-17.387699999999999</v>
      </c>
      <c r="L421" s="2">
        <v>-66.252700000000004</v>
      </c>
      <c r="M421" s="2" t="s">
        <v>25</v>
      </c>
      <c r="N421" s="2">
        <v>2195</v>
      </c>
      <c r="O421" s="2" t="s">
        <v>1581</v>
      </c>
      <c r="P421" s="2">
        <v>47</v>
      </c>
      <c r="Q421" s="2">
        <v>5</v>
      </c>
      <c r="R421" s="2">
        <f>IFERROR(VLOOKUP(A421,'[1]Recintos Cochabamba'!A$1:R$838,17,FALSE),0)</f>
        <v>32</v>
      </c>
      <c r="S421" s="3">
        <f>IFERROR(VLOOKUP(A421,'[1]Recintos Cochabamba'!A$1:T$838,18,FALSE),0)</f>
        <v>0.45081573254717444</v>
      </c>
    </row>
    <row r="422" spans="1:19" x14ac:dyDescent="0.25">
      <c r="A422" s="2">
        <v>2196</v>
      </c>
      <c r="B422" s="2" t="s">
        <v>19</v>
      </c>
      <c r="C422" s="2" t="s">
        <v>1456</v>
      </c>
      <c r="D422" s="2" t="s">
        <v>1456</v>
      </c>
      <c r="E422" s="2" t="s">
        <v>1577</v>
      </c>
      <c r="F422" s="2" t="s">
        <v>1582</v>
      </c>
      <c r="G422" s="2" t="s">
        <v>1579</v>
      </c>
      <c r="H422" s="2" t="s">
        <v>1583</v>
      </c>
      <c r="I422" s="2">
        <v>28</v>
      </c>
      <c r="J422" s="2" t="s">
        <v>24</v>
      </c>
      <c r="K422" s="2">
        <v>-17.387803999999999</v>
      </c>
      <c r="L422" s="2">
        <v>-66.254936000000001</v>
      </c>
      <c r="M422" s="2" t="s">
        <v>25</v>
      </c>
      <c r="N422" s="2">
        <v>2196</v>
      </c>
      <c r="O422" s="2" t="s">
        <v>1584</v>
      </c>
      <c r="P422" s="2">
        <v>47</v>
      </c>
      <c r="Q422" s="2">
        <v>5</v>
      </c>
      <c r="R422" s="2">
        <f>IFERROR(VLOOKUP(A422,'[1]Recintos Cochabamba'!A$1:R$838,17,FALSE),0)</f>
        <v>8</v>
      </c>
      <c r="S422" s="3">
        <f>IFERROR(VLOOKUP(A422,'[1]Recintos Cochabamba'!A$1:T$838,18,FALSE),0)</f>
        <v>0.45157811198568343</v>
      </c>
    </row>
    <row r="423" spans="1:19" x14ac:dyDescent="0.25">
      <c r="A423" s="2">
        <v>2197</v>
      </c>
      <c r="B423" s="2" t="s">
        <v>19</v>
      </c>
      <c r="C423" s="2" t="s">
        <v>1456</v>
      </c>
      <c r="D423" s="2" t="s">
        <v>1456</v>
      </c>
      <c r="E423" s="2" t="s">
        <v>1577</v>
      </c>
      <c r="F423" s="2" t="s">
        <v>1585</v>
      </c>
      <c r="G423" s="2" t="s">
        <v>1586</v>
      </c>
      <c r="H423" s="2" t="s">
        <v>1587</v>
      </c>
      <c r="I423" s="2">
        <v>28</v>
      </c>
      <c r="J423" s="2" t="s">
        <v>24</v>
      </c>
      <c r="K423" s="2">
        <v>-17.364498000000001</v>
      </c>
      <c r="L423" s="2">
        <v>-66.259035999999995</v>
      </c>
      <c r="M423" s="2" t="s">
        <v>25</v>
      </c>
      <c r="N423" s="2">
        <v>2197</v>
      </c>
      <c r="O423" s="2" t="s">
        <v>1588</v>
      </c>
      <c r="P423" s="2">
        <v>50</v>
      </c>
      <c r="Q423" s="2">
        <v>8</v>
      </c>
      <c r="R423" s="2">
        <f>IFERROR(VLOOKUP(A423,'[1]Recintos Cochabamba'!A$1:R$838,17,FALSE),0)</f>
        <v>3</v>
      </c>
      <c r="S423" s="3">
        <f>IFERROR(VLOOKUP(A423,'[1]Recintos Cochabamba'!A$1:T$838,18,FALSE),0)</f>
        <v>0.72639185797936623</v>
      </c>
    </row>
    <row r="424" spans="1:19" x14ac:dyDescent="0.25">
      <c r="A424" s="2">
        <v>2198</v>
      </c>
      <c r="B424" s="2" t="s">
        <v>19</v>
      </c>
      <c r="C424" s="2" t="s">
        <v>1456</v>
      </c>
      <c r="D424" s="2" t="s">
        <v>1456</v>
      </c>
      <c r="E424" s="2" t="s">
        <v>1577</v>
      </c>
      <c r="F424" s="2" t="s">
        <v>1589</v>
      </c>
      <c r="G424" s="2" t="s">
        <v>1590</v>
      </c>
      <c r="H424" s="2" t="s">
        <v>1591</v>
      </c>
      <c r="I424" s="2">
        <v>28</v>
      </c>
      <c r="J424" s="2" t="s">
        <v>24</v>
      </c>
      <c r="K424" s="2">
        <v>-17.373754000000002</v>
      </c>
      <c r="L424" s="2">
        <v>-66.255146999999994</v>
      </c>
      <c r="M424" s="2" t="s">
        <v>25</v>
      </c>
      <c r="N424" s="2">
        <v>2198</v>
      </c>
      <c r="O424" s="2" t="s">
        <v>1592</v>
      </c>
      <c r="P424" s="2">
        <v>47</v>
      </c>
      <c r="Q424" s="2">
        <v>5</v>
      </c>
      <c r="R424" s="2">
        <f>IFERROR(VLOOKUP(A424,'[1]Recintos Cochabamba'!A$1:R$838,17,FALSE),0)</f>
        <v>2</v>
      </c>
      <c r="S424" s="3">
        <f>IFERROR(VLOOKUP(A424,'[1]Recintos Cochabamba'!A$1:T$838,18,FALSE),0)</f>
        <v>0.66489667049368539</v>
      </c>
    </row>
    <row r="425" spans="1:19" x14ac:dyDescent="0.25">
      <c r="A425" s="2">
        <v>2199</v>
      </c>
      <c r="B425" s="2" t="s">
        <v>19</v>
      </c>
      <c r="C425" s="2" t="s">
        <v>1456</v>
      </c>
      <c r="D425" s="2" t="s">
        <v>1456</v>
      </c>
      <c r="E425" s="2" t="s">
        <v>1593</v>
      </c>
      <c r="F425" s="2" t="s">
        <v>1594</v>
      </c>
      <c r="G425" s="2" t="s">
        <v>1574</v>
      </c>
      <c r="H425" s="2" t="s">
        <v>1595</v>
      </c>
      <c r="I425" s="2">
        <v>28</v>
      </c>
      <c r="J425" s="2" t="s">
        <v>24</v>
      </c>
      <c r="K425" s="2">
        <v>-17.363199999999999</v>
      </c>
      <c r="L425" s="2">
        <v>-66.296999999999997</v>
      </c>
      <c r="M425" s="2" t="s">
        <v>776</v>
      </c>
      <c r="N425" s="2">
        <v>2199</v>
      </c>
      <c r="O425" s="2" t="s">
        <v>1596</v>
      </c>
      <c r="P425" s="2">
        <v>44</v>
      </c>
      <c r="Q425" s="2">
        <v>4</v>
      </c>
      <c r="R425" s="2">
        <f>IFERROR(VLOOKUP(A425,'[1]Recintos Cochabamba'!A$1:R$838,17,FALSE),0)</f>
        <v>14</v>
      </c>
      <c r="S425" s="3">
        <f>IFERROR(VLOOKUP(A425,'[1]Recintos Cochabamba'!A$1:T$838,18,FALSE),0)</f>
        <v>0.68047297522535488</v>
      </c>
    </row>
    <row r="426" spans="1:19" x14ac:dyDescent="0.25">
      <c r="A426" s="2">
        <v>2200</v>
      </c>
      <c r="B426" s="2" t="s">
        <v>19</v>
      </c>
      <c r="C426" s="2" t="s">
        <v>1456</v>
      </c>
      <c r="D426" s="2" t="s">
        <v>1456</v>
      </c>
      <c r="E426" s="2" t="s">
        <v>1597</v>
      </c>
      <c r="F426" s="2" t="s">
        <v>1598</v>
      </c>
      <c r="G426" s="2" t="s">
        <v>1599</v>
      </c>
      <c r="H426" s="2" t="s">
        <v>1600</v>
      </c>
      <c r="I426" s="2">
        <v>28</v>
      </c>
      <c r="J426" s="2" t="s">
        <v>24</v>
      </c>
      <c r="K426" s="2">
        <v>-17.397432999999999</v>
      </c>
      <c r="L426" s="2">
        <v>-66.265553999999995</v>
      </c>
      <c r="M426" s="2" t="s">
        <v>776</v>
      </c>
      <c r="N426" s="2">
        <v>2200</v>
      </c>
      <c r="O426" s="2" t="s">
        <v>1601</v>
      </c>
      <c r="P426" s="2">
        <v>30</v>
      </c>
      <c r="Q426" s="2">
        <v>10</v>
      </c>
      <c r="R426" s="2">
        <f>IFERROR(VLOOKUP(A426,'[1]Recintos Cochabamba'!A$1:R$838,17,FALSE),0)</f>
        <v>14</v>
      </c>
      <c r="S426" s="3">
        <f>IFERROR(VLOOKUP(A426,'[1]Recintos Cochabamba'!A$1:T$838,18,FALSE),0)</f>
        <v>0.49958680102649639</v>
      </c>
    </row>
    <row r="427" spans="1:19" x14ac:dyDescent="0.25">
      <c r="A427" s="2">
        <v>2201</v>
      </c>
      <c r="B427" s="2" t="s">
        <v>19</v>
      </c>
      <c r="C427" s="2" t="s">
        <v>1456</v>
      </c>
      <c r="D427" s="2" t="s">
        <v>1456</v>
      </c>
      <c r="E427" s="2" t="s">
        <v>1597</v>
      </c>
      <c r="F427" s="2" t="s">
        <v>1602</v>
      </c>
      <c r="G427" s="2" t="s">
        <v>19</v>
      </c>
      <c r="H427" s="2" t="s">
        <v>1603</v>
      </c>
      <c r="I427" s="2">
        <v>28</v>
      </c>
      <c r="J427" s="2" t="s">
        <v>24</v>
      </c>
      <c r="K427" s="2">
        <v>-17.393799999999999</v>
      </c>
      <c r="L427" s="2">
        <v>-66.269300000000001</v>
      </c>
      <c r="M427" s="2" t="s">
        <v>776</v>
      </c>
      <c r="N427" s="2">
        <v>2201</v>
      </c>
      <c r="O427" s="2" t="s">
        <v>1604</v>
      </c>
      <c r="P427" s="2">
        <v>31</v>
      </c>
      <c r="Q427" s="2">
        <v>2</v>
      </c>
      <c r="R427" s="2">
        <f>IFERROR(VLOOKUP(A427,'[1]Recintos Cochabamba'!A$1:R$838,17,FALSE),0)</f>
        <v>13</v>
      </c>
      <c r="S427" s="3">
        <f>IFERROR(VLOOKUP(A427,'[1]Recintos Cochabamba'!A$1:T$838,18,FALSE),0)</f>
        <v>0.42004530826946318</v>
      </c>
    </row>
    <row r="428" spans="1:19" x14ac:dyDescent="0.25">
      <c r="A428" s="2">
        <v>2202</v>
      </c>
      <c r="B428" s="2" t="s">
        <v>19</v>
      </c>
      <c r="C428" s="2" t="s">
        <v>1456</v>
      </c>
      <c r="D428" s="2" t="s">
        <v>1456</v>
      </c>
      <c r="E428" s="2" t="s">
        <v>1597</v>
      </c>
      <c r="F428" s="2" t="s">
        <v>1605</v>
      </c>
      <c r="G428" s="2" t="s">
        <v>1606</v>
      </c>
      <c r="H428" s="2" t="s">
        <v>1607</v>
      </c>
      <c r="I428" s="2">
        <v>28</v>
      </c>
      <c r="J428" s="2" t="s">
        <v>24</v>
      </c>
      <c r="K428" s="2">
        <v>-17.411799999999999</v>
      </c>
      <c r="L428" s="2">
        <v>-66.272000000000006</v>
      </c>
      <c r="M428" s="2" t="s">
        <v>776</v>
      </c>
      <c r="N428" s="2">
        <v>2202</v>
      </c>
      <c r="O428" s="2" t="s">
        <v>1608</v>
      </c>
      <c r="P428" s="2">
        <v>42</v>
      </c>
      <c r="Q428" s="2">
        <v>3</v>
      </c>
      <c r="R428" s="2">
        <f>IFERROR(VLOOKUP(A428,'[1]Recintos Cochabamba'!A$1:R$838,17,FALSE),0)</f>
        <v>6</v>
      </c>
      <c r="S428" s="3">
        <f>IFERROR(VLOOKUP(A428,'[1]Recintos Cochabamba'!A$1:T$838,18,FALSE),0)</f>
        <v>0.53879755434782606</v>
      </c>
    </row>
    <row r="429" spans="1:19" x14ac:dyDescent="0.25">
      <c r="A429" s="2">
        <v>2203</v>
      </c>
      <c r="B429" s="2" t="s">
        <v>19</v>
      </c>
      <c r="C429" s="2" t="s">
        <v>1456</v>
      </c>
      <c r="D429" s="2" t="s">
        <v>1456</v>
      </c>
      <c r="E429" s="2" t="s">
        <v>1597</v>
      </c>
      <c r="F429" s="2" t="s">
        <v>1609</v>
      </c>
      <c r="G429" s="2" t="s">
        <v>1610</v>
      </c>
      <c r="H429" s="2" t="s">
        <v>1611</v>
      </c>
      <c r="I429" s="2">
        <v>28</v>
      </c>
      <c r="J429" s="2" t="s">
        <v>24</v>
      </c>
      <c r="K429" s="2">
        <v>-17.439098000000001</v>
      </c>
      <c r="L429" s="2">
        <v>-66.274529999999999</v>
      </c>
      <c r="M429" s="2" t="s">
        <v>25</v>
      </c>
      <c r="N429" s="2">
        <v>2203</v>
      </c>
      <c r="O429" s="2" t="s">
        <v>1612</v>
      </c>
      <c r="P429" s="2">
        <v>29</v>
      </c>
      <c r="Q429" s="2">
        <v>6</v>
      </c>
      <c r="R429" s="2">
        <f>IFERROR(VLOOKUP(A429,'[1]Recintos Cochabamba'!A$1:R$838,17,FALSE),0)</f>
        <v>2</v>
      </c>
      <c r="S429" s="3">
        <v>0</v>
      </c>
    </row>
    <row r="430" spans="1:19" x14ac:dyDescent="0.25">
      <c r="A430" s="2">
        <v>2204</v>
      </c>
      <c r="B430" s="2" t="s">
        <v>19</v>
      </c>
      <c r="C430" s="2" t="s">
        <v>1456</v>
      </c>
      <c r="D430" s="2" t="s">
        <v>1456</v>
      </c>
      <c r="E430" s="2" t="s">
        <v>1613</v>
      </c>
      <c r="F430" s="2" t="s">
        <v>1614</v>
      </c>
      <c r="G430" s="2" t="s">
        <v>1615</v>
      </c>
      <c r="H430" s="2" t="s">
        <v>1613</v>
      </c>
      <c r="I430" s="2">
        <v>28</v>
      </c>
      <c r="J430" s="2" t="s">
        <v>24</v>
      </c>
      <c r="K430" s="2">
        <v>-17.3385</v>
      </c>
      <c r="L430" s="2">
        <v>-66.266800000000003</v>
      </c>
      <c r="M430" s="2" t="s">
        <v>25</v>
      </c>
      <c r="N430" s="2">
        <v>2204</v>
      </c>
      <c r="O430" s="2" t="s">
        <v>1616</v>
      </c>
      <c r="P430" s="2">
        <v>50</v>
      </c>
      <c r="Q430" s="2">
        <v>8</v>
      </c>
      <c r="R430" s="2">
        <f>IFERROR(VLOOKUP(A430,'[1]Recintos Cochabamba'!A$1:R$838,17,FALSE),0)</f>
        <v>20</v>
      </c>
      <c r="S430" s="3">
        <f>IFERROR(VLOOKUP(A430,'[1]Recintos Cochabamba'!A$1:T$838,18,FALSE),0)</f>
        <v>0.69764964029212584</v>
      </c>
    </row>
    <row r="431" spans="1:19" x14ac:dyDescent="0.25">
      <c r="A431" s="2">
        <v>2205</v>
      </c>
      <c r="B431" s="2" t="s">
        <v>19</v>
      </c>
      <c r="C431" s="2" t="s">
        <v>1456</v>
      </c>
      <c r="D431" s="2" t="s">
        <v>1456</v>
      </c>
      <c r="E431" s="2" t="s">
        <v>1613</v>
      </c>
      <c r="F431" s="2" t="s">
        <v>1617</v>
      </c>
      <c r="G431" s="2" t="s">
        <v>1618</v>
      </c>
      <c r="H431" s="2" t="s">
        <v>1619</v>
      </c>
      <c r="I431" s="2">
        <v>28</v>
      </c>
      <c r="J431" s="2" t="s">
        <v>24</v>
      </c>
      <c r="K431" s="2">
        <v>-17.3294</v>
      </c>
      <c r="L431" s="2">
        <v>-66.242999999999995</v>
      </c>
      <c r="M431" s="2" t="s">
        <v>25</v>
      </c>
      <c r="N431" s="2">
        <v>2205</v>
      </c>
      <c r="O431" s="2" t="s">
        <v>1620</v>
      </c>
      <c r="P431" s="2">
        <v>50</v>
      </c>
      <c r="Q431" s="2">
        <v>8</v>
      </c>
      <c r="R431" s="2">
        <f>IFERROR(VLOOKUP(A431,'[1]Recintos Cochabamba'!A$1:R$838,17,FALSE),0)</f>
        <v>6</v>
      </c>
      <c r="S431" s="3">
        <f>IFERROR(VLOOKUP(A431,'[1]Recintos Cochabamba'!A$1:T$838,18,FALSE),0)</f>
        <v>0.7281986000538202</v>
      </c>
    </row>
    <row r="432" spans="1:19" x14ac:dyDescent="0.25">
      <c r="A432" s="2">
        <v>2206</v>
      </c>
      <c r="B432" s="2" t="s">
        <v>19</v>
      </c>
      <c r="C432" s="2" t="s">
        <v>1456</v>
      </c>
      <c r="D432" s="2" t="s">
        <v>1456</v>
      </c>
      <c r="E432" s="2" t="s">
        <v>1613</v>
      </c>
      <c r="F432" s="2" t="s">
        <v>1621</v>
      </c>
      <c r="G432" s="2" t="s">
        <v>1622</v>
      </c>
      <c r="H432" s="2" t="s">
        <v>1623</v>
      </c>
      <c r="I432" s="2">
        <v>28</v>
      </c>
      <c r="J432" s="2" t="s">
        <v>24</v>
      </c>
      <c r="K432" s="2">
        <v>-17.349699999999999</v>
      </c>
      <c r="L432" s="2">
        <v>-66.256600000000006</v>
      </c>
      <c r="M432" s="2" t="s">
        <v>25</v>
      </c>
      <c r="N432" s="2">
        <v>2206</v>
      </c>
      <c r="O432" s="2" t="s">
        <v>1624</v>
      </c>
      <c r="P432" s="2">
        <v>50</v>
      </c>
      <c r="Q432" s="2">
        <v>8</v>
      </c>
      <c r="R432" s="2">
        <f>IFERROR(VLOOKUP(A432,'[1]Recintos Cochabamba'!A$1:R$838,17,FALSE),0)</f>
        <v>9</v>
      </c>
      <c r="S432" s="3">
        <f>IFERROR(VLOOKUP(A432,'[1]Recintos Cochabamba'!A$1:T$838,18,FALSE),0)</f>
        <v>0.66486914258763108</v>
      </c>
    </row>
    <row r="433" spans="1:19" x14ac:dyDescent="0.25">
      <c r="A433" s="2">
        <v>2207</v>
      </c>
      <c r="B433" s="2" t="s">
        <v>19</v>
      </c>
      <c r="C433" s="2" t="s">
        <v>1456</v>
      </c>
      <c r="D433" s="2" t="s">
        <v>1456</v>
      </c>
      <c r="E433" s="2" t="s">
        <v>1613</v>
      </c>
      <c r="F433" s="2" t="s">
        <v>1625</v>
      </c>
      <c r="G433" s="2" t="s">
        <v>1615</v>
      </c>
      <c r="H433" s="2" t="s">
        <v>1626</v>
      </c>
      <c r="I433" s="2">
        <v>28</v>
      </c>
      <c r="J433" s="2" t="s">
        <v>24</v>
      </c>
      <c r="K433" s="2">
        <v>-17.338628</v>
      </c>
      <c r="L433" s="2">
        <v>-66.267885000000007</v>
      </c>
      <c r="M433" s="2" t="s">
        <v>25</v>
      </c>
      <c r="N433" s="2">
        <v>2207</v>
      </c>
      <c r="O433" s="2" t="s">
        <v>1627</v>
      </c>
      <c r="P433" s="2">
        <v>50</v>
      </c>
      <c r="Q433" s="2">
        <v>8</v>
      </c>
      <c r="R433" s="2">
        <f>IFERROR(VLOOKUP(A433,'[1]Recintos Cochabamba'!A$1:R$838,17,FALSE),0)</f>
        <v>14</v>
      </c>
      <c r="S433" s="3">
        <f>IFERROR(VLOOKUP(A433,'[1]Recintos Cochabamba'!A$1:T$838,18,FALSE),0)</f>
        <v>0.73264905061951779</v>
      </c>
    </row>
    <row r="434" spans="1:19" x14ac:dyDescent="0.25">
      <c r="A434" s="2">
        <v>2208</v>
      </c>
      <c r="B434" s="2" t="s">
        <v>19</v>
      </c>
      <c r="C434" s="2" t="s">
        <v>1456</v>
      </c>
      <c r="D434" s="2" t="s">
        <v>1456</v>
      </c>
      <c r="E434" s="2" t="s">
        <v>1613</v>
      </c>
      <c r="F434" s="2" t="s">
        <v>1628</v>
      </c>
      <c r="G434" s="2" t="s">
        <v>1629</v>
      </c>
      <c r="H434" s="2" t="s">
        <v>1630</v>
      </c>
      <c r="I434" s="2">
        <v>28</v>
      </c>
      <c r="J434" s="2" t="s">
        <v>24</v>
      </c>
      <c r="K434" s="2">
        <v>-17.318452000000001</v>
      </c>
      <c r="L434" s="2">
        <v>-66.264364999999998</v>
      </c>
      <c r="M434" s="2" t="s">
        <v>25</v>
      </c>
      <c r="N434" s="2">
        <v>2208</v>
      </c>
      <c r="O434" s="2" t="s">
        <v>1631</v>
      </c>
      <c r="P434" s="2">
        <v>50</v>
      </c>
      <c r="Q434" s="2">
        <v>8</v>
      </c>
      <c r="R434" s="2">
        <f>IFERROR(VLOOKUP(A434,'[1]Recintos Cochabamba'!A$1:R$838,17,FALSE),0)</f>
        <v>2</v>
      </c>
      <c r="S434" s="3">
        <f>IFERROR(VLOOKUP(A434,'[1]Recintos Cochabamba'!A$1:T$838,18,FALSE),0)</f>
        <v>0.88856990962254123</v>
      </c>
    </row>
    <row r="435" spans="1:19" x14ac:dyDescent="0.25">
      <c r="A435" s="2">
        <v>2209</v>
      </c>
      <c r="B435" s="2" t="s">
        <v>19</v>
      </c>
      <c r="C435" s="2" t="s">
        <v>1456</v>
      </c>
      <c r="D435" s="2" t="s">
        <v>1456</v>
      </c>
      <c r="E435" s="2" t="s">
        <v>1613</v>
      </c>
      <c r="F435" s="2" t="s">
        <v>1632</v>
      </c>
      <c r="G435" s="2" t="s">
        <v>1633</v>
      </c>
      <c r="H435" s="2" t="s">
        <v>1634</v>
      </c>
      <c r="I435" s="2">
        <v>28</v>
      </c>
      <c r="J435" s="2" t="s">
        <v>24</v>
      </c>
      <c r="K435" s="2">
        <v>-17.335113</v>
      </c>
      <c r="L435" s="2">
        <v>-66.262933000000004</v>
      </c>
      <c r="M435" s="2" t="s">
        <v>25</v>
      </c>
      <c r="N435" s="2">
        <v>2209</v>
      </c>
      <c r="O435" s="2" t="s">
        <v>1635</v>
      </c>
      <c r="P435" s="2">
        <v>50</v>
      </c>
      <c r="Q435" s="2">
        <v>8</v>
      </c>
      <c r="R435" s="2">
        <f>IFERROR(VLOOKUP(A435,'[1]Recintos Cochabamba'!A$1:R$838,17,FALSE),0)</f>
        <v>2</v>
      </c>
      <c r="S435" s="3">
        <f>IFERROR(VLOOKUP(A435,'[1]Recintos Cochabamba'!A$1:T$838,18,FALSE),0)</f>
        <v>0.71212121212121215</v>
      </c>
    </row>
    <row r="436" spans="1:19" x14ac:dyDescent="0.25">
      <c r="A436" s="2">
        <v>2210</v>
      </c>
      <c r="B436" s="2" t="s">
        <v>19</v>
      </c>
      <c r="C436" s="2" t="s">
        <v>1456</v>
      </c>
      <c r="D436" s="2" t="s">
        <v>1456</v>
      </c>
      <c r="E436" s="2" t="s">
        <v>1636</v>
      </c>
      <c r="F436" s="2" t="s">
        <v>1637</v>
      </c>
      <c r="G436" s="2" t="s">
        <v>1508</v>
      </c>
      <c r="H436" s="2" t="s">
        <v>1638</v>
      </c>
      <c r="I436" s="2">
        <v>28</v>
      </c>
      <c r="J436" s="2" t="s">
        <v>24</v>
      </c>
      <c r="K436" s="2">
        <v>-17.3294</v>
      </c>
      <c r="L436" s="2">
        <v>-66.283000000000001</v>
      </c>
      <c r="M436" s="2" t="s">
        <v>25</v>
      </c>
      <c r="N436" s="2">
        <v>2210</v>
      </c>
      <c r="O436" s="2" t="s">
        <v>1639</v>
      </c>
      <c r="P436" s="2">
        <v>49</v>
      </c>
      <c r="Q436" s="2">
        <v>7</v>
      </c>
      <c r="R436" s="2">
        <f>IFERROR(VLOOKUP(A436,'[1]Recintos Cochabamba'!A$1:R$838,17,FALSE),0)</f>
        <v>23</v>
      </c>
      <c r="S436" s="3">
        <f>IFERROR(VLOOKUP(A436,'[1]Recintos Cochabamba'!A$1:T$838,18,FALSE),0)</f>
        <v>0.84006818393919613</v>
      </c>
    </row>
    <row r="437" spans="1:19" x14ac:dyDescent="0.25">
      <c r="A437" s="2">
        <v>2211</v>
      </c>
      <c r="B437" s="2" t="s">
        <v>19</v>
      </c>
      <c r="C437" s="2" t="s">
        <v>1456</v>
      </c>
      <c r="D437" s="2" t="s">
        <v>1456</v>
      </c>
      <c r="E437" s="2" t="s">
        <v>1640</v>
      </c>
      <c r="F437" s="2" t="s">
        <v>1641</v>
      </c>
      <c r="G437" s="2" t="s">
        <v>1642</v>
      </c>
      <c r="H437" s="2" t="s">
        <v>1640</v>
      </c>
      <c r="I437" s="2">
        <v>28</v>
      </c>
      <c r="J437" s="2" t="s">
        <v>24</v>
      </c>
      <c r="K437" s="2">
        <v>-17.1173</v>
      </c>
      <c r="L437" s="2">
        <v>-66.322699999999998</v>
      </c>
      <c r="M437" s="2" t="s">
        <v>25</v>
      </c>
      <c r="N437" s="2">
        <v>2211</v>
      </c>
      <c r="O437" s="2" t="s">
        <v>1643</v>
      </c>
      <c r="P437" s="2">
        <v>39</v>
      </c>
      <c r="Q437" s="2">
        <v>9</v>
      </c>
      <c r="R437" s="2">
        <f>IFERROR(VLOOKUP(A437,'[1]Recintos Cochabamba'!A$1:R$838,17,FALSE),0)</f>
        <v>2</v>
      </c>
      <c r="S437" s="3">
        <f>IFERROR(VLOOKUP(A437,'[1]Recintos Cochabamba'!A$1:T$838,18,FALSE),0)</f>
        <v>0.90423662631784452</v>
      </c>
    </row>
    <row r="438" spans="1:19" x14ac:dyDescent="0.25">
      <c r="A438" s="2">
        <v>2212</v>
      </c>
      <c r="B438" s="2" t="s">
        <v>19</v>
      </c>
      <c r="C438" s="2" t="s">
        <v>1456</v>
      </c>
      <c r="D438" s="2" t="s">
        <v>1456</v>
      </c>
      <c r="E438" s="2" t="s">
        <v>1640</v>
      </c>
      <c r="F438" s="2" t="s">
        <v>1644</v>
      </c>
      <c r="G438" s="2" t="s">
        <v>1645</v>
      </c>
      <c r="H438" s="2" t="s">
        <v>1640</v>
      </c>
      <c r="I438" s="2">
        <v>28</v>
      </c>
      <c r="J438" s="2" t="s">
        <v>24</v>
      </c>
      <c r="K438" s="2">
        <v>-17.1265</v>
      </c>
      <c r="L438" s="2">
        <v>-66.321899999999999</v>
      </c>
      <c r="M438" s="2" t="s">
        <v>25</v>
      </c>
      <c r="N438" s="2">
        <v>2212</v>
      </c>
      <c r="O438" s="2" t="s">
        <v>1646</v>
      </c>
      <c r="P438" s="2">
        <v>39</v>
      </c>
      <c r="Q438" s="2">
        <v>9</v>
      </c>
      <c r="R438" s="2">
        <f>IFERROR(VLOOKUP(A438,'[1]Recintos Cochabamba'!A$1:R$838,17,FALSE),0)</f>
        <v>3</v>
      </c>
      <c r="S438" s="3">
        <f>IFERROR(VLOOKUP(A438,'[1]Recintos Cochabamba'!A$1:T$838,18,FALSE),0)</f>
        <v>0.94201304640316863</v>
      </c>
    </row>
    <row r="439" spans="1:19" x14ac:dyDescent="0.25">
      <c r="A439" s="2">
        <v>2213</v>
      </c>
      <c r="B439" s="2" t="s">
        <v>19</v>
      </c>
      <c r="C439" s="2" t="s">
        <v>1456</v>
      </c>
      <c r="D439" s="2" t="s">
        <v>1456</v>
      </c>
      <c r="E439" s="2" t="s">
        <v>1647</v>
      </c>
      <c r="F439" s="2" t="s">
        <v>1648</v>
      </c>
      <c r="G439" s="2" t="s">
        <v>1649</v>
      </c>
      <c r="H439" s="2" t="s">
        <v>1647</v>
      </c>
      <c r="I439" s="2">
        <v>28</v>
      </c>
      <c r="J439" s="2" t="s">
        <v>24</v>
      </c>
      <c r="K439" s="2">
        <v>-17.284800000000001</v>
      </c>
      <c r="L439" s="2">
        <v>-66.299800000000005</v>
      </c>
      <c r="M439" s="2" t="s">
        <v>25</v>
      </c>
      <c r="N439" s="2">
        <v>2213</v>
      </c>
      <c r="O439" s="2" t="s">
        <v>1650</v>
      </c>
      <c r="P439" s="2">
        <v>39</v>
      </c>
      <c r="Q439" s="2">
        <v>9</v>
      </c>
      <c r="R439" s="2">
        <f>IFERROR(VLOOKUP(A439,'[1]Recintos Cochabamba'!A$1:R$838,17,FALSE),0)</f>
        <v>1</v>
      </c>
      <c r="S439" s="3">
        <f>IFERROR(VLOOKUP(A439,'[1]Recintos Cochabamba'!A$1:T$838,18,FALSE),0)</f>
        <v>0.96618357487922701</v>
      </c>
    </row>
    <row r="440" spans="1:19" x14ac:dyDescent="0.25">
      <c r="A440" s="2">
        <v>2214</v>
      </c>
      <c r="B440" s="2" t="s">
        <v>19</v>
      </c>
      <c r="C440" s="2" t="s">
        <v>1456</v>
      </c>
      <c r="D440" s="2" t="s">
        <v>1456</v>
      </c>
      <c r="E440" s="2" t="s">
        <v>1651</v>
      </c>
      <c r="F440" s="2" t="s">
        <v>1652</v>
      </c>
      <c r="G440" s="2" t="s">
        <v>1508</v>
      </c>
      <c r="H440" s="2" t="s">
        <v>1653</v>
      </c>
      <c r="I440" s="2">
        <v>28</v>
      </c>
      <c r="J440" s="2" t="s">
        <v>24</v>
      </c>
      <c r="K440" s="2">
        <v>-17.326364000000002</v>
      </c>
      <c r="L440" s="2">
        <v>-66.302063000000004</v>
      </c>
      <c r="M440" s="2" t="s">
        <v>25</v>
      </c>
      <c r="N440" s="2">
        <v>2214</v>
      </c>
      <c r="O440" s="2" t="s">
        <v>1654</v>
      </c>
      <c r="P440" s="2">
        <v>49</v>
      </c>
      <c r="Q440" s="2">
        <v>7</v>
      </c>
      <c r="R440" s="2">
        <f>IFERROR(VLOOKUP(A440,'[1]Recintos Cochabamba'!A$1:R$838,17,FALSE),0)</f>
        <v>6</v>
      </c>
      <c r="S440" s="3">
        <f>IFERROR(VLOOKUP(A440,'[1]Recintos Cochabamba'!A$1:T$838,18,FALSE),0)</f>
        <v>0.86075115014498871</v>
      </c>
    </row>
    <row r="441" spans="1:19" x14ac:dyDescent="0.25">
      <c r="A441" s="2">
        <v>2215</v>
      </c>
      <c r="B441" s="2" t="s">
        <v>19</v>
      </c>
      <c r="C441" s="2" t="s">
        <v>1456</v>
      </c>
      <c r="D441" s="2" t="s">
        <v>1655</v>
      </c>
      <c r="E441" s="2" t="s">
        <v>1656</v>
      </c>
      <c r="F441" s="2" t="s">
        <v>1657</v>
      </c>
      <c r="G441" s="2" t="s">
        <v>1658</v>
      </c>
      <c r="H441" s="2" t="s">
        <v>1656</v>
      </c>
      <c r="I441" s="2">
        <v>27</v>
      </c>
      <c r="J441" s="2" t="s">
        <v>24</v>
      </c>
      <c r="K441" s="2">
        <v>-17.454799999999999</v>
      </c>
      <c r="L441" s="2">
        <v>-66.357100000000003</v>
      </c>
      <c r="M441" s="2" t="s">
        <v>776</v>
      </c>
      <c r="N441" s="2">
        <v>2215</v>
      </c>
      <c r="O441" s="2" t="s">
        <v>1659</v>
      </c>
      <c r="P441" s="2">
        <v>0</v>
      </c>
      <c r="Q441" s="2">
        <v>0</v>
      </c>
      <c r="R441" s="2">
        <f>IFERROR(VLOOKUP(A441,'[1]Recintos Cochabamba'!A$1:R$838,17,FALSE),0)</f>
        <v>26</v>
      </c>
      <c r="S441" s="3">
        <f>IFERROR(VLOOKUP(A441,'[1]Recintos Cochabamba'!A$1:T$838,18,FALSE),0)</f>
        <v>0.77520182329344989</v>
      </c>
    </row>
    <row r="442" spans="1:19" x14ac:dyDescent="0.25">
      <c r="A442" s="2">
        <v>2216</v>
      </c>
      <c r="B442" s="2" t="s">
        <v>19</v>
      </c>
      <c r="C442" s="2" t="s">
        <v>1456</v>
      </c>
      <c r="D442" s="2" t="s">
        <v>1655</v>
      </c>
      <c r="E442" s="2" t="s">
        <v>1656</v>
      </c>
      <c r="F442" s="2" t="s">
        <v>1660</v>
      </c>
      <c r="G442" s="2" t="s">
        <v>1658</v>
      </c>
      <c r="H442" s="2" t="s">
        <v>1656</v>
      </c>
      <c r="I442" s="2">
        <v>27</v>
      </c>
      <c r="J442" s="2" t="s">
        <v>24</v>
      </c>
      <c r="K442" s="2">
        <v>-17.4543</v>
      </c>
      <c r="L442" s="2">
        <v>-66.358599999999996</v>
      </c>
      <c r="M442" s="2" t="s">
        <v>776</v>
      </c>
      <c r="N442" s="2">
        <v>2216</v>
      </c>
      <c r="O442" s="2" t="s">
        <v>1661</v>
      </c>
      <c r="P442" s="2">
        <v>0</v>
      </c>
      <c r="Q442" s="2">
        <v>0</v>
      </c>
      <c r="R442" s="2">
        <f>IFERROR(VLOOKUP(A442,'[1]Recintos Cochabamba'!A$1:R$838,17,FALSE),0)</f>
        <v>19</v>
      </c>
      <c r="S442" s="3">
        <f>IFERROR(VLOOKUP(A442,'[1]Recintos Cochabamba'!A$1:T$838,18,FALSE),0)</f>
        <v>0.81881843577474267</v>
      </c>
    </row>
    <row r="443" spans="1:19" x14ac:dyDescent="0.25">
      <c r="A443" s="2">
        <v>2217</v>
      </c>
      <c r="B443" s="2" t="s">
        <v>19</v>
      </c>
      <c r="C443" s="2" t="s">
        <v>1456</v>
      </c>
      <c r="D443" s="2" t="s">
        <v>1655</v>
      </c>
      <c r="E443" s="2" t="s">
        <v>1656</v>
      </c>
      <c r="F443" s="2" t="s">
        <v>1662</v>
      </c>
      <c r="G443" s="2" t="s">
        <v>1663</v>
      </c>
      <c r="H443" s="2" t="s">
        <v>1664</v>
      </c>
      <c r="I443" s="2">
        <v>27</v>
      </c>
      <c r="J443" s="2" t="s">
        <v>24</v>
      </c>
      <c r="K443" s="2">
        <v>-17.458943999999999</v>
      </c>
      <c r="L443" s="2">
        <v>-66.361946000000003</v>
      </c>
      <c r="M443" s="2" t="s">
        <v>25</v>
      </c>
      <c r="N443" s="2">
        <v>2217</v>
      </c>
      <c r="O443" s="2" t="s">
        <v>1665</v>
      </c>
      <c r="P443" s="2">
        <v>0</v>
      </c>
      <c r="Q443" s="2">
        <v>0</v>
      </c>
      <c r="R443" s="2">
        <f>IFERROR(VLOOKUP(A443,'[1]Recintos Cochabamba'!A$1:R$838,17,FALSE),0)</f>
        <v>1</v>
      </c>
      <c r="S443" s="3">
        <f>IFERROR(VLOOKUP(A443,'[1]Recintos Cochabamba'!A$1:T$838,18,FALSE),0)</f>
        <v>0.90909090909090906</v>
      </c>
    </row>
    <row r="444" spans="1:19" x14ac:dyDescent="0.25">
      <c r="A444" s="2">
        <v>2218</v>
      </c>
      <c r="B444" s="2" t="s">
        <v>19</v>
      </c>
      <c r="C444" s="2" t="s">
        <v>1456</v>
      </c>
      <c r="D444" s="2" t="s">
        <v>1655</v>
      </c>
      <c r="E444" s="2" t="s">
        <v>1666</v>
      </c>
      <c r="F444" s="2" t="s">
        <v>1667</v>
      </c>
      <c r="G444" s="2" t="s">
        <v>1668</v>
      </c>
      <c r="H444" s="2" t="s">
        <v>1666</v>
      </c>
      <c r="I444" s="2">
        <v>27</v>
      </c>
      <c r="J444" s="2" t="s">
        <v>24</v>
      </c>
      <c r="K444" s="2">
        <v>-17.466799999999999</v>
      </c>
      <c r="L444" s="2">
        <v>-66.335700000000003</v>
      </c>
      <c r="M444" s="2" t="s">
        <v>776</v>
      </c>
      <c r="N444" s="2">
        <v>2218</v>
      </c>
      <c r="O444" s="2" t="s">
        <v>1669</v>
      </c>
      <c r="P444" s="2">
        <v>0</v>
      </c>
      <c r="Q444" s="2">
        <v>0</v>
      </c>
      <c r="R444" s="2">
        <f>IFERROR(VLOOKUP(A444,'[1]Recintos Cochabamba'!A$1:R$838,17,FALSE),0)</f>
        <v>14</v>
      </c>
      <c r="S444" s="3">
        <f>IFERROR(VLOOKUP(A444,'[1]Recintos Cochabamba'!A$1:T$838,18,FALSE),0)</f>
        <v>0.67568329746889233</v>
      </c>
    </row>
    <row r="445" spans="1:19" x14ac:dyDescent="0.25">
      <c r="A445" s="2">
        <v>2219</v>
      </c>
      <c r="B445" s="2" t="s">
        <v>19</v>
      </c>
      <c r="C445" s="2" t="s">
        <v>1456</v>
      </c>
      <c r="D445" s="2" t="s">
        <v>1655</v>
      </c>
      <c r="E445" s="2" t="s">
        <v>1670</v>
      </c>
      <c r="F445" s="2" t="s">
        <v>1671</v>
      </c>
      <c r="G445" s="2" t="s">
        <v>1672</v>
      </c>
      <c r="H445" s="2" t="s">
        <v>1670</v>
      </c>
      <c r="I445" s="2">
        <v>27</v>
      </c>
      <c r="J445" s="2" t="s">
        <v>24</v>
      </c>
      <c r="K445" s="2">
        <v>-17.412400000000002</v>
      </c>
      <c r="L445" s="2">
        <v>-66.375299999999996</v>
      </c>
      <c r="M445" s="2" t="s">
        <v>25</v>
      </c>
      <c r="N445" s="2">
        <v>2219</v>
      </c>
      <c r="O445" s="2" t="s">
        <v>1673</v>
      </c>
      <c r="P445" s="2">
        <v>33</v>
      </c>
      <c r="Q445" s="2">
        <v>0</v>
      </c>
      <c r="R445" s="2">
        <f>IFERROR(VLOOKUP(A445,'[1]Recintos Cochabamba'!A$1:R$838,17,FALSE),0)</f>
        <v>7</v>
      </c>
      <c r="S445" s="3">
        <f>IFERROR(VLOOKUP(A445,'[1]Recintos Cochabamba'!A$1:T$838,18,FALSE),0)</f>
        <v>0.89687925258425349</v>
      </c>
    </row>
    <row r="446" spans="1:19" x14ac:dyDescent="0.25">
      <c r="A446" s="2">
        <v>2220</v>
      </c>
      <c r="B446" s="2" t="s">
        <v>19</v>
      </c>
      <c r="C446" s="2" t="s">
        <v>1456</v>
      </c>
      <c r="D446" s="2" t="s">
        <v>1655</v>
      </c>
      <c r="E446" s="2" t="s">
        <v>1016</v>
      </c>
      <c r="F446" s="2" t="s">
        <v>1674</v>
      </c>
      <c r="G446" s="2" t="s">
        <v>1016</v>
      </c>
      <c r="H446" s="2" t="s">
        <v>1016</v>
      </c>
      <c r="I446" s="2">
        <v>27</v>
      </c>
      <c r="J446" s="2" t="s">
        <v>24</v>
      </c>
      <c r="K446" s="2">
        <v>-17.426200000000001</v>
      </c>
      <c r="L446" s="2">
        <v>-66.329400000000007</v>
      </c>
      <c r="M446" s="2" t="s">
        <v>776</v>
      </c>
      <c r="N446" s="2">
        <v>2220</v>
      </c>
      <c r="O446" s="2" t="s">
        <v>1675</v>
      </c>
      <c r="P446" s="2">
        <v>35</v>
      </c>
      <c r="Q446" s="2">
        <v>0</v>
      </c>
      <c r="R446" s="2">
        <f>IFERROR(VLOOKUP(A446,'[1]Recintos Cochabamba'!A$1:R$838,17,FALSE),0)</f>
        <v>16</v>
      </c>
      <c r="S446" s="3">
        <f>IFERROR(VLOOKUP(A446,'[1]Recintos Cochabamba'!A$1:T$838,18,FALSE),0)</f>
        <v>0.73662863362743047</v>
      </c>
    </row>
    <row r="447" spans="1:19" x14ac:dyDescent="0.25">
      <c r="A447" s="2">
        <v>2221</v>
      </c>
      <c r="B447" s="2" t="s">
        <v>19</v>
      </c>
      <c r="C447" s="2" t="s">
        <v>1456</v>
      </c>
      <c r="D447" s="2" t="s">
        <v>1655</v>
      </c>
      <c r="E447" s="2" t="s">
        <v>1016</v>
      </c>
      <c r="F447" s="2" t="s">
        <v>1676</v>
      </c>
      <c r="G447" s="2" t="s">
        <v>1677</v>
      </c>
      <c r="H447" s="2" t="s">
        <v>1678</v>
      </c>
      <c r="I447" s="2">
        <v>27</v>
      </c>
      <c r="J447" s="2" t="s">
        <v>24</v>
      </c>
      <c r="K447" s="2">
        <v>-17.432191</v>
      </c>
      <c r="L447" s="2">
        <v>-66.326937000000001</v>
      </c>
      <c r="M447" s="2" t="s">
        <v>25</v>
      </c>
      <c r="N447" s="2">
        <v>2221</v>
      </c>
      <c r="O447" s="2" t="s">
        <v>1679</v>
      </c>
      <c r="P447" s="2">
        <v>35</v>
      </c>
      <c r="Q447" s="2">
        <v>0</v>
      </c>
      <c r="R447" s="2">
        <f>IFERROR(VLOOKUP(A447,'[1]Recintos Cochabamba'!A$1:R$838,17,FALSE),0)</f>
        <v>7</v>
      </c>
      <c r="S447" s="3">
        <f>IFERROR(VLOOKUP(A447,'[1]Recintos Cochabamba'!A$1:T$838,18,FALSE),0)</f>
        <v>0.76589883057563668</v>
      </c>
    </row>
    <row r="448" spans="1:19" x14ac:dyDescent="0.25">
      <c r="A448" s="2">
        <v>2222</v>
      </c>
      <c r="B448" s="2" t="s">
        <v>19</v>
      </c>
      <c r="C448" s="2" t="s">
        <v>1456</v>
      </c>
      <c r="D448" s="2" t="s">
        <v>1655</v>
      </c>
      <c r="E448" s="2" t="s">
        <v>1016</v>
      </c>
      <c r="F448" s="2" t="s">
        <v>1680</v>
      </c>
      <c r="G448" s="2" t="s">
        <v>1681</v>
      </c>
      <c r="H448" s="2" t="s">
        <v>1682</v>
      </c>
      <c r="I448" s="2">
        <v>27</v>
      </c>
      <c r="J448" s="2" t="s">
        <v>24</v>
      </c>
      <c r="K448" s="2">
        <v>-17.415205</v>
      </c>
      <c r="L448" s="2">
        <v>-66.319850000000002</v>
      </c>
      <c r="M448" s="2" t="s">
        <v>25</v>
      </c>
      <c r="N448" s="2">
        <v>2222</v>
      </c>
      <c r="O448" s="2" t="s">
        <v>1683</v>
      </c>
      <c r="P448" s="2">
        <v>35</v>
      </c>
      <c r="Q448" s="2">
        <v>0</v>
      </c>
      <c r="R448" s="2">
        <f>IFERROR(VLOOKUP(A448,'[1]Recintos Cochabamba'!A$1:R$838,17,FALSE),0)</f>
        <v>5</v>
      </c>
      <c r="S448" s="3">
        <f>IFERROR(VLOOKUP(A448,'[1]Recintos Cochabamba'!A$1:T$838,18,FALSE),0)</f>
        <v>0.92327209244254116</v>
      </c>
    </row>
    <row r="449" spans="1:19" x14ac:dyDescent="0.25">
      <c r="A449" s="2">
        <v>2223</v>
      </c>
      <c r="B449" s="2" t="s">
        <v>19</v>
      </c>
      <c r="C449" s="2" t="s">
        <v>1456</v>
      </c>
      <c r="D449" s="2" t="s">
        <v>1655</v>
      </c>
      <c r="E449" s="2" t="s">
        <v>1684</v>
      </c>
      <c r="F449" s="2" t="s">
        <v>1685</v>
      </c>
      <c r="G449" s="2" t="s">
        <v>1684</v>
      </c>
      <c r="H449" s="2" t="s">
        <v>1684</v>
      </c>
      <c r="I449" s="2">
        <v>27</v>
      </c>
      <c r="J449" s="2" t="s">
        <v>24</v>
      </c>
      <c r="K449" s="2">
        <v>-17.579999999999998</v>
      </c>
      <c r="L449" s="2">
        <v>-66.326400000000007</v>
      </c>
      <c r="M449" s="2" t="s">
        <v>25</v>
      </c>
      <c r="N449" s="2">
        <v>2223</v>
      </c>
      <c r="O449" s="2" t="s">
        <v>1686</v>
      </c>
      <c r="P449" s="2">
        <v>36</v>
      </c>
      <c r="Q449" s="2">
        <v>0</v>
      </c>
      <c r="R449" s="2">
        <f>IFERROR(VLOOKUP(A449,'[1]Recintos Cochabamba'!A$1:R$838,17,FALSE),0)</f>
        <v>7</v>
      </c>
      <c r="S449" s="3">
        <f>IFERROR(VLOOKUP(A449,'[1]Recintos Cochabamba'!A$1:T$838,18,FALSE),0)</f>
        <v>0.79000291344249862</v>
      </c>
    </row>
    <row r="450" spans="1:19" x14ac:dyDescent="0.25">
      <c r="A450" s="2">
        <v>2224</v>
      </c>
      <c r="B450" s="2" t="s">
        <v>19</v>
      </c>
      <c r="C450" s="2" t="s">
        <v>1456</v>
      </c>
      <c r="D450" s="2" t="s">
        <v>1655</v>
      </c>
      <c r="E450" s="2" t="s">
        <v>1687</v>
      </c>
      <c r="F450" s="2" t="s">
        <v>1688</v>
      </c>
      <c r="G450" s="2" t="s">
        <v>1687</v>
      </c>
      <c r="H450" s="2" t="s">
        <v>1689</v>
      </c>
      <c r="I450" s="2">
        <v>27</v>
      </c>
      <c r="J450" s="2" t="s">
        <v>24</v>
      </c>
      <c r="K450" s="2">
        <v>-17.5672</v>
      </c>
      <c r="L450" s="2">
        <v>-66.346900000000005</v>
      </c>
      <c r="M450" s="2" t="s">
        <v>25</v>
      </c>
      <c r="N450" s="2">
        <v>2224</v>
      </c>
      <c r="O450" s="2" t="s">
        <v>1690</v>
      </c>
      <c r="P450" s="2">
        <v>36</v>
      </c>
      <c r="Q450" s="2">
        <v>0</v>
      </c>
      <c r="R450" s="2">
        <f>IFERROR(VLOOKUP(A450,'[1]Recintos Cochabamba'!A$1:R$838,17,FALSE),0)</f>
        <v>13</v>
      </c>
      <c r="S450" s="3">
        <f>IFERROR(VLOOKUP(A450,'[1]Recintos Cochabamba'!A$1:T$838,18,FALSE),0)</f>
        <v>0.86809177424763173</v>
      </c>
    </row>
    <row r="451" spans="1:19" x14ac:dyDescent="0.25">
      <c r="A451" s="2">
        <v>2225</v>
      </c>
      <c r="B451" s="2" t="s">
        <v>19</v>
      </c>
      <c r="C451" s="2" t="s">
        <v>1456</v>
      </c>
      <c r="D451" s="2" t="s">
        <v>1655</v>
      </c>
      <c r="E451" s="2" t="s">
        <v>1691</v>
      </c>
      <c r="F451" s="2" t="s">
        <v>1692</v>
      </c>
      <c r="G451" s="2" t="s">
        <v>1693</v>
      </c>
      <c r="H451" s="2" t="s">
        <v>1691</v>
      </c>
      <c r="I451" s="2">
        <v>27</v>
      </c>
      <c r="J451" s="2" t="s">
        <v>24</v>
      </c>
      <c r="K451" s="2">
        <v>-17.419699999999999</v>
      </c>
      <c r="L451" s="2">
        <v>-66.364000000000004</v>
      </c>
      <c r="M451" s="2" t="s">
        <v>25</v>
      </c>
      <c r="N451" s="2">
        <v>2225</v>
      </c>
      <c r="O451" s="2" t="s">
        <v>1694</v>
      </c>
      <c r="P451" s="2">
        <v>35</v>
      </c>
      <c r="Q451" s="2">
        <v>0</v>
      </c>
      <c r="R451" s="2">
        <f>IFERROR(VLOOKUP(A451,'[1]Recintos Cochabamba'!A$1:R$838,17,FALSE),0)</f>
        <v>13</v>
      </c>
      <c r="S451" s="3">
        <f>IFERROR(VLOOKUP(A451,'[1]Recintos Cochabamba'!A$1:T$838,18,FALSE),0)</f>
        <v>0.83404087030358198</v>
      </c>
    </row>
    <row r="452" spans="1:19" x14ac:dyDescent="0.25">
      <c r="A452" s="2">
        <v>2226</v>
      </c>
      <c r="B452" s="2" t="s">
        <v>19</v>
      </c>
      <c r="C452" s="2" t="s">
        <v>1456</v>
      </c>
      <c r="D452" s="2" t="s">
        <v>1655</v>
      </c>
      <c r="E452" s="2" t="s">
        <v>1691</v>
      </c>
      <c r="F452" s="2" t="s">
        <v>1695</v>
      </c>
      <c r="G452" s="2" t="s">
        <v>1696</v>
      </c>
      <c r="H452" s="2" t="s">
        <v>1697</v>
      </c>
      <c r="I452" s="2">
        <v>27</v>
      </c>
      <c r="J452" s="2" t="s">
        <v>24</v>
      </c>
      <c r="K452" s="2">
        <v>-17.412503000000001</v>
      </c>
      <c r="L452" s="2">
        <v>-66.340413999999996</v>
      </c>
      <c r="M452" s="2" t="s">
        <v>25</v>
      </c>
      <c r="N452" s="2">
        <v>2226</v>
      </c>
      <c r="O452" s="2" t="s">
        <v>1698</v>
      </c>
      <c r="P452" s="2">
        <v>35</v>
      </c>
      <c r="Q452" s="2">
        <v>0</v>
      </c>
      <c r="R452" s="2">
        <f>IFERROR(VLOOKUP(A452,'[1]Recintos Cochabamba'!A$1:R$838,17,FALSE),0)</f>
        <v>3</v>
      </c>
      <c r="S452" s="3">
        <v>0</v>
      </c>
    </row>
    <row r="453" spans="1:19" x14ac:dyDescent="0.25">
      <c r="A453" s="2">
        <v>2227</v>
      </c>
      <c r="B453" s="2" t="s">
        <v>19</v>
      </c>
      <c r="C453" s="2" t="s">
        <v>1456</v>
      </c>
      <c r="D453" s="2" t="s">
        <v>1655</v>
      </c>
      <c r="E453" s="2" t="s">
        <v>1699</v>
      </c>
      <c r="F453" s="2" t="s">
        <v>1700</v>
      </c>
      <c r="G453" s="2" t="s">
        <v>1701</v>
      </c>
      <c r="H453" s="2" t="s">
        <v>1699</v>
      </c>
      <c r="I453" s="2">
        <v>27</v>
      </c>
      <c r="J453" s="2" t="s">
        <v>24</v>
      </c>
      <c r="K453" s="2">
        <v>-17.375499999999999</v>
      </c>
      <c r="L453" s="2">
        <v>-66.471100000000007</v>
      </c>
      <c r="M453" s="2" t="s">
        <v>25</v>
      </c>
      <c r="N453" s="2">
        <v>2227</v>
      </c>
      <c r="O453" s="2" t="s">
        <v>1702</v>
      </c>
      <c r="P453" s="2">
        <v>0</v>
      </c>
      <c r="Q453" s="2">
        <v>0</v>
      </c>
      <c r="R453" s="2">
        <f>IFERROR(VLOOKUP(A453,'[1]Recintos Cochabamba'!A$1:R$838,17,FALSE),0)</f>
        <v>2</v>
      </c>
      <c r="S453" s="3">
        <f>IFERROR(VLOOKUP(A453,'[1]Recintos Cochabamba'!A$1:T$838,18,FALSE),0)</f>
        <v>0.93306763285024152</v>
      </c>
    </row>
    <row r="454" spans="1:19" x14ac:dyDescent="0.25">
      <c r="A454" s="2">
        <v>2228</v>
      </c>
      <c r="B454" s="2" t="s">
        <v>19</v>
      </c>
      <c r="C454" s="2" t="s">
        <v>1456</v>
      </c>
      <c r="D454" s="2" t="s">
        <v>1655</v>
      </c>
      <c r="E454" s="2" t="s">
        <v>1703</v>
      </c>
      <c r="F454" s="2" t="s">
        <v>1704</v>
      </c>
      <c r="G454" s="2" t="s">
        <v>1705</v>
      </c>
      <c r="H454" s="2" t="s">
        <v>1706</v>
      </c>
      <c r="I454" s="2">
        <v>27</v>
      </c>
      <c r="J454" s="2" t="s">
        <v>24</v>
      </c>
      <c r="K454" s="2">
        <v>-17.452500000000001</v>
      </c>
      <c r="L454" s="2">
        <v>-66.305000000000007</v>
      </c>
      <c r="M454" s="2" t="s">
        <v>25</v>
      </c>
      <c r="N454" s="2">
        <v>2228</v>
      </c>
      <c r="O454" s="2" t="s">
        <v>1707</v>
      </c>
      <c r="P454" s="2">
        <v>35</v>
      </c>
      <c r="Q454" s="2">
        <v>0</v>
      </c>
      <c r="R454" s="2">
        <f>IFERROR(VLOOKUP(A454,'[1]Recintos Cochabamba'!A$1:R$838,17,FALSE),0)</f>
        <v>4</v>
      </c>
      <c r="S454" s="3">
        <f>IFERROR(VLOOKUP(A454,'[1]Recintos Cochabamba'!A$1:T$838,18,FALSE),0)</f>
        <v>0.86211836005159137</v>
      </c>
    </row>
    <row r="455" spans="1:19" x14ac:dyDescent="0.25">
      <c r="A455" s="2">
        <v>2229</v>
      </c>
      <c r="B455" s="2" t="s">
        <v>19</v>
      </c>
      <c r="C455" s="2" t="s">
        <v>1456</v>
      </c>
      <c r="D455" s="2" t="s">
        <v>1655</v>
      </c>
      <c r="E455" s="2" t="s">
        <v>1708</v>
      </c>
      <c r="F455" s="2" t="s">
        <v>1709</v>
      </c>
      <c r="G455" s="2" t="s">
        <v>1710</v>
      </c>
      <c r="H455" s="2" t="s">
        <v>1708</v>
      </c>
      <c r="I455" s="2">
        <v>27</v>
      </c>
      <c r="J455" s="2" t="s">
        <v>24</v>
      </c>
      <c r="K455" s="2">
        <v>-17.421500000000002</v>
      </c>
      <c r="L455" s="2">
        <v>-66.335499999999996</v>
      </c>
      <c r="M455" s="2" t="s">
        <v>776</v>
      </c>
      <c r="N455" s="2">
        <v>2229</v>
      </c>
      <c r="O455" s="2" t="s">
        <v>1711</v>
      </c>
      <c r="P455" s="2">
        <v>35</v>
      </c>
      <c r="Q455" s="2">
        <v>0</v>
      </c>
      <c r="R455" s="2">
        <f>IFERROR(VLOOKUP(A455,'[1]Recintos Cochabamba'!A$1:R$838,17,FALSE),0)</f>
        <v>11</v>
      </c>
      <c r="S455" s="3">
        <f>IFERROR(VLOOKUP(A455,'[1]Recintos Cochabamba'!A$1:T$838,18,FALSE),0)</f>
        <v>0.78677083445569795</v>
      </c>
    </row>
    <row r="456" spans="1:19" x14ac:dyDescent="0.25">
      <c r="A456" s="2">
        <v>2230</v>
      </c>
      <c r="B456" s="2" t="s">
        <v>19</v>
      </c>
      <c r="C456" s="2" t="s">
        <v>1456</v>
      </c>
      <c r="D456" s="2" t="s">
        <v>1655</v>
      </c>
      <c r="E456" s="2" t="s">
        <v>1712</v>
      </c>
      <c r="F456" s="2" t="s">
        <v>1713</v>
      </c>
      <c r="G456" s="2" t="s">
        <v>1714</v>
      </c>
      <c r="H456" s="2" t="s">
        <v>1715</v>
      </c>
      <c r="I456" s="2">
        <v>27</v>
      </c>
      <c r="J456" s="2" t="s">
        <v>24</v>
      </c>
      <c r="K456" s="2">
        <v>-17.4404</v>
      </c>
      <c r="L456" s="2">
        <v>-66.3767</v>
      </c>
      <c r="M456" s="2" t="s">
        <v>25</v>
      </c>
      <c r="N456" s="2">
        <v>2230</v>
      </c>
      <c r="O456" s="2" t="s">
        <v>1716</v>
      </c>
      <c r="P456" s="2">
        <v>0</v>
      </c>
      <c r="Q456" s="2">
        <v>0</v>
      </c>
      <c r="R456" s="2">
        <f>IFERROR(VLOOKUP(A456,'[1]Recintos Cochabamba'!A$1:R$838,17,FALSE),0)</f>
        <v>3</v>
      </c>
      <c r="S456" s="3">
        <f>IFERROR(VLOOKUP(A456,'[1]Recintos Cochabamba'!A$1:T$838,18,FALSE),0)</f>
        <v>0.92389643070336147</v>
      </c>
    </row>
    <row r="457" spans="1:19" x14ac:dyDescent="0.25">
      <c r="A457" s="2">
        <v>2231</v>
      </c>
      <c r="B457" s="2" t="s">
        <v>19</v>
      </c>
      <c r="C457" s="2" t="s">
        <v>1456</v>
      </c>
      <c r="D457" s="2" t="s">
        <v>1655</v>
      </c>
      <c r="E457" s="2" t="s">
        <v>1717</v>
      </c>
      <c r="F457" s="2" t="s">
        <v>1718</v>
      </c>
      <c r="G457" s="2" t="s">
        <v>1717</v>
      </c>
      <c r="H457" s="2" t="s">
        <v>1719</v>
      </c>
      <c r="I457" s="2">
        <v>27</v>
      </c>
      <c r="J457" s="2" t="s">
        <v>24</v>
      </c>
      <c r="K457" s="2">
        <v>-17.437999999999999</v>
      </c>
      <c r="L457" s="2">
        <v>-66.345699999999994</v>
      </c>
      <c r="M457" s="2" t="s">
        <v>25</v>
      </c>
      <c r="N457" s="2">
        <v>2231</v>
      </c>
      <c r="O457" s="2" t="s">
        <v>1720</v>
      </c>
      <c r="P457" s="2">
        <v>35</v>
      </c>
      <c r="Q457" s="2">
        <v>0</v>
      </c>
      <c r="R457" s="2">
        <f>IFERROR(VLOOKUP(A457,'[1]Recintos Cochabamba'!A$1:R$838,17,FALSE),0)</f>
        <v>6</v>
      </c>
      <c r="S457" s="3">
        <f>IFERROR(VLOOKUP(A457,'[1]Recintos Cochabamba'!A$1:T$838,18,FALSE),0)</f>
        <v>0.85711506035600082</v>
      </c>
    </row>
    <row r="458" spans="1:19" x14ac:dyDescent="0.25">
      <c r="A458" s="2">
        <v>2232</v>
      </c>
      <c r="B458" s="2" t="s">
        <v>19</v>
      </c>
      <c r="C458" s="2" t="s">
        <v>1456</v>
      </c>
      <c r="D458" s="2" t="s">
        <v>1655</v>
      </c>
      <c r="E458" s="2" t="s">
        <v>1721</v>
      </c>
      <c r="F458" s="2" t="s">
        <v>1722</v>
      </c>
      <c r="G458" s="2" t="s">
        <v>1721</v>
      </c>
      <c r="H458" s="2" t="s">
        <v>1723</v>
      </c>
      <c r="I458" s="2">
        <v>27</v>
      </c>
      <c r="J458" s="2" t="s">
        <v>24</v>
      </c>
      <c r="K458" s="2">
        <v>-17.426157</v>
      </c>
      <c r="L458" s="2">
        <v>-66.387125999999995</v>
      </c>
      <c r="M458" s="2" t="s">
        <v>25</v>
      </c>
      <c r="N458" s="2">
        <v>2232</v>
      </c>
      <c r="O458" s="2" t="s">
        <v>1724</v>
      </c>
      <c r="P458" s="2">
        <v>0</v>
      </c>
      <c r="Q458" s="2">
        <v>0</v>
      </c>
      <c r="R458" s="2">
        <f>IFERROR(VLOOKUP(A458,'[1]Recintos Cochabamba'!A$1:R$838,17,FALSE),0)</f>
        <v>3</v>
      </c>
      <c r="S458" s="3">
        <f>IFERROR(VLOOKUP(A458,'[1]Recintos Cochabamba'!A$1:T$838,18,FALSE),0)</f>
        <v>0.91805728882380622</v>
      </c>
    </row>
    <row r="459" spans="1:19" x14ac:dyDescent="0.25">
      <c r="A459" s="2">
        <v>2233</v>
      </c>
      <c r="B459" s="2" t="s">
        <v>19</v>
      </c>
      <c r="C459" s="2" t="s">
        <v>1456</v>
      </c>
      <c r="D459" s="2" t="s">
        <v>1725</v>
      </c>
      <c r="E459" s="2" t="s">
        <v>1725</v>
      </c>
      <c r="F459" s="2" t="s">
        <v>1726</v>
      </c>
      <c r="G459" s="2" t="s">
        <v>1727</v>
      </c>
      <c r="H459" s="2" t="s">
        <v>1725</v>
      </c>
      <c r="I459" s="2">
        <v>28</v>
      </c>
      <c r="J459" s="2" t="s">
        <v>24</v>
      </c>
      <c r="K459" s="2">
        <v>-17.336500000000001</v>
      </c>
      <c r="L459" s="2">
        <v>-66.219499999999996</v>
      </c>
      <c r="M459" s="2" t="s">
        <v>25</v>
      </c>
      <c r="N459" s="2">
        <v>2233</v>
      </c>
      <c r="O459" s="2" t="s">
        <v>1728</v>
      </c>
      <c r="P459" s="2">
        <v>20</v>
      </c>
      <c r="Q459" s="2">
        <v>4</v>
      </c>
      <c r="R459" s="2">
        <f>IFERROR(VLOOKUP(A459,'[1]Recintos Cochabamba'!A$1:R$838,17,FALSE),0)</f>
        <v>20</v>
      </c>
      <c r="S459" s="3">
        <f>IFERROR(VLOOKUP(A459,'[1]Recintos Cochabamba'!A$1:T$838,18,FALSE),0)</f>
        <v>0.57830119345706454</v>
      </c>
    </row>
    <row r="460" spans="1:19" x14ac:dyDescent="0.25">
      <c r="A460" s="2">
        <v>2234</v>
      </c>
      <c r="B460" s="2" t="s">
        <v>19</v>
      </c>
      <c r="C460" s="2" t="s">
        <v>1456</v>
      </c>
      <c r="D460" s="2" t="s">
        <v>1725</v>
      </c>
      <c r="E460" s="2" t="s">
        <v>1725</v>
      </c>
      <c r="F460" s="2" t="s">
        <v>1729</v>
      </c>
      <c r="G460" s="2" t="s">
        <v>1727</v>
      </c>
      <c r="H460" s="2" t="s">
        <v>1725</v>
      </c>
      <c r="I460" s="2">
        <v>28</v>
      </c>
      <c r="J460" s="2" t="s">
        <v>24</v>
      </c>
      <c r="K460" s="2">
        <v>-17.336200000000002</v>
      </c>
      <c r="L460" s="2">
        <v>-66.220299999999995</v>
      </c>
      <c r="M460" s="2" t="s">
        <v>25</v>
      </c>
      <c r="N460" s="2">
        <v>2234</v>
      </c>
      <c r="O460" s="2" t="s">
        <v>1730</v>
      </c>
      <c r="P460" s="2">
        <v>20</v>
      </c>
      <c r="Q460" s="2">
        <v>4</v>
      </c>
      <c r="R460" s="2">
        <f>IFERROR(VLOOKUP(A460,'[1]Recintos Cochabamba'!A$1:R$838,17,FALSE),0)</f>
        <v>32</v>
      </c>
      <c r="S460" s="3">
        <f>IFERROR(VLOOKUP(A460,'[1]Recintos Cochabamba'!A$1:T$838,18,FALSE),0)</f>
        <v>0.63236702157268032</v>
      </c>
    </row>
    <row r="461" spans="1:19" x14ac:dyDescent="0.25">
      <c r="A461" s="2">
        <v>2235</v>
      </c>
      <c r="B461" s="2" t="s">
        <v>19</v>
      </c>
      <c r="C461" s="2" t="s">
        <v>1456</v>
      </c>
      <c r="D461" s="2" t="s">
        <v>1725</v>
      </c>
      <c r="E461" s="2" t="s">
        <v>1725</v>
      </c>
      <c r="F461" s="2" t="s">
        <v>1731</v>
      </c>
      <c r="G461" s="2" t="s">
        <v>1727</v>
      </c>
      <c r="H461" s="2" t="s">
        <v>1732</v>
      </c>
      <c r="I461" s="2">
        <v>28</v>
      </c>
      <c r="J461" s="2" t="s">
        <v>24</v>
      </c>
      <c r="K461" s="2">
        <v>-17.335248</v>
      </c>
      <c r="L461" s="2">
        <v>-66.229166000000006</v>
      </c>
      <c r="M461" s="2" t="s">
        <v>25</v>
      </c>
      <c r="N461" s="2">
        <v>2235</v>
      </c>
      <c r="O461" s="2" t="s">
        <v>1733</v>
      </c>
      <c r="P461" s="2">
        <v>20</v>
      </c>
      <c r="Q461" s="2">
        <v>4</v>
      </c>
      <c r="R461" s="2">
        <f>IFERROR(VLOOKUP(A461,'[1]Recintos Cochabamba'!A$1:R$838,17,FALSE),0)</f>
        <v>5</v>
      </c>
      <c r="S461" s="3">
        <f>IFERROR(VLOOKUP(A461,'[1]Recintos Cochabamba'!A$1:T$838,18,FALSE),0)</f>
        <v>0.57674590012898463</v>
      </c>
    </row>
    <row r="462" spans="1:19" x14ac:dyDescent="0.25">
      <c r="A462" s="2">
        <v>2236</v>
      </c>
      <c r="B462" s="2" t="s">
        <v>19</v>
      </c>
      <c r="C462" s="2" t="s">
        <v>1456</v>
      </c>
      <c r="D462" s="2" t="s">
        <v>1725</v>
      </c>
      <c r="E462" s="2" t="s">
        <v>1725</v>
      </c>
      <c r="F462" s="2" t="s">
        <v>1734</v>
      </c>
      <c r="G462" s="2" t="s">
        <v>1727</v>
      </c>
      <c r="H462" s="2" t="s">
        <v>1735</v>
      </c>
      <c r="I462" s="2">
        <v>28</v>
      </c>
      <c r="J462" s="2" t="s">
        <v>24</v>
      </c>
      <c r="K462" s="2">
        <v>-17.342158000000001</v>
      </c>
      <c r="L462" s="2">
        <v>-66.215778</v>
      </c>
      <c r="M462" s="2" t="s">
        <v>25</v>
      </c>
      <c r="N462" s="2">
        <v>2236</v>
      </c>
      <c r="O462" s="2" t="s">
        <v>1736</v>
      </c>
      <c r="P462" s="2">
        <v>1</v>
      </c>
      <c r="Q462" s="2">
        <v>6</v>
      </c>
      <c r="R462" s="2">
        <f>IFERROR(VLOOKUP(A462,'[1]Recintos Cochabamba'!A$1:R$838,17,FALSE),0)</f>
        <v>10</v>
      </c>
      <c r="S462" s="3">
        <f>IFERROR(VLOOKUP(A462,'[1]Recintos Cochabamba'!A$1:T$838,18,FALSE),0)</f>
        <v>0.49587736715154002</v>
      </c>
    </row>
    <row r="463" spans="1:19" x14ac:dyDescent="0.25">
      <c r="A463" s="2">
        <v>2237</v>
      </c>
      <c r="B463" s="2" t="s">
        <v>19</v>
      </c>
      <c r="C463" s="2" t="s">
        <v>1456</v>
      </c>
      <c r="D463" s="2" t="s">
        <v>1725</v>
      </c>
      <c r="E463" s="2" t="s">
        <v>1725</v>
      </c>
      <c r="F463" s="2" t="s">
        <v>1737</v>
      </c>
      <c r="G463" s="2" t="s">
        <v>1727</v>
      </c>
      <c r="H463" s="2" t="s">
        <v>1738</v>
      </c>
      <c r="I463" s="2">
        <v>28</v>
      </c>
      <c r="J463" s="2" t="s">
        <v>24</v>
      </c>
      <c r="K463" s="2">
        <v>-17.323962999999999</v>
      </c>
      <c r="L463" s="2">
        <v>-66.223140999999998</v>
      </c>
      <c r="M463" s="2" t="s">
        <v>25</v>
      </c>
      <c r="N463" s="2">
        <v>2237</v>
      </c>
      <c r="O463" s="2" t="s">
        <v>1739</v>
      </c>
      <c r="P463" s="2">
        <v>20</v>
      </c>
      <c r="Q463" s="2">
        <v>4</v>
      </c>
      <c r="R463" s="2">
        <f>IFERROR(VLOOKUP(A463,'[1]Recintos Cochabamba'!A$1:R$838,17,FALSE),0)</f>
        <v>0</v>
      </c>
      <c r="S463" s="3">
        <v>0</v>
      </c>
    </row>
    <row r="464" spans="1:19" x14ac:dyDescent="0.25">
      <c r="A464" s="2">
        <v>2238</v>
      </c>
      <c r="B464" s="2" t="s">
        <v>19</v>
      </c>
      <c r="C464" s="2" t="s">
        <v>1456</v>
      </c>
      <c r="D464" s="2" t="s">
        <v>1725</v>
      </c>
      <c r="E464" s="2" t="s">
        <v>1740</v>
      </c>
      <c r="F464" s="2" t="s">
        <v>1741</v>
      </c>
      <c r="G464" s="2" t="s">
        <v>1727</v>
      </c>
      <c r="H464" s="2" t="s">
        <v>1740</v>
      </c>
      <c r="I464" s="2">
        <v>28</v>
      </c>
      <c r="J464" s="2" t="s">
        <v>24</v>
      </c>
      <c r="K464" s="2">
        <v>-17.3447</v>
      </c>
      <c r="L464" s="2">
        <v>-66.204300000000003</v>
      </c>
      <c r="M464" s="2" t="s">
        <v>776</v>
      </c>
      <c r="N464" s="2">
        <v>2238</v>
      </c>
      <c r="O464" s="2" t="s">
        <v>1742</v>
      </c>
      <c r="P464" s="2">
        <v>21</v>
      </c>
      <c r="Q464" s="2">
        <v>5</v>
      </c>
      <c r="R464" s="2">
        <f>IFERROR(VLOOKUP(A464,'[1]Recintos Cochabamba'!A$1:R$838,17,FALSE),0)</f>
        <v>29</v>
      </c>
      <c r="S464" s="3">
        <f>IFERROR(VLOOKUP(A464,'[1]Recintos Cochabamba'!A$1:T$838,18,FALSE),0)</f>
        <v>0.51487605328516273</v>
      </c>
    </row>
    <row r="465" spans="1:19" x14ac:dyDescent="0.25">
      <c r="A465" s="2">
        <v>2239</v>
      </c>
      <c r="B465" s="2" t="s">
        <v>19</v>
      </c>
      <c r="C465" s="2" t="s">
        <v>1456</v>
      </c>
      <c r="D465" s="2" t="s">
        <v>1725</v>
      </c>
      <c r="E465" s="2" t="s">
        <v>1740</v>
      </c>
      <c r="F465" s="2" t="s">
        <v>1743</v>
      </c>
      <c r="G465" s="2" t="s">
        <v>1727</v>
      </c>
      <c r="H465" s="2" t="s">
        <v>1744</v>
      </c>
      <c r="I465" s="2">
        <v>28</v>
      </c>
      <c r="J465" s="2" t="s">
        <v>24</v>
      </c>
      <c r="K465" s="2">
        <v>-17.333300000000001</v>
      </c>
      <c r="L465" s="2">
        <v>-66.193399999999997</v>
      </c>
      <c r="M465" s="2" t="s">
        <v>776</v>
      </c>
      <c r="N465" s="2">
        <v>2239</v>
      </c>
      <c r="O465" s="2" t="s">
        <v>1745</v>
      </c>
      <c r="P465" s="2">
        <v>21</v>
      </c>
      <c r="Q465" s="2">
        <v>5</v>
      </c>
      <c r="R465" s="2">
        <f>IFERROR(VLOOKUP(A465,'[1]Recintos Cochabamba'!A$1:R$838,17,FALSE),0)</f>
        <v>15</v>
      </c>
      <c r="S465" s="3">
        <f>IFERROR(VLOOKUP(A465,'[1]Recintos Cochabamba'!A$1:T$838,18,FALSE),0)</f>
        <v>0.64593283995825179</v>
      </c>
    </row>
    <row r="466" spans="1:19" x14ac:dyDescent="0.25">
      <c r="A466" s="2">
        <v>2240</v>
      </c>
      <c r="B466" s="2" t="s">
        <v>19</v>
      </c>
      <c r="C466" s="2" t="s">
        <v>1456</v>
      </c>
      <c r="D466" s="2" t="s">
        <v>1725</v>
      </c>
      <c r="E466" s="2" t="s">
        <v>1740</v>
      </c>
      <c r="F466" s="2" t="s">
        <v>1746</v>
      </c>
      <c r="G466" s="2" t="s">
        <v>1727</v>
      </c>
      <c r="H466" s="2" t="s">
        <v>1747</v>
      </c>
      <c r="I466" s="2">
        <v>28</v>
      </c>
      <c r="J466" s="2" t="s">
        <v>24</v>
      </c>
      <c r="K466" s="2">
        <v>-17.350048999999999</v>
      </c>
      <c r="L466" s="2">
        <v>-66.204840000000004</v>
      </c>
      <c r="M466" s="2" t="s">
        <v>776</v>
      </c>
      <c r="N466" s="2">
        <v>2240</v>
      </c>
      <c r="O466" s="2" t="s">
        <v>1748</v>
      </c>
      <c r="P466" s="2">
        <v>1</v>
      </c>
      <c r="Q466" s="2">
        <v>6</v>
      </c>
      <c r="R466" s="2">
        <f>IFERROR(VLOOKUP(A466,'[1]Recintos Cochabamba'!A$1:R$838,17,FALSE),0)</f>
        <v>2</v>
      </c>
      <c r="S466" s="3">
        <v>0</v>
      </c>
    </row>
    <row r="467" spans="1:19" x14ac:dyDescent="0.25">
      <c r="A467" s="2">
        <v>2241</v>
      </c>
      <c r="B467" s="2" t="s">
        <v>19</v>
      </c>
      <c r="C467" s="2" t="s">
        <v>1456</v>
      </c>
      <c r="D467" s="2" t="s">
        <v>1725</v>
      </c>
      <c r="E467" s="2" t="s">
        <v>1749</v>
      </c>
      <c r="F467" s="2" t="s">
        <v>1750</v>
      </c>
      <c r="G467" s="2" t="s">
        <v>1727</v>
      </c>
      <c r="H467" s="2" t="s">
        <v>1751</v>
      </c>
      <c r="I467" s="2">
        <v>28</v>
      </c>
      <c r="J467" s="2" t="s">
        <v>24</v>
      </c>
      <c r="K467" s="2">
        <v>-17.3599</v>
      </c>
      <c r="L467" s="2">
        <v>-66.233099999999993</v>
      </c>
      <c r="M467" s="2" t="s">
        <v>776</v>
      </c>
      <c r="N467" s="2">
        <v>2241</v>
      </c>
      <c r="O467" s="2" t="s">
        <v>1752</v>
      </c>
      <c r="P467" s="2">
        <v>1</v>
      </c>
      <c r="Q467" s="2">
        <v>6</v>
      </c>
      <c r="R467" s="2">
        <f>IFERROR(VLOOKUP(A467,'[1]Recintos Cochabamba'!A$1:R$838,17,FALSE),0)</f>
        <v>0</v>
      </c>
      <c r="S467" s="3">
        <v>0</v>
      </c>
    </row>
    <row r="468" spans="1:19" x14ac:dyDescent="0.25">
      <c r="A468" s="2">
        <v>2242</v>
      </c>
      <c r="B468" s="2" t="s">
        <v>19</v>
      </c>
      <c r="C468" s="2" t="s">
        <v>1456</v>
      </c>
      <c r="D468" s="2" t="s">
        <v>1725</v>
      </c>
      <c r="E468" s="2" t="s">
        <v>1753</v>
      </c>
      <c r="F468" s="2" t="s">
        <v>1754</v>
      </c>
      <c r="G468" s="2" t="s">
        <v>1755</v>
      </c>
      <c r="H468" s="2" t="s">
        <v>1753</v>
      </c>
      <c r="I468" s="2">
        <v>28</v>
      </c>
      <c r="J468" s="2" t="s">
        <v>24</v>
      </c>
      <c r="K468" s="2">
        <v>-17.148099999999999</v>
      </c>
      <c r="L468" s="2">
        <v>-66.144300000000001</v>
      </c>
      <c r="M468" s="2" t="s">
        <v>25</v>
      </c>
      <c r="N468" s="2">
        <v>2242</v>
      </c>
      <c r="O468" s="2" t="s">
        <v>1756</v>
      </c>
      <c r="P468" s="2">
        <v>37</v>
      </c>
      <c r="Q468" s="2">
        <v>2</v>
      </c>
      <c r="R468" s="2">
        <f>IFERROR(VLOOKUP(A468,'[1]Recintos Cochabamba'!A$1:R$838,17,FALSE),0)</f>
        <v>4</v>
      </c>
      <c r="S468" s="3">
        <f>IFERROR(VLOOKUP(A468,'[1]Recintos Cochabamba'!A$1:T$838,18,FALSE),0)</f>
        <v>0.94136300404629303</v>
      </c>
    </row>
    <row r="469" spans="1:19" x14ac:dyDescent="0.25">
      <c r="A469" s="2">
        <v>2243</v>
      </c>
      <c r="B469" s="2" t="s">
        <v>19</v>
      </c>
      <c r="C469" s="2" t="s">
        <v>1456</v>
      </c>
      <c r="D469" s="2" t="s">
        <v>1725</v>
      </c>
      <c r="E469" s="2" t="s">
        <v>1757</v>
      </c>
      <c r="F469" s="2" t="s">
        <v>1758</v>
      </c>
      <c r="G469" s="2" t="s">
        <v>1727</v>
      </c>
      <c r="H469" s="2" t="s">
        <v>1759</v>
      </c>
      <c r="I469" s="2">
        <v>28</v>
      </c>
      <c r="J469" s="2" t="s">
        <v>24</v>
      </c>
      <c r="K469" s="2">
        <v>-17.346</v>
      </c>
      <c r="L469" s="2">
        <v>-66.193200000000004</v>
      </c>
      <c r="M469" s="2" t="s">
        <v>25</v>
      </c>
      <c r="N469" s="2">
        <v>2243</v>
      </c>
      <c r="O469" s="2" t="s">
        <v>1760</v>
      </c>
      <c r="P469" s="2">
        <v>21</v>
      </c>
      <c r="Q469" s="2">
        <v>5</v>
      </c>
      <c r="R469" s="2">
        <f>IFERROR(VLOOKUP(A469,'[1]Recintos Cochabamba'!A$1:R$838,17,FALSE),0)</f>
        <v>25</v>
      </c>
      <c r="S469" s="3">
        <f>IFERROR(VLOOKUP(A469,'[1]Recintos Cochabamba'!A$1:T$838,18,FALSE),0)</f>
        <v>0.5098915157127728</v>
      </c>
    </row>
    <row r="470" spans="1:19" x14ac:dyDescent="0.25">
      <c r="A470" s="2">
        <v>2244</v>
      </c>
      <c r="B470" s="2" t="s">
        <v>19</v>
      </c>
      <c r="C470" s="2" t="s">
        <v>1456</v>
      </c>
      <c r="D470" s="2" t="s">
        <v>1725</v>
      </c>
      <c r="E470" s="2" t="s">
        <v>1757</v>
      </c>
      <c r="F470" s="2" t="s">
        <v>1761</v>
      </c>
      <c r="G470" s="2" t="s">
        <v>1727</v>
      </c>
      <c r="H470" s="2" t="s">
        <v>1762</v>
      </c>
      <c r="I470" s="2">
        <v>28</v>
      </c>
      <c r="J470" s="2" t="s">
        <v>24</v>
      </c>
      <c r="K470" s="2">
        <v>-17.343841000000001</v>
      </c>
      <c r="L470" s="2">
        <v>-66.196663000000001</v>
      </c>
      <c r="M470" s="2" t="s">
        <v>25</v>
      </c>
      <c r="N470" s="2">
        <v>2244</v>
      </c>
      <c r="O470" s="2" t="s">
        <v>1763</v>
      </c>
      <c r="P470" s="2">
        <v>21</v>
      </c>
      <c r="Q470" s="2">
        <v>5</v>
      </c>
      <c r="R470" s="2">
        <f>IFERROR(VLOOKUP(A470,'[1]Recintos Cochabamba'!A$1:R$838,17,FALSE),0)</f>
        <v>3</v>
      </c>
      <c r="S470" s="3">
        <f>IFERROR(VLOOKUP(A470,'[1]Recintos Cochabamba'!A$1:T$838,18,FALSE),0)</f>
        <v>0.24783549783549783</v>
      </c>
    </row>
    <row r="471" spans="1:19" x14ac:dyDescent="0.25">
      <c r="A471" s="2">
        <v>2245</v>
      </c>
      <c r="B471" s="2" t="s">
        <v>19</v>
      </c>
      <c r="C471" s="2" t="s">
        <v>1456</v>
      </c>
      <c r="D471" s="2" t="s">
        <v>1725</v>
      </c>
      <c r="E471" s="2" t="s">
        <v>1757</v>
      </c>
      <c r="F471" s="2" t="s">
        <v>1764</v>
      </c>
      <c r="G471" s="2" t="s">
        <v>1727</v>
      </c>
      <c r="H471" s="2" t="s">
        <v>1765</v>
      </c>
      <c r="I471" s="2">
        <v>28</v>
      </c>
      <c r="J471" s="2" t="s">
        <v>24</v>
      </c>
      <c r="K471" s="2">
        <v>-17.346364999999999</v>
      </c>
      <c r="L471" s="2">
        <v>-66.193749999999994</v>
      </c>
      <c r="M471" s="2" t="s">
        <v>25</v>
      </c>
      <c r="N471" s="2">
        <v>2245</v>
      </c>
      <c r="O471" s="2" t="s">
        <v>1766</v>
      </c>
      <c r="P471" s="2">
        <v>21</v>
      </c>
      <c r="Q471" s="2">
        <v>5</v>
      </c>
      <c r="R471" s="2">
        <f>IFERROR(VLOOKUP(A471,'[1]Recintos Cochabamba'!A$1:R$838,17,FALSE),0)</f>
        <v>2</v>
      </c>
      <c r="S471" s="3">
        <v>0</v>
      </c>
    </row>
    <row r="472" spans="1:19" x14ac:dyDescent="0.25">
      <c r="A472" s="2">
        <v>2246</v>
      </c>
      <c r="B472" s="2" t="s">
        <v>19</v>
      </c>
      <c r="C472" s="2" t="s">
        <v>1456</v>
      </c>
      <c r="D472" s="2" t="s">
        <v>1725</v>
      </c>
      <c r="E472" s="2" t="s">
        <v>1767</v>
      </c>
      <c r="F472" s="2" t="s">
        <v>1768</v>
      </c>
      <c r="G472" s="2" t="s">
        <v>1727</v>
      </c>
      <c r="H472" s="2" t="s">
        <v>1767</v>
      </c>
      <c r="I472" s="2">
        <v>28</v>
      </c>
      <c r="J472" s="2" t="s">
        <v>24</v>
      </c>
      <c r="K472" s="2">
        <v>-17.362500000000001</v>
      </c>
      <c r="L472" s="2">
        <v>-66.207400000000007</v>
      </c>
      <c r="M472" s="2" t="s">
        <v>25</v>
      </c>
      <c r="N472" s="2">
        <v>2246</v>
      </c>
      <c r="O472" s="2" t="s">
        <v>1769</v>
      </c>
      <c r="P472" s="2">
        <v>1</v>
      </c>
      <c r="Q472" s="2">
        <v>6</v>
      </c>
      <c r="R472" s="2">
        <f>IFERROR(VLOOKUP(A472,'[1]Recintos Cochabamba'!A$1:R$838,17,FALSE),0)</f>
        <v>10</v>
      </c>
      <c r="S472" s="3">
        <f>IFERROR(VLOOKUP(A472,'[1]Recintos Cochabamba'!A$1:T$838,18,FALSE),0)</f>
        <v>0.47424933438253802</v>
      </c>
    </row>
    <row r="473" spans="1:19" x14ac:dyDescent="0.25">
      <c r="A473" s="2">
        <v>2247</v>
      </c>
      <c r="B473" s="2" t="s">
        <v>19</v>
      </c>
      <c r="C473" s="2" t="s">
        <v>1456</v>
      </c>
      <c r="D473" s="2" t="s">
        <v>1725</v>
      </c>
      <c r="E473" s="2" t="s">
        <v>1770</v>
      </c>
      <c r="F473" s="2" t="s">
        <v>1771</v>
      </c>
      <c r="G473" s="2" t="s">
        <v>1727</v>
      </c>
      <c r="H473" s="2" t="s">
        <v>1772</v>
      </c>
      <c r="I473" s="2">
        <v>28</v>
      </c>
      <c r="J473" s="2" t="s">
        <v>24</v>
      </c>
      <c r="K473" s="2">
        <v>-17.369499999999999</v>
      </c>
      <c r="L473" s="2">
        <v>-66.195400000000006</v>
      </c>
      <c r="M473" s="2" t="s">
        <v>25</v>
      </c>
      <c r="N473" s="2">
        <v>2247</v>
      </c>
      <c r="O473" s="2" t="s">
        <v>1773</v>
      </c>
      <c r="P473" s="2">
        <v>1</v>
      </c>
      <c r="Q473" s="2">
        <v>6</v>
      </c>
      <c r="R473" s="2">
        <f>IFERROR(VLOOKUP(A473,'[1]Recintos Cochabamba'!A$1:R$838,17,FALSE),0)</f>
        <v>12</v>
      </c>
      <c r="S473" s="3">
        <f>IFERROR(VLOOKUP(A473,'[1]Recintos Cochabamba'!A$1:T$838,18,FALSE),0)</f>
        <v>0.35120947354747795</v>
      </c>
    </row>
    <row r="474" spans="1:19" x14ac:dyDescent="0.25">
      <c r="A474" s="2">
        <v>2248</v>
      </c>
      <c r="B474" s="2" t="s">
        <v>19</v>
      </c>
      <c r="C474" s="2" t="s">
        <v>1456</v>
      </c>
      <c r="D474" s="2" t="s">
        <v>1725</v>
      </c>
      <c r="E474" s="2" t="s">
        <v>1770</v>
      </c>
      <c r="F474" s="2" t="s">
        <v>1774</v>
      </c>
      <c r="G474" s="2" t="s">
        <v>1727</v>
      </c>
      <c r="H474" s="2" t="s">
        <v>1772</v>
      </c>
      <c r="I474" s="2">
        <v>28</v>
      </c>
      <c r="J474" s="2" t="s">
        <v>24</v>
      </c>
      <c r="K474" s="2">
        <v>-17.351130999999999</v>
      </c>
      <c r="L474" s="2">
        <v>-66.193337</v>
      </c>
      <c r="M474" s="2" t="s">
        <v>25</v>
      </c>
      <c r="N474" s="2">
        <v>2248</v>
      </c>
      <c r="O474" s="2" t="s">
        <v>1775</v>
      </c>
      <c r="P474" s="2">
        <v>1</v>
      </c>
      <c r="Q474" s="2">
        <v>6</v>
      </c>
      <c r="R474" s="2">
        <f>IFERROR(VLOOKUP(A474,'[1]Recintos Cochabamba'!A$1:R$838,17,FALSE),0)</f>
        <v>10</v>
      </c>
      <c r="S474" s="3">
        <f>IFERROR(VLOOKUP(A474,'[1]Recintos Cochabamba'!A$1:T$838,18,FALSE),0)</f>
        <v>0.44647628691331182</v>
      </c>
    </row>
    <row r="475" spans="1:19" x14ac:dyDescent="0.25">
      <c r="A475" s="2">
        <v>2249</v>
      </c>
      <c r="B475" s="2" t="s">
        <v>19</v>
      </c>
      <c r="C475" s="2" t="s">
        <v>1456</v>
      </c>
      <c r="D475" s="2" t="s">
        <v>1725</v>
      </c>
      <c r="E475" s="2" t="s">
        <v>1770</v>
      </c>
      <c r="F475" s="2" t="s">
        <v>1776</v>
      </c>
      <c r="G475" s="2" t="s">
        <v>1727</v>
      </c>
      <c r="H475" s="2" t="s">
        <v>1777</v>
      </c>
      <c r="I475" s="2">
        <v>28</v>
      </c>
      <c r="J475" s="2" t="s">
        <v>24</v>
      </c>
      <c r="K475" s="2">
        <v>-17.354265999999999</v>
      </c>
      <c r="L475" s="2">
        <v>-66.199855999999997</v>
      </c>
      <c r="M475" s="2" t="s">
        <v>25</v>
      </c>
      <c r="N475" s="2">
        <v>2249</v>
      </c>
      <c r="O475" s="2" t="s">
        <v>1778</v>
      </c>
      <c r="P475" s="2">
        <v>1</v>
      </c>
      <c r="Q475" s="2">
        <v>6</v>
      </c>
      <c r="R475" s="2">
        <f>IFERROR(VLOOKUP(A475,'[1]Recintos Cochabamba'!A$1:R$838,17,FALSE),0)</f>
        <v>2</v>
      </c>
      <c r="S475" s="3">
        <f>IFERROR(VLOOKUP(A475,'[1]Recintos Cochabamba'!A$1:T$838,18,FALSE),0)</f>
        <v>0.27489837398373984</v>
      </c>
    </row>
    <row r="476" spans="1:19" x14ac:dyDescent="0.25">
      <c r="A476" s="2">
        <v>2250</v>
      </c>
      <c r="B476" s="2" t="s">
        <v>19</v>
      </c>
      <c r="C476" s="2" t="s">
        <v>1456</v>
      </c>
      <c r="D476" s="2" t="s">
        <v>1725</v>
      </c>
      <c r="E476" s="2" t="s">
        <v>1779</v>
      </c>
      <c r="F476" s="2" t="s">
        <v>1780</v>
      </c>
      <c r="G476" s="2" t="s">
        <v>1727</v>
      </c>
      <c r="H476" s="2" t="s">
        <v>1781</v>
      </c>
      <c r="I476" s="2">
        <v>28</v>
      </c>
      <c r="J476" s="2" t="s">
        <v>24</v>
      </c>
      <c r="K476" s="2">
        <v>-17.353000000000002</v>
      </c>
      <c r="L476" s="2">
        <v>-66.243499999999997</v>
      </c>
      <c r="M476" s="2" t="s">
        <v>25</v>
      </c>
      <c r="N476" s="2">
        <v>2250</v>
      </c>
      <c r="O476" s="2" t="s">
        <v>1782</v>
      </c>
      <c r="P476" s="2">
        <v>1</v>
      </c>
      <c r="Q476" s="2">
        <v>6</v>
      </c>
      <c r="R476" s="2">
        <f>IFERROR(VLOOKUP(A476,'[1]Recintos Cochabamba'!A$1:R$838,17,FALSE),0)</f>
        <v>3</v>
      </c>
      <c r="S476" s="3">
        <f>IFERROR(VLOOKUP(A476,'[1]Recintos Cochabamba'!A$1:T$838,18,FALSE),0)</f>
        <v>0.61919805156427166</v>
      </c>
    </row>
    <row r="477" spans="1:19" x14ac:dyDescent="0.25">
      <c r="A477" s="2">
        <v>2251</v>
      </c>
      <c r="B477" s="2" t="s">
        <v>19</v>
      </c>
      <c r="C477" s="2" t="s">
        <v>1456</v>
      </c>
      <c r="D477" s="2" t="s">
        <v>1725</v>
      </c>
      <c r="E477" s="2" t="s">
        <v>1783</v>
      </c>
      <c r="F477" s="2" t="s">
        <v>1784</v>
      </c>
      <c r="G477" s="2" t="s">
        <v>1755</v>
      </c>
      <c r="H477" s="2" t="s">
        <v>1783</v>
      </c>
      <c r="I477" s="2">
        <v>28</v>
      </c>
      <c r="J477" s="2" t="s">
        <v>24</v>
      </c>
      <c r="K477" s="2">
        <v>-17.027899999999999</v>
      </c>
      <c r="L477" s="2">
        <v>-66.272099999999995</v>
      </c>
      <c r="M477" s="2" t="s">
        <v>25</v>
      </c>
      <c r="N477" s="2">
        <v>2251</v>
      </c>
      <c r="O477" s="2" t="s">
        <v>1785</v>
      </c>
      <c r="P477" s="2"/>
      <c r="Q477" s="2"/>
      <c r="R477" s="2">
        <f>IFERROR(VLOOKUP(A477,'[1]Recintos Cochabamba'!A$1:R$838,17,FALSE),0)</f>
        <v>1</v>
      </c>
      <c r="S477" s="3">
        <f>IFERROR(VLOOKUP(A477,'[1]Recintos Cochabamba'!A$1:T$838,18,FALSE),0)</f>
        <v>0.96453900709219853</v>
      </c>
    </row>
    <row r="478" spans="1:19" x14ac:dyDescent="0.25">
      <c r="A478" s="2">
        <v>2252</v>
      </c>
      <c r="B478" s="2" t="s">
        <v>19</v>
      </c>
      <c r="C478" s="2" t="s">
        <v>1456</v>
      </c>
      <c r="D478" s="2" t="s">
        <v>1725</v>
      </c>
      <c r="E478" s="2" t="s">
        <v>1783</v>
      </c>
      <c r="F478" s="2" t="s">
        <v>1786</v>
      </c>
      <c r="G478" s="2" t="s">
        <v>1755</v>
      </c>
      <c r="H478" s="2" t="s">
        <v>1783</v>
      </c>
      <c r="I478" s="2">
        <v>28</v>
      </c>
      <c r="J478" s="2" t="s">
        <v>24</v>
      </c>
      <c r="K478" s="2">
        <v>-16.973099999999999</v>
      </c>
      <c r="L478" s="2">
        <v>-66.343900000000005</v>
      </c>
      <c r="M478" s="2" t="s">
        <v>25</v>
      </c>
      <c r="N478" s="2">
        <v>2252</v>
      </c>
      <c r="O478" s="2" t="s">
        <v>1787</v>
      </c>
      <c r="P478" s="2"/>
      <c r="Q478" s="2"/>
      <c r="R478" s="2">
        <f>IFERROR(VLOOKUP(A478,'[1]Recintos Cochabamba'!A$1:R$838,17,FALSE),0)</f>
        <v>2</v>
      </c>
      <c r="S478" s="3">
        <f>IFERROR(VLOOKUP(A478,'[1]Recintos Cochabamba'!A$1:T$838,18,FALSE),0)</f>
        <v>0.95471311475409837</v>
      </c>
    </row>
    <row r="479" spans="1:19" x14ac:dyDescent="0.25">
      <c r="A479" s="2">
        <v>2253</v>
      </c>
      <c r="B479" s="2" t="s">
        <v>19</v>
      </c>
      <c r="C479" s="2" t="s">
        <v>1456</v>
      </c>
      <c r="D479" s="2" t="s">
        <v>1725</v>
      </c>
      <c r="E479" s="2" t="s">
        <v>1788</v>
      </c>
      <c r="F479" s="2" t="s">
        <v>1789</v>
      </c>
      <c r="G479" s="2" t="s">
        <v>1755</v>
      </c>
      <c r="H479" s="2" t="s">
        <v>1790</v>
      </c>
      <c r="I479" s="2">
        <v>28</v>
      </c>
      <c r="J479" s="2" t="s">
        <v>24</v>
      </c>
      <c r="K479" s="2">
        <v>-17.124500000000001</v>
      </c>
      <c r="L479" s="2">
        <v>-66.203000000000003</v>
      </c>
      <c r="M479" s="2" t="s">
        <v>25</v>
      </c>
      <c r="N479" s="2">
        <v>2253</v>
      </c>
      <c r="O479" s="2" t="s">
        <v>1791</v>
      </c>
      <c r="P479" s="2">
        <v>37</v>
      </c>
      <c r="Q479" s="2">
        <v>2</v>
      </c>
      <c r="R479" s="2">
        <f>IFERROR(VLOOKUP(A479,'[1]Recintos Cochabamba'!A$1:R$838,17,FALSE),0)</f>
        <v>2</v>
      </c>
      <c r="S479" s="3">
        <f>IFERROR(VLOOKUP(A479,'[1]Recintos Cochabamba'!A$1:T$838,18,FALSE),0)</f>
        <v>0.97906976744186047</v>
      </c>
    </row>
    <row r="480" spans="1:19" x14ac:dyDescent="0.25">
      <c r="A480" s="2">
        <v>2254</v>
      </c>
      <c r="B480" s="2" t="s">
        <v>19</v>
      </c>
      <c r="C480" s="2" t="s">
        <v>1456</v>
      </c>
      <c r="D480" s="2" t="s">
        <v>1725</v>
      </c>
      <c r="E480" s="2" t="s">
        <v>1792</v>
      </c>
      <c r="F480" s="2" t="s">
        <v>1793</v>
      </c>
      <c r="G480" s="2" t="s">
        <v>1755</v>
      </c>
      <c r="H480" s="2" t="s">
        <v>1794</v>
      </c>
      <c r="I480" s="2">
        <v>28</v>
      </c>
      <c r="J480" s="2" t="s">
        <v>24</v>
      </c>
      <c r="K480" s="2">
        <v>-17.19689</v>
      </c>
      <c r="L480" s="2">
        <v>-66.244468999999995</v>
      </c>
      <c r="M480" s="2" t="s">
        <v>25</v>
      </c>
      <c r="N480" s="2">
        <v>2254</v>
      </c>
      <c r="O480" s="2" t="s">
        <v>1795</v>
      </c>
      <c r="P480" s="2">
        <v>51</v>
      </c>
      <c r="Q480" s="2">
        <v>1</v>
      </c>
      <c r="R480" s="2">
        <f>IFERROR(VLOOKUP(A480,'[1]Recintos Cochabamba'!A$1:R$838,17,FALSE),0)</f>
        <v>2</v>
      </c>
      <c r="S480" s="3">
        <f>IFERROR(VLOOKUP(A480,'[1]Recintos Cochabamba'!A$1:T$838,18,FALSE),0)</f>
        <v>0.95070422535211263</v>
      </c>
    </row>
    <row r="481" spans="1:19" x14ac:dyDescent="0.25">
      <c r="A481" s="2">
        <v>2255</v>
      </c>
      <c r="B481" s="2" t="s">
        <v>19</v>
      </c>
      <c r="C481" s="2" t="s">
        <v>1456</v>
      </c>
      <c r="D481" s="2" t="s">
        <v>1796</v>
      </c>
      <c r="E481" s="2" t="s">
        <v>1796</v>
      </c>
      <c r="F481" s="2" t="s">
        <v>1797</v>
      </c>
      <c r="G481" s="2" t="s">
        <v>1798</v>
      </c>
      <c r="H481" s="2" t="s">
        <v>1796</v>
      </c>
      <c r="I481" s="2">
        <v>27</v>
      </c>
      <c r="J481" s="2" t="s">
        <v>24</v>
      </c>
      <c r="K481" s="2">
        <v>-17.395800000000001</v>
      </c>
      <c r="L481" s="2">
        <v>-66.316900000000004</v>
      </c>
      <c r="M481" s="2" t="s">
        <v>25</v>
      </c>
      <c r="N481" s="2">
        <v>2255</v>
      </c>
      <c r="O481" s="2" t="s">
        <v>1799</v>
      </c>
      <c r="P481" s="2">
        <v>32</v>
      </c>
      <c r="Q481" s="2">
        <v>1</v>
      </c>
      <c r="R481" s="2">
        <f>IFERROR(VLOOKUP(A481,'[1]Recintos Cochabamba'!A$1:R$838,17,FALSE),0)</f>
        <v>35</v>
      </c>
      <c r="S481" s="3">
        <f>IFERROR(VLOOKUP(A481,'[1]Recintos Cochabamba'!A$1:T$838,18,FALSE),0)</f>
        <v>0.55863050007588433</v>
      </c>
    </row>
    <row r="482" spans="1:19" x14ac:dyDescent="0.25">
      <c r="A482" s="2">
        <v>2256</v>
      </c>
      <c r="B482" s="2" t="s">
        <v>19</v>
      </c>
      <c r="C482" s="2" t="s">
        <v>1456</v>
      </c>
      <c r="D482" s="2" t="s">
        <v>1796</v>
      </c>
      <c r="E482" s="2" t="s">
        <v>1796</v>
      </c>
      <c r="F482" s="2" t="s">
        <v>1800</v>
      </c>
      <c r="G482" s="2" t="s">
        <v>1801</v>
      </c>
      <c r="H482" s="2" t="s">
        <v>1796</v>
      </c>
      <c r="I482" s="2">
        <v>27</v>
      </c>
      <c r="J482" s="2" t="s">
        <v>24</v>
      </c>
      <c r="K482" s="2">
        <v>-17.401900000000001</v>
      </c>
      <c r="L482" s="2">
        <v>-66.3142</v>
      </c>
      <c r="M482" s="2" t="s">
        <v>25</v>
      </c>
      <c r="N482" s="2">
        <v>2256</v>
      </c>
      <c r="O482" s="2" t="s">
        <v>1802</v>
      </c>
      <c r="P482" s="2">
        <v>32</v>
      </c>
      <c r="Q482" s="2">
        <v>1</v>
      </c>
      <c r="R482" s="2">
        <f>IFERROR(VLOOKUP(A482,'[1]Recintos Cochabamba'!A$1:R$838,17,FALSE),0)</f>
        <v>25</v>
      </c>
      <c r="S482" s="3">
        <f>IFERROR(VLOOKUP(A482,'[1]Recintos Cochabamba'!A$1:T$838,18,FALSE),0)</f>
        <v>0.62925826603590085</v>
      </c>
    </row>
    <row r="483" spans="1:19" x14ac:dyDescent="0.25">
      <c r="A483" s="2">
        <v>2257</v>
      </c>
      <c r="B483" s="2" t="s">
        <v>19</v>
      </c>
      <c r="C483" s="2" t="s">
        <v>1456</v>
      </c>
      <c r="D483" s="2" t="s">
        <v>1796</v>
      </c>
      <c r="E483" s="2" t="s">
        <v>1796</v>
      </c>
      <c r="F483" s="2" t="s">
        <v>1803</v>
      </c>
      <c r="G483" s="2" t="s">
        <v>1798</v>
      </c>
      <c r="H483" s="2" t="s">
        <v>1796</v>
      </c>
      <c r="I483" s="2">
        <v>27</v>
      </c>
      <c r="J483" s="2" t="s">
        <v>24</v>
      </c>
      <c r="K483" s="2">
        <v>-17.3918</v>
      </c>
      <c r="L483" s="2">
        <v>-66.319800000000001</v>
      </c>
      <c r="M483" s="2" t="s">
        <v>25</v>
      </c>
      <c r="N483" s="2">
        <v>2257</v>
      </c>
      <c r="O483" s="2" t="s">
        <v>1804</v>
      </c>
      <c r="P483" s="2">
        <v>32</v>
      </c>
      <c r="Q483" s="2">
        <v>1</v>
      </c>
      <c r="R483" s="2">
        <f>IFERROR(VLOOKUP(A483,'[1]Recintos Cochabamba'!A$1:R$838,17,FALSE),0)</f>
        <v>15</v>
      </c>
      <c r="S483" s="3">
        <f>IFERROR(VLOOKUP(A483,'[1]Recintos Cochabamba'!A$1:T$838,18,FALSE),0)</f>
        <v>0.60219664422129815</v>
      </c>
    </row>
    <row r="484" spans="1:19" x14ac:dyDescent="0.25">
      <c r="A484" s="2">
        <v>2258</v>
      </c>
      <c r="B484" s="2" t="s">
        <v>19</v>
      </c>
      <c r="C484" s="2" t="s">
        <v>1456</v>
      </c>
      <c r="D484" s="2" t="s">
        <v>1796</v>
      </c>
      <c r="E484" s="2" t="s">
        <v>1796</v>
      </c>
      <c r="F484" s="2" t="s">
        <v>1805</v>
      </c>
      <c r="G484" s="2" t="s">
        <v>1801</v>
      </c>
      <c r="H484" s="2" t="s">
        <v>1796</v>
      </c>
      <c r="I484" s="2">
        <v>27</v>
      </c>
      <c r="J484" s="2" t="s">
        <v>24</v>
      </c>
      <c r="K484" s="2">
        <v>-17.400099999999998</v>
      </c>
      <c r="L484" s="2">
        <v>-66.314400000000006</v>
      </c>
      <c r="M484" s="2" t="s">
        <v>25</v>
      </c>
      <c r="N484" s="2">
        <v>2258</v>
      </c>
      <c r="O484" s="2" t="s">
        <v>1806</v>
      </c>
      <c r="P484" s="2">
        <v>32</v>
      </c>
      <c r="Q484" s="2">
        <v>1</v>
      </c>
      <c r="R484" s="2">
        <f>IFERROR(VLOOKUP(A484,'[1]Recintos Cochabamba'!A$1:R$838,17,FALSE),0)</f>
        <v>14</v>
      </c>
      <c r="S484" s="3">
        <f>IFERROR(VLOOKUP(A484,'[1]Recintos Cochabamba'!A$1:T$838,18,FALSE),0)</f>
        <v>0.69985824947915154</v>
      </c>
    </row>
    <row r="485" spans="1:19" x14ac:dyDescent="0.25">
      <c r="A485" s="2">
        <v>2259</v>
      </c>
      <c r="B485" s="2" t="s">
        <v>19</v>
      </c>
      <c r="C485" s="2" t="s">
        <v>1456</v>
      </c>
      <c r="D485" s="2" t="s">
        <v>1796</v>
      </c>
      <c r="E485" s="2" t="s">
        <v>1796</v>
      </c>
      <c r="F485" s="2" t="s">
        <v>1807</v>
      </c>
      <c r="G485" s="2" t="s">
        <v>1808</v>
      </c>
      <c r="H485" s="2" t="s">
        <v>1809</v>
      </c>
      <c r="I485" s="2">
        <v>27</v>
      </c>
      <c r="J485" s="2" t="s">
        <v>24</v>
      </c>
      <c r="K485" s="2">
        <v>-17.389424000000002</v>
      </c>
      <c r="L485" s="2">
        <v>-66.318821999999997</v>
      </c>
      <c r="M485" s="2" t="s">
        <v>776</v>
      </c>
      <c r="N485" s="2">
        <v>2259</v>
      </c>
      <c r="O485" s="2" t="s">
        <v>1810</v>
      </c>
      <c r="P485" s="2">
        <v>32</v>
      </c>
      <c r="Q485" s="2">
        <v>1</v>
      </c>
      <c r="R485" s="2">
        <f>IFERROR(VLOOKUP(A485,'[1]Recintos Cochabamba'!A$1:R$838,17,FALSE),0)</f>
        <v>6</v>
      </c>
      <c r="S485" s="3">
        <f>IFERROR(VLOOKUP(A485,'[1]Recintos Cochabamba'!A$1:T$838,18,FALSE),0)</f>
        <v>0.6573901564758815</v>
      </c>
    </row>
    <row r="486" spans="1:19" x14ac:dyDescent="0.25">
      <c r="A486" s="2">
        <v>2260</v>
      </c>
      <c r="B486" s="2" t="s">
        <v>19</v>
      </c>
      <c r="C486" s="2" t="s">
        <v>1456</v>
      </c>
      <c r="D486" s="2" t="s">
        <v>1796</v>
      </c>
      <c r="E486" s="2" t="s">
        <v>1796</v>
      </c>
      <c r="F486" s="2" t="s">
        <v>1811</v>
      </c>
      <c r="G486" s="2" t="s">
        <v>1812</v>
      </c>
      <c r="H486" s="2" t="s">
        <v>1813</v>
      </c>
      <c r="I486" s="2">
        <v>27</v>
      </c>
      <c r="J486" s="2" t="s">
        <v>24</v>
      </c>
      <c r="K486" s="2">
        <v>-17.390709000000001</v>
      </c>
      <c r="L486" s="2">
        <v>-66.310581999999997</v>
      </c>
      <c r="M486" s="2" t="s">
        <v>25</v>
      </c>
      <c r="N486" s="2">
        <v>2260</v>
      </c>
      <c r="O486" s="2" t="s">
        <v>1814</v>
      </c>
      <c r="P486" s="2">
        <v>32</v>
      </c>
      <c r="Q486" s="2">
        <v>1</v>
      </c>
      <c r="R486" s="2">
        <f>IFERROR(VLOOKUP(A486,'[1]Recintos Cochabamba'!A$1:R$838,17,FALSE),0)</f>
        <v>4</v>
      </c>
      <c r="S486" s="3">
        <f>IFERROR(VLOOKUP(A486,'[1]Recintos Cochabamba'!A$1:T$838,18,FALSE),0)</f>
        <v>0.66269882576146033</v>
      </c>
    </row>
    <row r="487" spans="1:19" x14ac:dyDescent="0.25">
      <c r="A487" s="2">
        <v>2261</v>
      </c>
      <c r="B487" s="2" t="s">
        <v>19</v>
      </c>
      <c r="C487" s="2" t="s">
        <v>1456</v>
      </c>
      <c r="D487" s="2" t="s">
        <v>1796</v>
      </c>
      <c r="E487" s="2" t="s">
        <v>1796</v>
      </c>
      <c r="F487" s="2" t="s">
        <v>1815</v>
      </c>
      <c r="G487" s="2" t="s">
        <v>20</v>
      </c>
      <c r="H487" s="2" t="s">
        <v>1816</v>
      </c>
      <c r="I487" s="2">
        <v>27</v>
      </c>
      <c r="J487" s="2" t="s">
        <v>24</v>
      </c>
      <c r="K487" s="2">
        <v>-17.406514000000001</v>
      </c>
      <c r="L487" s="2">
        <v>-66.307761999999997</v>
      </c>
      <c r="M487" s="2" t="s">
        <v>776</v>
      </c>
      <c r="N487" s="2">
        <v>2261</v>
      </c>
      <c r="O487" s="2" t="s">
        <v>1817</v>
      </c>
      <c r="P487" s="2">
        <v>32</v>
      </c>
      <c r="Q487" s="2">
        <v>1</v>
      </c>
      <c r="R487" s="2">
        <f>IFERROR(VLOOKUP(A487,'[1]Recintos Cochabamba'!A$1:R$838,17,FALSE),0)</f>
        <v>3</v>
      </c>
      <c r="S487" s="3">
        <f>IFERROR(VLOOKUP(A487,'[1]Recintos Cochabamba'!A$1:T$838,18,FALSE),0)</f>
        <v>0.61830553116769105</v>
      </c>
    </row>
    <row r="488" spans="1:19" x14ac:dyDescent="0.25">
      <c r="A488" s="2">
        <v>2262</v>
      </c>
      <c r="B488" s="2" t="s">
        <v>19</v>
      </c>
      <c r="C488" s="2" t="s">
        <v>1456</v>
      </c>
      <c r="D488" s="2" t="s">
        <v>1796</v>
      </c>
      <c r="E488" s="2" t="s">
        <v>1796</v>
      </c>
      <c r="F488" s="2" t="s">
        <v>1818</v>
      </c>
      <c r="G488" s="2" t="s">
        <v>1606</v>
      </c>
      <c r="H488" s="2" t="s">
        <v>1819</v>
      </c>
      <c r="I488" s="2">
        <v>27</v>
      </c>
      <c r="J488" s="2" t="s">
        <v>24</v>
      </c>
      <c r="K488" s="2">
        <v>-17.404693000000002</v>
      </c>
      <c r="L488" s="2">
        <v>-66.325320000000005</v>
      </c>
      <c r="M488" s="2" t="s">
        <v>776</v>
      </c>
      <c r="N488" s="2">
        <v>2262</v>
      </c>
      <c r="O488" s="2" t="s">
        <v>1820</v>
      </c>
      <c r="P488" s="2">
        <v>32</v>
      </c>
      <c r="Q488" s="2">
        <v>1</v>
      </c>
      <c r="R488" s="2">
        <f>IFERROR(VLOOKUP(A488,'[1]Recintos Cochabamba'!A$1:R$838,17,FALSE),0)</f>
        <v>2</v>
      </c>
      <c r="S488" s="3">
        <v>0</v>
      </c>
    </row>
    <row r="489" spans="1:19" x14ac:dyDescent="0.25">
      <c r="A489" s="2">
        <v>2263</v>
      </c>
      <c r="B489" s="2" t="s">
        <v>19</v>
      </c>
      <c r="C489" s="2" t="s">
        <v>1456</v>
      </c>
      <c r="D489" s="2" t="s">
        <v>1796</v>
      </c>
      <c r="E489" s="2" t="s">
        <v>1796</v>
      </c>
      <c r="F489" s="2" t="s">
        <v>1821</v>
      </c>
      <c r="G489" s="2" t="s">
        <v>1822</v>
      </c>
      <c r="H489" s="2" t="s">
        <v>1823</v>
      </c>
      <c r="I489" s="2">
        <v>27</v>
      </c>
      <c r="J489" s="2" t="s">
        <v>24</v>
      </c>
      <c r="K489" s="2">
        <v>-17.399562</v>
      </c>
      <c r="L489" s="2">
        <v>-66.305610000000001</v>
      </c>
      <c r="M489" s="2" t="s">
        <v>25</v>
      </c>
      <c r="N489" s="2">
        <v>2263</v>
      </c>
      <c r="O489" s="2" t="s">
        <v>1824</v>
      </c>
      <c r="P489" s="2">
        <v>32</v>
      </c>
      <c r="Q489" s="2">
        <v>1</v>
      </c>
      <c r="R489" s="2">
        <f>IFERROR(VLOOKUP(A489,'[1]Recintos Cochabamba'!A$1:R$838,17,FALSE),0)</f>
        <v>2</v>
      </c>
      <c r="S489" s="3">
        <v>0</v>
      </c>
    </row>
    <row r="490" spans="1:19" x14ac:dyDescent="0.25">
      <c r="A490" s="2">
        <v>2264</v>
      </c>
      <c r="B490" s="2" t="s">
        <v>19</v>
      </c>
      <c r="C490" s="2" t="s">
        <v>1456</v>
      </c>
      <c r="D490" s="2" t="s">
        <v>1796</v>
      </c>
      <c r="E490" s="2" t="s">
        <v>1796</v>
      </c>
      <c r="F490" s="2" t="s">
        <v>1825</v>
      </c>
      <c r="G490" s="2" t="s">
        <v>1606</v>
      </c>
      <c r="H490" s="2" t="s">
        <v>1826</v>
      </c>
      <c r="I490" s="2">
        <v>27</v>
      </c>
      <c r="J490" s="2" t="s">
        <v>24</v>
      </c>
      <c r="K490" s="2">
        <v>-17.396595999999999</v>
      </c>
      <c r="L490" s="2">
        <v>-66.33229</v>
      </c>
      <c r="M490" s="2" t="s">
        <v>25</v>
      </c>
      <c r="N490" s="2">
        <v>2264</v>
      </c>
      <c r="O490" s="2" t="s">
        <v>1827</v>
      </c>
      <c r="P490" s="2">
        <v>32</v>
      </c>
      <c r="Q490" s="2">
        <v>1</v>
      </c>
      <c r="R490" s="2">
        <f>IFERROR(VLOOKUP(A490,'[1]Recintos Cochabamba'!A$1:R$838,17,FALSE),0)</f>
        <v>3</v>
      </c>
      <c r="S490" s="3">
        <v>0</v>
      </c>
    </row>
    <row r="491" spans="1:19" x14ac:dyDescent="0.25">
      <c r="A491" s="2">
        <v>2265</v>
      </c>
      <c r="B491" s="2" t="s">
        <v>19</v>
      </c>
      <c r="C491" s="2" t="s">
        <v>1456</v>
      </c>
      <c r="D491" s="2" t="s">
        <v>1796</v>
      </c>
      <c r="E491" s="2" t="s">
        <v>1796</v>
      </c>
      <c r="F491" s="2" t="s">
        <v>1828</v>
      </c>
      <c r="G491" s="2" t="s">
        <v>1829</v>
      </c>
      <c r="H491" s="2" t="s">
        <v>1830</v>
      </c>
      <c r="I491" s="2">
        <v>27</v>
      </c>
      <c r="J491" s="2" t="s">
        <v>24</v>
      </c>
      <c r="K491" s="2">
        <v>-17.393028000000001</v>
      </c>
      <c r="L491" s="2">
        <v>-66.316119999999998</v>
      </c>
      <c r="M491" s="2" t="s">
        <v>25</v>
      </c>
      <c r="N491" s="2">
        <v>2265</v>
      </c>
      <c r="O491" s="2" t="s">
        <v>1831</v>
      </c>
      <c r="P491" s="2">
        <v>32</v>
      </c>
      <c r="Q491" s="2">
        <v>1</v>
      </c>
      <c r="R491" s="2">
        <f>IFERROR(VLOOKUP(A491,'[1]Recintos Cochabamba'!A$1:R$838,17,FALSE),0)</f>
        <v>2</v>
      </c>
      <c r="S491" s="3">
        <v>0</v>
      </c>
    </row>
    <row r="492" spans="1:19" x14ac:dyDescent="0.25">
      <c r="A492" s="2">
        <v>2266</v>
      </c>
      <c r="B492" s="2" t="s">
        <v>19</v>
      </c>
      <c r="C492" s="2" t="s">
        <v>1456</v>
      </c>
      <c r="D492" s="2" t="s">
        <v>1796</v>
      </c>
      <c r="E492" s="2" t="s">
        <v>1832</v>
      </c>
      <c r="F492" s="2" t="s">
        <v>1833</v>
      </c>
      <c r="G492" s="2" t="s">
        <v>1606</v>
      </c>
      <c r="H492" s="2" t="s">
        <v>1832</v>
      </c>
      <c r="I492" s="2">
        <v>27</v>
      </c>
      <c r="J492" s="2" t="s">
        <v>24</v>
      </c>
      <c r="K492" s="2">
        <v>-17.383600000000001</v>
      </c>
      <c r="L492" s="2">
        <v>-66.338700000000003</v>
      </c>
      <c r="M492" s="2" t="s">
        <v>25</v>
      </c>
      <c r="N492" s="2">
        <v>2266</v>
      </c>
      <c r="O492" s="2" t="s">
        <v>1834</v>
      </c>
      <c r="P492" s="2">
        <v>32</v>
      </c>
      <c r="Q492" s="2">
        <v>1</v>
      </c>
      <c r="R492" s="2">
        <f>IFERROR(VLOOKUP(A492,'[1]Recintos Cochabamba'!A$1:R$838,17,FALSE),0)</f>
        <v>25</v>
      </c>
      <c r="S492" s="3">
        <f>IFERROR(VLOOKUP(A492,'[1]Recintos Cochabamba'!A$1:T$838,18,FALSE),0)</f>
        <v>0.83454261314536049</v>
      </c>
    </row>
    <row r="493" spans="1:19" x14ac:dyDescent="0.25">
      <c r="A493" s="2">
        <v>2267</v>
      </c>
      <c r="B493" s="2" t="s">
        <v>19</v>
      </c>
      <c r="C493" s="2" t="s">
        <v>1456</v>
      </c>
      <c r="D493" s="2" t="s">
        <v>1796</v>
      </c>
      <c r="E493" s="2" t="s">
        <v>1835</v>
      </c>
      <c r="F493" s="2" t="s">
        <v>1836</v>
      </c>
      <c r="G493" s="2" t="s">
        <v>1837</v>
      </c>
      <c r="H493" s="2" t="s">
        <v>1835</v>
      </c>
      <c r="I493" s="2">
        <v>27</v>
      </c>
      <c r="J493" s="2" t="s">
        <v>24</v>
      </c>
      <c r="K493" s="2">
        <v>-17.378426999999999</v>
      </c>
      <c r="L493" s="2">
        <v>-66.308766000000006</v>
      </c>
      <c r="M493" s="2" t="s">
        <v>25</v>
      </c>
      <c r="N493" s="2">
        <v>2267</v>
      </c>
      <c r="O493" s="2" t="s">
        <v>1838</v>
      </c>
      <c r="P493" s="2">
        <v>44</v>
      </c>
      <c r="Q493" s="2">
        <v>4</v>
      </c>
      <c r="R493" s="2">
        <f>IFERROR(VLOOKUP(A493,'[1]Recintos Cochabamba'!A$1:R$838,17,FALSE),0)</f>
        <v>16</v>
      </c>
      <c r="S493" s="3">
        <f>IFERROR(VLOOKUP(A493,'[1]Recintos Cochabamba'!A$1:T$838,18,FALSE),0)</f>
        <v>0.67465617761537144</v>
      </c>
    </row>
    <row r="494" spans="1:19" x14ac:dyDescent="0.25">
      <c r="A494" s="2">
        <v>2268</v>
      </c>
      <c r="B494" s="2" t="s">
        <v>19</v>
      </c>
      <c r="C494" s="2" t="s">
        <v>1456</v>
      </c>
      <c r="D494" s="2" t="s">
        <v>1796</v>
      </c>
      <c r="E494" s="2" t="s">
        <v>1839</v>
      </c>
      <c r="F494" s="2" t="s">
        <v>1840</v>
      </c>
      <c r="G494" s="2" t="s">
        <v>1841</v>
      </c>
      <c r="H494" s="2" t="s">
        <v>1839</v>
      </c>
      <c r="I494" s="2">
        <v>27</v>
      </c>
      <c r="J494" s="2" t="s">
        <v>24</v>
      </c>
      <c r="K494" s="2">
        <v>-17.370235000000001</v>
      </c>
      <c r="L494" s="2">
        <v>-66.326954999999998</v>
      </c>
      <c r="M494" s="2" t="s">
        <v>25</v>
      </c>
      <c r="N494" s="2">
        <v>2268</v>
      </c>
      <c r="O494" s="2" t="s">
        <v>1842</v>
      </c>
      <c r="P494" s="2">
        <v>34</v>
      </c>
      <c r="Q494" s="2">
        <v>0</v>
      </c>
      <c r="R494" s="2">
        <f>IFERROR(VLOOKUP(A494,'[1]Recintos Cochabamba'!A$1:R$838,17,FALSE),0)</f>
        <v>16</v>
      </c>
      <c r="S494" s="3">
        <f>IFERROR(VLOOKUP(A494,'[1]Recintos Cochabamba'!A$1:T$838,18,FALSE),0)</f>
        <v>0.72707637087667942</v>
      </c>
    </row>
    <row r="495" spans="1:19" x14ac:dyDescent="0.25">
      <c r="A495" s="2">
        <v>2269</v>
      </c>
      <c r="B495" s="2" t="s">
        <v>19</v>
      </c>
      <c r="C495" s="2" t="s">
        <v>1456</v>
      </c>
      <c r="D495" s="2" t="s">
        <v>1796</v>
      </c>
      <c r="E495" s="2" t="s">
        <v>1839</v>
      </c>
      <c r="F495" s="2" t="s">
        <v>1843</v>
      </c>
      <c r="G495" s="2" t="s">
        <v>1841</v>
      </c>
      <c r="H495" s="2" t="s">
        <v>1844</v>
      </c>
      <c r="I495" s="2">
        <v>27</v>
      </c>
      <c r="J495" s="2" t="s">
        <v>24</v>
      </c>
      <c r="K495" s="2">
        <v>-17.380652999999999</v>
      </c>
      <c r="L495" s="2">
        <v>-66.329800000000006</v>
      </c>
      <c r="M495" s="2" t="s">
        <v>25</v>
      </c>
      <c r="N495" s="2">
        <v>2269</v>
      </c>
      <c r="O495" s="2" t="s">
        <v>1845</v>
      </c>
      <c r="P495" s="2">
        <v>34</v>
      </c>
      <c r="Q495" s="2">
        <v>0</v>
      </c>
      <c r="R495" s="2">
        <f>IFERROR(VLOOKUP(A495,'[1]Recintos Cochabamba'!A$1:R$838,17,FALSE),0)</f>
        <v>3</v>
      </c>
      <c r="S495" s="3">
        <v>0</v>
      </c>
    </row>
    <row r="496" spans="1:19" x14ac:dyDescent="0.25">
      <c r="A496" s="2">
        <v>2270</v>
      </c>
      <c r="B496" s="2" t="s">
        <v>19</v>
      </c>
      <c r="C496" s="2" t="s">
        <v>1456</v>
      </c>
      <c r="D496" s="2" t="s">
        <v>1796</v>
      </c>
      <c r="E496" s="2" t="s">
        <v>1839</v>
      </c>
      <c r="F496" s="2" t="s">
        <v>1846</v>
      </c>
      <c r="G496" s="2" t="s">
        <v>1841</v>
      </c>
      <c r="H496" s="2" t="s">
        <v>1847</v>
      </c>
      <c r="I496" s="2">
        <v>27</v>
      </c>
      <c r="J496" s="2" t="s">
        <v>24</v>
      </c>
      <c r="K496" s="2">
        <v>-17.358454999999999</v>
      </c>
      <c r="L496" s="2">
        <v>-66.323909999999998</v>
      </c>
      <c r="M496" s="2" t="s">
        <v>25</v>
      </c>
      <c r="N496" s="2">
        <v>2270</v>
      </c>
      <c r="O496" s="2" t="s">
        <v>1848</v>
      </c>
      <c r="P496" s="2">
        <v>48</v>
      </c>
      <c r="Q496" s="2">
        <v>0</v>
      </c>
      <c r="R496" s="2">
        <f>IFERROR(VLOOKUP(A496,'[1]Recintos Cochabamba'!A$1:R$838,17,FALSE),0)</f>
        <v>3</v>
      </c>
      <c r="S496" s="3">
        <v>0</v>
      </c>
    </row>
    <row r="497" spans="1:19" x14ac:dyDescent="0.25">
      <c r="A497" s="2">
        <v>2271</v>
      </c>
      <c r="B497" s="2" t="s">
        <v>19</v>
      </c>
      <c r="C497" s="2" t="s">
        <v>1456</v>
      </c>
      <c r="D497" s="2" t="s">
        <v>1796</v>
      </c>
      <c r="E497" s="2" t="s">
        <v>1839</v>
      </c>
      <c r="F497" s="2" t="s">
        <v>1849</v>
      </c>
      <c r="G497" s="2" t="s">
        <v>1841</v>
      </c>
      <c r="H497" s="2" t="s">
        <v>1850</v>
      </c>
      <c r="I497" s="2">
        <v>27</v>
      </c>
      <c r="J497" s="2" t="s">
        <v>24</v>
      </c>
      <c r="K497" s="2">
        <v>-17.362714</v>
      </c>
      <c r="L497" s="2">
        <v>-66.340559999999996</v>
      </c>
      <c r="M497" s="2" t="s">
        <v>25</v>
      </c>
      <c r="N497" s="2">
        <v>2271</v>
      </c>
      <c r="O497" s="2" t="s">
        <v>1851</v>
      </c>
      <c r="P497" s="2">
        <v>34</v>
      </c>
      <c r="Q497" s="2">
        <v>0</v>
      </c>
      <c r="R497" s="2">
        <f>IFERROR(VLOOKUP(A497,'[1]Recintos Cochabamba'!A$1:R$838,17,FALSE),0)</f>
        <v>2</v>
      </c>
      <c r="S497" s="3">
        <v>0</v>
      </c>
    </row>
    <row r="498" spans="1:19" x14ac:dyDescent="0.25">
      <c r="A498" s="2">
        <v>2272</v>
      </c>
      <c r="B498" s="2" t="s">
        <v>19</v>
      </c>
      <c r="C498" s="2" t="s">
        <v>1456</v>
      </c>
      <c r="D498" s="2" t="s">
        <v>1796</v>
      </c>
      <c r="E498" s="2" t="s">
        <v>1852</v>
      </c>
      <c r="F498" s="2" t="s">
        <v>1853</v>
      </c>
      <c r="G498" s="2" t="s">
        <v>1854</v>
      </c>
      <c r="H498" s="2" t="s">
        <v>1852</v>
      </c>
      <c r="I498" s="2">
        <v>27</v>
      </c>
      <c r="J498" s="2" t="s">
        <v>24</v>
      </c>
      <c r="K498" s="2">
        <v>-17.298183000000002</v>
      </c>
      <c r="L498" s="2">
        <v>-66.456889000000004</v>
      </c>
      <c r="M498" s="2" t="s">
        <v>25</v>
      </c>
      <c r="N498" s="2">
        <v>2272</v>
      </c>
      <c r="O498" s="2" t="s">
        <v>1855</v>
      </c>
      <c r="P498" s="2">
        <v>0</v>
      </c>
      <c r="Q498" s="2">
        <v>0</v>
      </c>
      <c r="R498" s="2">
        <f>IFERROR(VLOOKUP(A498,'[1]Recintos Cochabamba'!A$1:R$838,17,FALSE),0)</f>
        <v>2</v>
      </c>
      <c r="S498" s="3">
        <f>IFERROR(VLOOKUP(A498,'[1]Recintos Cochabamba'!A$1:T$838,18,FALSE),0)</f>
        <v>0.96110861086108612</v>
      </c>
    </row>
    <row r="499" spans="1:19" x14ac:dyDescent="0.25">
      <c r="A499" s="2">
        <v>2273</v>
      </c>
      <c r="B499" s="2" t="s">
        <v>19</v>
      </c>
      <c r="C499" s="2" t="s">
        <v>1456</v>
      </c>
      <c r="D499" s="2" t="s">
        <v>1796</v>
      </c>
      <c r="E499" s="2" t="s">
        <v>1856</v>
      </c>
      <c r="F499" s="2" t="s">
        <v>1857</v>
      </c>
      <c r="G499" s="2" t="s">
        <v>1606</v>
      </c>
      <c r="H499" s="2" t="s">
        <v>1858</v>
      </c>
      <c r="I499" s="2">
        <v>27</v>
      </c>
      <c r="J499" s="2" t="s">
        <v>24</v>
      </c>
      <c r="K499" s="2">
        <v>-17.397200000000002</v>
      </c>
      <c r="L499" s="2">
        <v>-66.3459</v>
      </c>
      <c r="M499" s="2" t="s">
        <v>25</v>
      </c>
      <c r="N499" s="2">
        <v>2273</v>
      </c>
      <c r="O499" s="2" t="s">
        <v>1859</v>
      </c>
      <c r="P499" s="2">
        <v>32</v>
      </c>
      <c r="Q499" s="2">
        <v>1</v>
      </c>
      <c r="R499" s="2">
        <f>IFERROR(VLOOKUP(A499,'[1]Recintos Cochabamba'!A$1:R$838,17,FALSE),0)</f>
        <v>8</v>
      </c>
      <c r="S499" s="3">
        <f>IFERROR(VLOOKUP(A499,'[1]Recintos Cochabamba'!A$1:T$838,18,FALSE),0)</f>
        <v>0.87434841247347095</v>
      </c>
    </row>
    <row r="500" spans="1:19" x14ac:dyDescent="0.25">
      <c r="A500" s="2">
        <v>2274</v>
      </c>
      <c r="B500" s="2" t="s">
        <v>19</v>
      </c>
      <c r="C500" s="2" t="s">
        <v>1456</v>
      </c>
      <c r="D500" s="2" t="s">
        <v>1796</v>
      </c>
      <c r="E500" s="2" t="s">
        <v>1860</v>
      </c>
      <c r="F500" s="2" t="s">
        <v>1861</v>
      </c>
      <c r="G500" s="2" t="s">
        <v>1854</v>
      </c>
      <c r="H500" s="2" t="s">
        <v>1862</v>
      </c>
      <c r="I500" s="2">
        <v>27</v>
      </c>
      <c r="J500" s="2" t="s">
        <v>24</v>
      </c>
      <c r="K500" s="2">
        <v>-17.3443</v>
      </c>
      <c r="L500" s="2">
        <v>-66.385199999999998</v>
      </c>
      <c r="M500" s="2" t="s">
        <v>25</v>
      </c>
      <c r="N500" s="2">
        <v>2274</v>
      </c>
      <c r="O500" s="2" t="s">
        <v>1863</v>
      </c>
      <c r="P500" s="2">
        <v>34</v>
      </c>
      <c r="Q500" s="2">
        <v>0</v>
      </c>
      <c r="R500" s="2">
        <f>IFERROR(VLOOKUP(A500,'[1]Recintos Cochabamba'!A$1:R$838,17,FALSE),0)</f>
        <v>2</v>
      </c>
      <c r="S500" s="3">
        <f>IFERROR(VLOOKUP(A500,'[1]Recintos Cochabamba'!A$1:T$838,18,FALSE),0)</f>
        <v>0.94365119836817946</v>
      </c>
    </row>
    <row r="501" spans="1:19" x14ac:dyDescent="0.25">
      <c r="A501" s="2">
        <v>2275</v>
      </c>
      <c r="B501" s="2" t="s">
        <v>19</v>
      </c>
      <c r="C501" s="2" t="s">
        <v>1456</v>
      </c>
      <c r="D501" s="2" t="s">
        <v>1796</v>
      </c>
      <c r="E501" s="2" t="s">
        <v>1864</v>
      </c>
      <c r="F501" s="2" t="s">
        <v>1865</v>
      </c>
      <c r="G501" s="2" t="s">
        <v>1606</v>
      </c>
      <c r="H501" s="2" t="s">
        <v>1864</v>
      </c>
      <c r="I501" s="2">
        <v>27</v>
      </c>
      <c r="J501" s="2" t="s">
        <v>24</v>
      </c>
      <c r="K501" s="2">
        <v>-17.406983</v>
      </c>
      <c r="L501" s="2">
        <v>-66.368951999999993</v>
      </c>
      <c r="M501" s="2" t="s">
        <v>25</v>
      </c>
      <c r="N501" s="2">
        <v>2275</v>
      </c>
      <c r="O501" s="2" t="s">
        <v>1866</v>
      </c>
      <c r="P501" s="2">
        <v>32</v>
      </c>
      <c r="Q501" s="2">
        <v>1</v>
      </c>
      <c r="R501" s="2">
        <f>IFERROR(VLOOKUP(A501,'[1]Recintos Cochabamba'!A$1:R$838,17,FALSE),0)</f>
        <v>3</v>
      </c>
      <c r="S501" s="3">
        <v>0</v>
      </c>
    </row>
    <row r="502" spans="1:19" x14ac:dyDescent="0.25">
      <c r="A502" s="2">
        <v>2276</v>
      </c>
      <c r="B502" s="2" t="s">
        <v>19</v>
      </c>
      <c r="C502" s="2" t="s">
        <v>1456</v>
      </c>
      <c r="D502" s="2" t="s">
        <v>1867</v>
      </c>
      <c r="E502" s="2" t="s">
        <v>1867</v>
      </c>
      <c r="F502" s="2" t="s">
        <v>1868</v>
      </c>
      <c r="G502" s="2" t="s">
        <v>1869</v>
      </c>
      <c r="H502" s="2" t="s">
        <v>1867</v>
      </c>
      <c r="I502" s="2">
        <v>22</v>
      </c>
      <c r="J502" s="2" t="s">
        <v>24</v>
      </c>
      <c r="K502" s="2">
        <v>-17.387799999999999</v>
      </c>
      <c r="L502" s="2">
        <v>-66.241500000000002</v>
      </c>
      <c r="M502" s="2" t="s">
        <v>25</v>
      </c>
      <c r="N502" s="2">
        <v>2276</v>
      </c>
      <c r="O502" s="2" t="s">
        <v>1870</v>
      </c>
      <c r="P502" s="2">
        <v>26</v>
      </c>
      <c r="Q502" s="2">
        <v>4</v>
      </c>
      <c r="R502" s="2">
        <f>IFERROR(VLOOKUP(A502,'[1]Recintos Cochabamba'!A$1:R$838,17,FALSE),0)</f>
        <v>24</v>
      </c>
      <c r="S502" s="3">
        <f>IFERROR(VLOOKUP(A502,'[1]Recintos Cochabamba'!A$1:T$838,18,FALSE),0)</f>
        <v>0.47262123208642537</v>
      </c>
    </row>
    <row r="503" spans="1:19" x14ac:dyDescent="0.25">
      <c r="A503" s="2">
        <v>2277</v>
      </c>
      <c r="B503" s="2" t="s">
        <v>19</v>
      </c>
      <c r="C503" s="2" t="s">
        <v>1456</v>
      </c>
      <c r="D503" s="2" t="s">
        <v>1867</v>
      </c>
      <c r="E503" s="2" t="s">
        <v>1867</v>
      </c>
      <c r="F503" s="2" t="s">
        <v>1871</v>
      </c>
      <c r="G503" s="2" t="s">
        <v>1869</v>
      </c>
      <c r="H503" s="2" t="s">
        <v>1872</v>
      </c>
      <c r="I503" s="2">
        <v>22</v>
      </c>
      <c r="J503" s="2" t="s">
        <v>24</v>
      </c>
      <c r="K503" s="2">
        <v>-17.3888</v>
      </c>
      <c r="L503" s="2">
        <v>-66.241100000000003</v>
      </c>
      <c r="M503" s="2" t="s">
        <v>25</v>
      </c>
      <c r="N503" s="2">
        <v>2277</v>
      </c>
      <c r="O503" s="2" t="s">
        <v>1873</v>
      </c>
      <c r="P503" s="2">
        <v>26</v>
      </c>
      <c r="Q503" s="2">
        <v>4</v>
      </c>
      <c r="R503" s="2">
        <f>IFERROR(VLOOKUP(A503,'[1]Recintos Cochabamba'!A$1:R$838,17,FALSE),0)</f>
        <v>17</v>
      </c>
      <c r="S503" s="3">
        <f>IFERROR(VLOOKUP(A503,'[1]Recintos Cochabamba'!A$1:T$838,18,FALSE),0)</f>
        <v>0.47063807310021116</v>
      </c>
    </row>
    <row r="504" spans="1:19" x14ac:dyDescent="0.25">
      <c r="A504" s="2">
        <v>2278</v>
      </c>
      <c r="B504" s="2" t="s">
        <v>19</v>
      </c>
      <c r="C504" s="2" t="s">
        <v>1456</v>
      </c>
      <c r="D504" s="2" t="s">
        <v>1867</v>
      </c>
      <c r="E504" s="2" t="s">
        <v>1867</v>
      </c>
      <c r="F504" s="2" t="s">
        <v>1874</v>
      </c>
      <c r="G504" s="2" t="s">
        <v>1869</v>
      </c>
      <c r="H504" s="2" t="s">
        <v>1875</v>
      </c>
      <c r="I504" s="2">
        <v>22</v>
      </c>
      <c r="J504" s="2" t="s">
        <v>24</v>
      </c>
      <c r="K504" s="2">
        <v>-17.392367</v>
      </c>
      <c r="L504" s="2">
        <v>-66.249885000000006</v>
      </c>
      <c r="M504" s="2" t="s">
        <v>776</v>
      </c>
      <c r="N504" s="2">
        <v>2278</v>
      </c>
      <c r="O504" s="2" t="s">
        <v>1876</v>
      </c>
      <c r="P504" s="2">
        <v>26</v>
      </c>
      <c r="Q504" s="2">
        <v>4</v>
      </c>
      <c r="R504" s="2">
        <f>IFERROR(VLOOKUP(A504,'[1]Recintos Cochabamba'!A$1:R$838,17,FALSE),0)</f>
        <v>4</v>
      </c>
      <c r="S504" s="3">
        <f>IFERROR(VLOOKUP(A504,'[1]Recintos Cochabamba'!A$1:T$838,18,FALSE),0)</f>
        <v>0.50625002516194229</v>
      </c>
    </row>
    <row r="505" spans="1:19" x14ac:dyDescent="0.25">
      <c r="A505" s="2">
        <v>2279</v>
      </c>
      <c r="B505" s="2" t="s">
        <v>19</v>
      </c>
      <c r="C505" s="2" t="s">
        <v>1456</v>
      </c>
      <c r="D505" s="2" t="s">
        <v>1867</v>
      </c>
      <c r="E505" s="2" t="s">
        <v>1877</v>
      </c>
      <c r="F505" s="2" t="s">
        <v>1878</v>
      </c>
      <c r="G505" s="2" t="s">
        <v>1879</v>
      </c>
      <c r="H505" s="2" t="s">
        <v>1880</v>
      </c>
      <c r="I505" s="2">
        <v>22</v>
      </c>
      <c r="J505" s="2" t="s">
        <v>24</v>
      </c>
      <c r="K505" s="2">
        <v>-17.3674</v>
      </c>
      <c r="L505" s="2">
        <v>-66.235399999999998</v>
      </c>
      <c r="M505" s="2" t="s">
        <v>25</v>
      </c>
      <c r="N505" s="2">
        <v>2279</v>
      </c>
      <c r="O505" s="2" t="s">
        <v>1881</v>
      </c>
      <c r="P505" s="2">
        <v>24</v>
      </c>
      <c r="Q505" s="2">
        <v>1</v>
      </c>
      <c r="R505" s="2">
        <f>IFERROR(VLOOKUP(A505,'[1]Recintos Cochabamba'!A$1:R$838,17,FALSE),0)</f>
        <v>18</v>
      </c>
      <c r="S505" s="3">
        <f>IFERROR(VLOOKUP(A505,'[1]Recintos Cochabamba'!A$1:T$838,18,FALSE),0)</f>
        <v>0.61927941921449559</v>
      </c>
    </row>
    <row r="506" spans="1:19" x14ac:dyDescent="0.25">
      <c r="A506" s="2">
        <v>2280</v>
      </c>
      <c r="B506" s="2" t="s">
        <v>19</v>
      </c>
      <c r="C506" s="2" t="s">
        <v>1456</v>
      </c>
      <c r="D506" s="2" t="s">
        <v>1867</v>
      </c>
      <c r="E506" s="2" t="s">
        <v>1877</v>
      </c>
      <c r="F506" s="2" t="s">
        <v>1882</v>
      </c>
      <c r="G506" s="2" t="s">
        <v>1879</v>
      </c>
      <c r="H506" s="2" t="s">
        <v>1883</v>
      </c>
      <c r="I506" s="2">
        <v>22</v>
      </c>
      <c r="J506" s="2" t="s">
        <v>24</v>
      </c>
      <c r="K506" s="2">
        <v>-17.366996</v>
      </c>
      <c r="L506" s="2">
        <v>-66.236739999999998</v>
      </c>
      <c r="M506" s="2" t="s">
        <v>25</v>
      </c>
      <c r="N506" s="2">
        <v>2280</v>
      </c>
      <c r="O506" s="2" t="s">
        <v>1884</v>
      </c>
      <c r="P506" s="2">
        <v>24</v>
      </c>
      <c r="Q506" s="2">
        <v>1</v>
      </c>
      <c r="R506" s="2">
        <f>IFERROR(VLOOKUP(A506,'[1]Recintos Cochabamba'!A$1:R$838,17,FALSE),0)</f>
        <v>10</v>
      </c>
      <c r="S506" s="3">
        <v>0</v>
      </c>
    </row>
    <row r="507" spans="1:19" x14ac:dyDescent="0.25">
      <c r="A507" s="2">
        <v>2281</v>
      </c>
      <c r="B507" s="2" t="s">
        <v>19</v>
      </c>
      <c r="C507" s="2" t="s">
        <v>1456</v>
      </c>
      <c r="D507" s="2" t="s">
        <v>1867</v>
      </c>
      <c r="E507" s="2" t="s">
        <v>1885</v>
      </c>
      <c r="F507" s="2" t="s">
        <v>1886</v>
      </c>
      <c r="G507" s="2" t="s">
        <v>1727</v>
      </c>
      <c r="H507" s="2" t="s">
        <v>1885</v>
      </c>
      <c r="I507" s="2">
        <v>22</v>
      </c>
      <c r="J507" s="2" t="s">
        <v>24</v>
      </c>
      <c r="K507" s="2">
        <v>-17.353400000000001</v>
      </c>
      <c r="L507" s="2">
        <v>-66.243200000000002</v>
      </c>
      <c r="M507" s="2" t="s">
        <v>25</v>
      </c>
      <c r="N507" s="2">
        <v>2281</v>
      </c>
      <c r="O507" s="2" t="s">
        <v>1887</v>
      </c>
      <c r="P507" s="2">
        <v>1</v>
      </c>
      <c r="Q507" s="2">
        <v>6</v>
      </c>
      <c r="R507" s="2">
        <f>IFERROR(VLOOKUP(A507,'[1]Recintos Cochabamba'!A$1:R$838,17,FALSE),0)</f>
        <v>3</v>
      </c>
      <c r="S507" s="3">
        <f>IFERROR(VLOOKUP(A507,'[1]Recintos Cochabamba'!A$1:T$838,18,FALSE),0)</f>
        <v>0.59630842179535781</v>
      </c>
    </row>
    <row r="508" spans="1:19" x14ac:dyDescent="0.25">
      <c r="A508" s="2">
        <v>2282</v>
      </c>
      <c r="B508" s="2" t="s">
        <v>19</v>
      </c>
      <c r="C508" s="2" t="s">
        <v>1456</v>
      </c>
      <c r="D508" s="2" t="s">
        <v>1867</v>
      </c>
      <c r="E508" s="2" t="s">
        <v>1888</v>
      </c>
      <c r="F508" s="2" t="s">
        <v>1889</v>
      </c>
      <c r="G508" s="2" t="s">
        <v>1890</v>
      </c>
      <c r="H508" s="2" t="s">
        <v>1888</v>
      </c>
      <c r="I508" s="2">
        <v>22</v>
      </c>
      <c r="J508" s="2" t="s">
        <v>24</v>
      </c>
      <c r="K508" s="2">
        <v>-17.395800000000001</v>
      </c>
      <c r="L508" s="2">
        <v>-66.231300000000005</v>
      </c>
      <c r="M508" s="2" t="s">
        <v>25</v>
      </c>
      <c r="N508" s="2">
        <v>2282</v>
      </c>
      <c r="O508" s="2" t="s">
        <v>1891</v>
      </c>
      <c r="P508" s="2">
        <v>40</v>
      </c>
      <c r="Q508" s="2">
        <v>3</v>
      </c>
      <c r="R508" s="2">
        <f>IFERROR(VLOOKUP(A508,'[1]Recintos Cochabamba'!A$1:R$838,17,FALSE),0)</f>
        <v>26</v>
      </c>
      <c r="S508" s="3">
        <f>IFERROR(VLOOKUP(A508,'[1]Recintos Cochabamba'!A$1:T$838,18,FALSE),0)</f>
        <v>0.43727653049180176</v>
      </c>
    </row>
    <row r="509" spans="1:19" x14ac:dyDescent="0.25">
      <c r="A509" s="2">
        <v>2283</v>
      </c>
      <c r="B509" s="2" t="s">
        <v>19</v>
      </c>
      <c r="C509" s="2" t="s">
        <v>1456</v>
      </c>
      <c r="D509" s="2" t="s">
        <v>1867</v>
      </c>
      <c r="E509" s="2" t="s">
        <v>1888</v>
      </c>
      <c r="F509" s="2" t="s">
        <v>1892</v>
      </c>
      <c r="G509" s="2" t="s">
        <v>1893</v>
      </c>
      <c r="H509" s="2" t="s">
        <v>1894</v>
      </c>
      <c r="I509" s="2">
        <v>22</v>
      </c>
      <c r="J509" s="2" t="s">
        <v>24</v>
      </c>
      <c r="K509" s="2">
        <v>-17.402799999999999</v>
      </c>
      <c r="L509" s="2">
        <v>-66.235100000000003</v>
      </c>
      <c r="M509" s="2" t="s">
        <v>25</v>
      </c>
      <c r="N509" s="2">
        <v>2283</v>
      </c>
      <c r="O509" s="2" t="s">
        <v>1895</v>
      </c>
      <c r="P509" s="2">
        <v>27</v>
      </c>
      <c r="Q509" s="2">
        <v>5</v>
      </c>
      <c r="R509" s="2">
        <f>IFERROR(VLOOKUP(A509,'[1]Recintos Cochabamba'!A$1:R$838,17,FALSE),0)</f>
        <v>5</v>
      </c>
      <c r="S509" s="3">
        <f>IFERROR(VLOOKUP(A509,'[1]Recintos Cochabamba'!A$1:T$838,18,FALSE),0)</f>
        <v>0.66573366620476138</v>
      </c>
    </row>
    <row r="510" spans="1:19" x14ac:dyDescent="0.25">
      <c r="A510" s="2">
        <v>2284</v>
      </c>
      <c r="B510" s="2" t="s">
        <v>19</v>
      </c>
      <c r="C510" s="2" t="s">
        <v>1456</v>
      </c>
      <c r="D510" s="2" t="s">
        <v>1867</v>
      </c>
      <c r="E510" s="2" t="s">
        <v>1896</v>
      </c>
      <c r="F510" s="2" t="s">
        <v>1897</v>
      </c>
      <c r="G510" s="2" t="s">
        <v>1898</v>
      </c>
      <c r="H510" s="2" t="s">
        <v>1896</v>
      </c>
      <c r="I510" s="2">
        <v>22</v>
      </c>
      <c r="J510" s="2" t="s">
        <v>24</v>
      </c>
      <c r="K510" s="2">
        <v>-17.379200000000001</v>
      </c>
      <c r="L510" s="2">
        <v>-66.212699999999998</v>
      </c>
      <c r="M510" s="2" t="s">
        <v>25</v>
      </c>
      <c r="N510" s="2">
        <v>2284</v>
      </c>
      <c r="O510" s="2" t="s">
        <v>1899</v>
      </c>
      <c r="P510" s="2">
        <v>25</v>
      </c>
      <c r="Q510" s="2">
        <v>2</v>
      </c>
      <c r="R510" s="2">
        <f>IFERROR(VLOOKUP(A510,'[1]Recintos Cochabamba'!A$1:R$838,17,FALSE),0)</f>
        <v>2</v>
      </c>
      <c r="S510" s="3">
        <f>IFERROR(VLOOKUP(A510,'[1]Recintos Cochabamba'!A$1:T$838,18,FALSE),0)</f>
        <v>0.44961717254580258</v>
      </c>
    </row>
    <row r="511" spans="1:19" x14ac:dyDescent="0.25">
      <c r="A511" s="2">
        <v>2285</v>
      </c>
      <c r="B511" s="2" t="s">
        <v>19</v>
      </c>
      <c r="C511" s="2" t="s">
        <v>1456</v>
      </c>
      <c r="D511" s="2" t="s">
        <v>1867</v>
      </c>
      <c r="E511" s="2" t="s">
        <v>1900</v>
      </c>
      <c r="F511" s="2" t="s">
        <v>1901</v>
      </c>
      <c r="G511" s="2" t="s">
        <v>1898</v>
      </c>
      <c r="H511" s="2" t="s">
        <v>1900</v>
      </c>
      <c r="I511" s="2">
        <v>22</v>
      </c>
      <c r="J511" s="2" t="s">
        <v>24</v>
      </c>
      <c r="K511" s="2">
        <v>-17.386800000000001</v>
      </c>
      <c r="L511" s="2">
        <v>-66.213499999999996</v>
      </c>
      <c r="M511" s="2" t="s">
        <v>25</v>
      </c>
      <c r="N511" s="2">
        <v>2285</v>
      </c>
      <c r="O511" s="2" t="s">
        <v>1902</v>
      </c>
      <c r="P511" s="2">
        <v>25</v>
      </c>
      <c r="Q511" s="2">
        <v>2</v>
      </c>
      <c r="R511" s="2">
        <f>IFERROR(VLOOKUP(A511,'[1]Recintos Cochabamba'!A$1:R$838,17,FALSE),0)</f>
        <v>17</v>
      </c>
      <c r="S511" s="3">
        <f>IFERROR(VLOOKUP(A511,'[1]Recintos Cochabamba'!A$1:T$838,18,FALSE),0)</f>
        <v>0.40594142441898257</v>
      </c>
    </row>
    <row r="512" spans="1:19" x14ac:dyDescent="0.25">
      <c r="A512" s="2">
        <v>2286</v>
      </c>
      <c r="B512" s="2" t="s">
        <v>19</v>
      </c>
      <c r="C512" s="2" t="s">
        <v>1456</v>
      </c>
      <c r="D512" s="2" t="s">
        <v>1867</v>
      </c>
      <c r="E512" s="2" t="s">
        <v>1900</v>
      </c>
      <c r="F512" s="2" t="s">
        <v>1903</v>
      </c>
      <c r="G512" s="2" t="s">
        <v>1898</v>
      </c>
      <c r="H512" s="2" t="s">
        <v>1904</v>
      </c>
      <c r="I512" s="2">
        <v>22</v>
      </c>
      <c r="J512" s="2" t="s">
        <v>24</v>
      </c>
      <c r="K512" s="2">
        <v>-17.3827</v>
      </c>
      <c r="L512" s="2">
        <v>-66.222399999999993</v>
      </c>
      <c r="M512" s="2" t="s">
        <v>25</v>
      </c>
      <c r="N512" s="2">
        <v>2286</v>
      </c>
      <c r="O512" s="2" t="s">
        <v>1905</v>
      </c>
      <c r="P512" s="2">
        <v>40</v>
      </c>
      <c r="Q512" s="2">
        <v>3</v>
      </c>
      <c r="R512" s="2">
        <f>IFERROR(VLOOKUP(A512,'[1]Recintos Cochabamba'!A$1:R$838,17,FALSE),0)</f>
        <v>12</v>
      </c>
      <c r="S512" s="3">
        <f>IFERROR(VLOOKUP(A512,'[1]Recintos Cochabamba'!A$1:T$838,18,FALSE),0)</f>
        <v>0.40391193772805123</v>
      </c>
    </row>
    <row r="513" spans="1:19" x14ac:dyDescent="0.25">
      <c r="A513" s="2">
        <v>2287</v>
      </c>
      <c r="B513" s="2" t="s">
        <v>19</v>
      </c>
      <c r="C513" s="2" t="s">
        <v>1456</v>
      </c>
      <c r="D513" s="2" t="s">
        <v>1867</v>
      </c>
      <c r="E513" s="2" t="s">
        <v>1900</v>
      </c>
      <c r="F513" s="2" t="s">
        <v>1906</v>
      </c>
      <c r="G513" s="2" t="s">
        <v>1898</v>
      </c>
      <c r="H513" s="2" t="s">
        <v>1907</v>
      </c>
      <c r="I513" s="2">
        <v>22</v>
      </c>
      <c r="J513" s="2" t="s">
        <v>24</v>
      </c>
      <c r="K513" s="2">
        <v>-17.396473</v>
      </c>
      <c r="L513" s="2">
        <v>-66.214436000000006</v>
      </c>
      <c r="M513" s="2" t="s">
        <v>25</v>
      </c>
      <c r="N513" s="2">
        <v>2287</v>
      </c>
      <c r="O513" s="2" t="s">
        <v>1908</v>
      </c>
      <c r="P513" s="2">
        <v>25</v>
      </c>
      <c r="Q513" s="2">
        <v>2</v>
      </c>
      <c r="R513" s="2">
        <f>IFERROR(VLOOKUP(A513,'[1]Recintos Cochabamba'!A$1:R$838,17,FALSE),0)</f>
        <v>13</v>
      </c>
      <c r="S513" s="3">
        <f>IFERROR(VLOOKUP(A513,'[1]Recintos Cochabamba'!A$1:T$838,18,FALSE),0)</f>
        <v>0.39225376263997919</v>
      </c>
    </row>
    <row r="514" spans="1:19" x14ac:dyDescent="0.25">
      <c r="A514" s="2">
        <v>2288</v>
      </c>
      <c r="B514" s="2" t="s">
        <v>19</v>
      </c>
      <c r="C514" s="2" t="s">
        <v>1456</v>
      </c>
      <c r="D514" s="2" t="s">
        <v>1867</v>
      </c>
      <c r="E514" s="2" t="s">
        <v>1900</v>
      </c>
      <c r="F514" s="2" t="s">
        <v>1909</v>
      </c>
      <c r="G514" s="2" t="s">
        <v>1898</v>
      </c>
      <c r="H514" s="2" t="s">
        <v>1910</v>
      </c>
      <c r="I514" s="2">
        <v>22</v>
      </c>
      <c r="J514" s="2" t="s">
        <v>24</v>
      </c>
      <c r="K514" s="2">
        <v>-17.379705000000001</v>
      </c>
      <c r="L514" s="2">
        <v>-66.216429000000005</v>
      </c>
      <c r="M514" s="2" t="s">
        <v>25</v>
      </c>
      <c r="N514" s="2">
        <v>2288</v>
      </c>
      <c r="O514" s="2" t="s">
        <v>1911</v>
      </c>
      <c r="P514" s="2">
        <v>25</v>
      </c>
      <c r="Q514" s="2">
        <v>2</v>
      </c>
      <c r="R514" s="2">
        <f>IFERROR(VLOOKUP(A514,'[1]Recintos Cochabamba'!A$1:R$838,17,FALSE),0)</f>
        <v>4</v>
      </c>
      <c r="S514" s="3">
        <f>IFERROR(VLOOKUP(A514,'[1]Recintos Cochabamba'!A$1:T$838,18,FALSE),0)</f>
        <v>0.40562500000000001</v>
      </c>
    </row>
    <row r="515" spans="1:19" x14ac:dyDescent="0.25">
      <c r="A515" s="2">
        <v>2289</v>
      </c>
      <c r="B515" s="2" t="s">
        <v>19</v>
      </c>
      <c r="C515" s="2" t="s">
        <v>1456</v>
      </c>
      <c r="D515" s="2" t="s">
        <v>1867</v>
      </c>
      <c r="E515" s="2" t="s">
        <v>1912</v>
      </c>
      <c r="F515" s="2" t="s">
        <v>1913</v>
      </c>
      <c r="G515" s="2" t="s">
        <v>1890</v>
      </c>
      <c r="H515" s="2" t="s">
        <v>1912</v>
      </c>
      <c r="I515" s="2">
        <v>22</v>
      </c>
      <c r="J515" s="2" t="s">
        <v>24</v>
      </c>
      <c r="K515" s="2">
        <v>-17.3932</v>
      </c>
      <c r="L515" s="2">
        <v>-66.226200000000006</v>
      </c>
      <c r="M515" s="2" t="s">
        <v>25</v>
      </c>
      <c r="N515" s="2">
        <v>2289</v>
      </c>
      <c r="O515" s="2" t="s">
        <v>1914</v>
      </c>
      <c r="P515" s="2">
        <v>40</v>
      </c>
      <c r="Q515" s="2">
        <v>3</v>
      </c>
      <c r="R515" s="2">
        <f>IFERROR(VLOOKUP(A515,'[1]Recintos Cochabamba'!A$1:R$838,17,FALSE),0)</f>
        <v>26</v>
      </c>
      <c r="S515" s="3">
        <f>IFERROR(VLOOKUP(A515,'[1]Recintos Cochabamba'!A$1:T$838,18,FALSE),0)</f>
        <v>0.36796997259527464</v>
      </c>
    </row>
    <row r="516" spans="1:19" x14ac:dyDescent="0.25">
      <c r="A516" s="2">
        <v>2290</v>
      </c>
      <c r="B516" s="2" t="s">
        <v>19</v>
      </c>
      <c r="C516" s="2" t="s">
        <v>1456</v>
      </c>
      <c r="D516" s="2" t="s">
        <v>1867</v>
      </c>
      <c r="E516" s="2" t="s">
        <v>1912</v>
      </c>
      <c r="F516" s="2" t="s">
        <v>1915</v>
      </c>
      <c r="G516" s="2" t="s">
        <v>1898</v>
      </c>
      <c r="H516" s="2" t="s">
        <v>1912</v>
      </c>
      <c r="I516" s="2">
        <v>22</v>
      </c>
      <c r="J516" s="2" t="s">
        <v>24</v>
      </c>
      <c r="K516" s="2">
        <v>-17.386800000000001</v>
      </c>
      <c r="L516" s="2">
        <v>-66.225899999999996</v>
      </c>
      <c r="M516" s="2" t="s">
        <v>25</v>
      </c>
      <c r="N516" s="2">
        <v>2290</v>
      </c>
      <c r="O516" s="2" t="s">
        <v>1916</v>
      </c>
      <c r="P516" s="2">
        <v>40</v>
      </c>
      <c r="Q516" s="2">
        <v>3</v>
      </c>
      <c r="R516" s="2">
        <f>IFERROR(VLOOKUP(A516,'[1]Recintos Cochabamba'!A$1:R$838,17,FALSE),0)</f>
        <v>7</v>
      </c>
      <c r="S516" s="3">
        <f>IFERROR(VLOOKUP(A516,'[1]Recintos Cochabamba'!A$1:T$838,18,FALSE),0)</f>
        <v>0.42535456148183126</v>
      </c>
    </row>
    <row r="517" spans="1:19" x14ac:dyDescent="0.25">
      <c r="A517" s="2">
        <v>2291</v>
      </c>
      <c r="B517" s="2" t="s">
        <v>19</v>
      </c>
      <c r="C517" s="2" t="s">
        <v>1456</v>
      </c>
      <c r="D517" s="2" t="s">
        <v>1867</v>
      </c>
      <c r="E517" s="2" t="s">
        <v>1917</v>
      </c>
      <c r="F517" s="2" t="s">
        <v>1918</v>
      </c>
      <c r="G517" s="2" t="s">
        <v>1893</v>
      </c>
      <c r="H517" s="2" t="s">
        <v>1919</v>
      </c>
      <c r="I517" s="2">
        <v>22</v>
      </c>
      <c r="J517" s="2" t="s">
        <v>24</v>
      </c>
      <c r="K517" s="2">
        <v>-17.417134999999998</v>
      </c>
      <c r="L517" s="2">
        <v>-66.247585999999998</v>
      </c>
      <c r="M517" s="2" t="s">
        <v>25</v>
      </c>
      <c r="N517" s="2">
        <v>2291</v>
      </c>
      <c r="O517" s="2" t="s">
        <v>1920</v>
      </c>
      <c r="P517" s="2">
        <v>27</v>
      </c>
      <c r="Q517" s="2">
        <v>5</v>
      </c>
      <c r="R517" s="2">
        <f>IFERROR(VLOOKUP(A517,'[1]Recintos Cochabamba'!A$1:R$838,17,FALSE),0)</f>
        <v>3</v>
      </c>
      <c r="S517" s="3">
        <v>0</v>
      </c>
    </row>
    <row r="518" spans="1:19" x14ac:dyDescent="0.25">
      <c r="A518" s="2">
        <v>2292</v>
      </c>
      <c r="B518" s="2" t="s">
        <v>19</v>
      </c>
      <c r="C518" s="2" t="s">
        <v>1921</v>
      </c>
      <c r="D518" s="2" t="s">
        <v>1922</v>
      </c>
      <c r="E518" s="2" t="s">
        <v>1922</v>
      </c>
      <c r="F518" s="2" t="s">
        <v>1923</v>
      </c>
      <c r="G518" s="2" t="s">
        <v>1924</v>
      </c>
      <c r="H518" s="2" t="s">
        <v>1925</v>
      </c>
      <c r="I518" s="2">
        <v>23</v>
      </c>
      <c r="J518" s="2" t="s">
        <v>24</v>
      </c>
      <c r="K518" s="2">
        <v>-17.401499999999999</v>
      </c>
      <c r="L518" s="2">
        <v>-66.045900000000003</v>
      </c>
      <c r="M518" s="2" t="s">
        <v>25</v>
      </c>
      <c r="N518" s="2">
        <v>2292</v>
      </c>
      <c r="O518" s="2" t="s">
        <v>1926</v>
      </c>
      <c r="P518" s="2">
        <v>5</v>
      </c>
      <c r="Q518" s="2">
        <v>1</v>
      </c>
      <c r="R518" s="2">
        <f>IFERROR(VLOOKUP(A518,'[1]Recintos Cochabamba'!A$1:R$838,17,FALSE),0)</f>
        <v>16</v>
      </c>
      <c r="S518" s="3">
        <f>IFERROR(VLOOKUP(A518,'[1]Recintos Cochabamba'!A$1:T$838,18,FALSE),0)</f>
        <v>0.63725059054367028</v>
      </c>
    </row>
    <row r="519" spans="1:19" x14ac:dyDescent="0.25">
      <c r="A519" s="2">
        <v>2293</v>
      </c>
      <c r="B519" s="2" t="s">
        <v>19</v>
      </c>
      <c r="C519" s="2" t="s">
        <v>1921</v>
      </c>
      <c r="D519" s="2" t="s">
        <v>1922</v>
      </c>
      <c r="E519" s="2" t="s">
        <v>1922</v>
      </c>
      <c r="F519" s="2" t="s">
        <v>1927</v>
      </c>
      <c r="G519" s="2" t="s">
        <v>1924</v>
      </c>
      <c r="H519" s="2" t="s">
        <v>1928</v>
      </c>
      <c r="I519" s="2">
        <v>23</v>
      </c>
      <c r="J519" s="2" t="s">
        <v>24</v>
      </c>
      <c r="K519" s="2">
        <v>-17.404</v>
      </c>
      <c r="L519" s="2">
        <v>-66.044899999999998</v>
      </c>
      <c r="M519" s="2" t="s">
        <v>25</v>
      </c>
      <c r="N519" s="2">
        <v>2293</v>
      </c>
      <c r="O519" s="2" t="s">
        <v>1929</v>
      </c>
      <c r="P519" s="2">
        <v>5</v>
      </c>
      <c r="Q519" s="2">
        <v>1</v>
      </c>
      <c r="R519" s="2">
        <f>IFERROR(VLOOKUP(A519,'[1]Recintos Cochabamba'!A$1:R$838,17,FALSE),0)</f>
        <v>30</v>
      </c>
      <c r="S519" s="3">
        <f>IFERROR(VLOOKUP(A519,'[1]Recintos Cochabamba'!A$1:T$838,18,FALSE),0)</f>
        <v>0.65158878110157104</v>
      </c>
    </row>
    <row r="520" spans="1:19" x14ac:dyDescent="0.25">
      <c r="A520" s="2">
        <v>2294</v>
      </c>
      <c r="B520" s="2" t="s">
        <v>19</v>
      </c>
      <c r="C520" s="2" t="s">
        <v>1921</v>
      </c>
      <c r="D520" s="2" t="s">
        <v>1922</v>
      </c>
      <c r="E520" s="2" t="s">
        <v>1922</v>
      </c>
      <c r="F520" s="2" t="s">
        <v>1930</v>
      </c>
      <c r="G520" s="2" t="s">
        <v>1924</v>
      </c>
      <c r="H520" s="2" t="s">
        <v>1931</v>
      </c>
      <c r="I520" s="2">
        <v>23</v>
      </c>
      <c r="J520" s="2" t="s">
        <v>24</v>
      </c>
      <c r="K520" s="2">
        <v>-17.4071</v>
      </c>
      <c r="L520" s="2">
        <v>-66.038200000000003</v>
      </c>
      <c r="M520" s="2" t="s">
        <v>25</v>
      </c>
      <c r="N520" s="2">
        <v>2294</v>
      </c>
      <c r="O520" s="2" t="s">
        <v>1932</v>
      </c>
      <c r="P520" s="2">
        <v>5</v>
      </c>
      <c r="Q520" s="2">
        <v>1</v>
      </c>
      <c r="R520" s="2">
        <f>IFERROR(VLOOKUP(A520,'[1]Recintos Cochabamba'!A$1:R$838,17,FALSE),0)</f>
        <v>23</v>
      </c>
      <c r="S520" s="3">
        <f>IFERROR(VLOOKUP(A520,'[1]Recintos Cochabamba'!A$1:T$838,18,FALSE),0)</f>
        <v>0.63722803264448913</v>
      </c>
    </row>
    <row r="521" spans="1:19" x14ac:dyDescent="0.25">
      <c r="A521" s="2">
        <v>2295</v>
      </c>
      <c r="B521" s="2" t="s">
        <v>19</v>
      </c>
      <c r="C521" s="2" t="s">
        <v>1921</v>
      </c>
      <c r="D521" s="2" t="s">
        <v>1922</v>
      </c>
      <c r="E521" s="2" t="s">
        <v>1922</v>
      </c>
      <c r="F521" s="2" t="s">
        <v>1933</v>
      </c>
      <c r="G521" s="2" t="s">
        <v>1924</v>
      </c>
      <c r="H521" s="2" t="s">
        <v>1934</v>
      </c>
      <c r="I521" s="2">
        <v>23</v>
      </c>
      <c r="J521" s="2" t="s">
        <v>24</v>
      </c>
      <c r="K521" s="2">
        <v>-17.404299999999999</v>
      </c>
      <c r="L521" s="2">
        <v>-66.038300000000007</v>
      </c>
      <c r="M521" s="2" t="s">
        <v>25</v>
      </c>
      <c r="N521" s="2">
        <v>2295</v>
      </c>
      <c r="O521" s="2" t="s">
        <v>1935</v>
      </c>
      <c r="P521" s="2">
        <v>5</v>
      </c>
      <c r="Q521" s="2">
        <v>1</v>
      </c>
      <c r="R521" s="2">
        <f>IFERROR(VLOOKUP(A521,'[1]Recintos Cochabamba'!A$1:R$838,17,FALSE),0)</f>
        <v>20</v>
      </c>
      <c r="S521" s="3">
        <f>IFERROR(VLOOKUP(A521,'[1]Recintos Cochabamba'!A$1:T$838,18,FALSE),0)</f>
        <v>0.64926329208479727</v>
      </c>
    </row>
    <row r="522" spans="1:19" x14ac:dyDescent="0.25">
      <c r="A522" s="2">
        <v>2296</v>
      </c>
      <c r="B522" s="2" t="s">
        <v>19</v>
      </c>
      <c r="C522" s="2" t="s">
        <v>1921</v>
      </c>
      <c r="D522" s="2" t="s">
        <v>1922</v>
      </c>
      <c r="E522" s="2" t="s">
        <v>1922</v>
      </c>
      <c r="F522" s="2" t="s">
        <v>1936</v>
      </c>
      <c r="G522" s="2" t="s">
        <v>1924</v>
      </c>
      <c r="H522" s="2" t="s">
        <v>1937</v>
      </c>
      <c r="I522" s="2">
        <v>23</v>
      </c>
      <c r="J522" s="2" t="s">
        <v>24</v>
      </c>
      <c r="K522" s="2">
        <v>-17.405899999999999</v>
      </c>
      <c r="L522" s="2">
        <v>-66.041300000000007</v>
      </c>
      <c r="M522" s="2" t="s">
        <v>25</v>
      </c>
      <c r="N522" s="2">
        <v>2296</v>
      </c>
      <c r="O522" s="2" t="s">
        <v>1938</v>
      </c>
      <c r="P522" s="2">
        <v>5</v>
      </c>
      <c r="Q522" s="2">
        <v>1</v>
      </c>
      <c r="R522" s="2">
        <f>IFERROR(VLOOKUP(A522,'[1]Recintos Cochabamba'!A$1:R$838,17,FALSE),0)</f>
        <v>1</v>
      </c>
      <c r="S522" s="3">
        <f>IFERROR(VLOOKUP(A522,'[1]Recintos Cochabamba'!A$1:T$838,18,FALSE),0)</f>
        <v>0.86754966887417218</v>
      </c>
    </row>
    <row r="523" spans="1:19" x14ac:dyDescent="0.25">
      <c r="A523" s="2">
        <v>2297</v>
      </c>
      <c r="B523" s="2" t="s">
        <v>19</v>
      </c>
      <c r="C523" s="2" t="s">
        <v>1921</v>
      </c>
      <c r="D523" s="2" t="s">
        <v>1922</v>
      </c>
      <c r="E523" s="2" t="s">
        <v>1922</v>
      </c>
      <c r="F523" s="2" t="s">
        <v>1939</v>
      </c>
      <c r="G523" s="2" t="s">
        <v>1940</v>
      </c>
      <c r="H523" s="2" t="s">
        <v>1941</v>
      </c>
      <c r="I523" s="2">
        <v>23</v>
      </c>
      <c r="J523" s="2" t="s">
        <v>24</v>
      </c>
      <c r="K523" s="2">
        <v>-17.402699999999999</v>
      </c>
      <c r="L523" s="2">
        <v>-66.023200000000003</v>
      </c>
      <c r="M523" s="2" t="s">
        <v>25</v>
      </c>
      <c r="N523" s="2">
        <v>2297</v>
      </c>
      <c r="O523" s="2" t="s">
        <v>1942</v>
      </c>
      <c r="P523" s="2">
        <v>4</v>
      </c>
      <c r="Q523" s="2">
        <v>7</v>
      </c>
      <c r="R523" s="2">
        <f>IFERROR(VLOOKUP(A523,'[1]Recintos Cochabamba'!A$1:R$838,17,FALSE),0)</f>
        <v>25</v>
      </c>
      <c r="S523" s="3">
        <f>IFERROR(VLOOKUP(A523,'[1]Recintos Cochabamba'!A$1:T$838,18,FALSE),0)</f>
        <v>0.8044952736277996</v>
      </c>
    </row>
    <row r="524" spans="1:19" x14ac:dyDescent="0.25">
      <c r="A524" s="2">
        <v>2298</v>
      </c>
      <c r="B524" s="2" t="s">
        <v>19</v>
      </c>
      <c r="C524" s="2" t="s">
        <v>1921</v>
      </c>
      <c r="D524" s="2" t="s">
        <v>1922</v>
      </c>
      <c r="E524" s="2" t="s">
        <v>1922</v>
      </c>
      <c r="F524" s="2" t="s">
        <v>1943</v>
      </c>
      <c r="G524" s="2" t="s">
        <v>1940</v>
      </c>
      <c r="H524" s="2" t="s">
        <v>1944</v>
      </c>
      <c r="I524" s="2">
        <v>23</v>
      </c>
      <c r="J524" s="2" t="s">
        <v>24</v>
      </c>
      <c r="K524" s="2">
        <v>-17.4085</v>
      </c>
      <c r="L524" s="2">
        <v>-66.005600000000001</v>
      </c>
      <c r="M524" s="2" t="s">
        <v>25</v>
      </c>
      <c r="N524" s="2">
        <v>2298</v>
      </c>
      <c r="O524" s="2" t="s">
        <v>1945</v>
      </c>
      <c r="P524" s="2">
        <v>4</v>
      </c>
      <c r="Q524" s="2">
        <v>7</v>
      </c>
      <c r="R524" s="2">
        <f>IFERROR(VLOOKUP(A524,'[1]Recintos Cochabamba'!A$1:R$838,17,FALSE),0)</f>
        <v>7</v>
      </c>
      <c r="S524" s="3">
        <f>IFERROR(VLOOKUP(A524,'[1]Recintos Cochabamba'!A$1:T$838,18,FALSE),0)</f>
        <v>0.81226138149601057</v>
      </c>
    </row>
    <row r="525" spans="1:19" x14ac:dyDescent="0.25">
      <c r="A525" s="2">
        <v>2299</v>
      </c>
      <c r="B525" s="2" t="s">
        <v>19</v>
      </c>
      <c r="C525" s="2" t="s">
        <v>1921</v>
      </c>
      <c r="D525" s="2" t="s">
        <v>1922</v>
      </c>
      <c r="E525" s="2" t="s">
        <v>1922</v>
      </c>
      <c r="F525" s="2" t="s">
        <v>1946</v>
      </c>
      <c r="G525" s="2" t="s">
        <v>1924</v>
      </c>
      <c r="H525" s="2" t="s">
        <v>1947</v>
      </c>
      <c r="I525" s="2">
        <v>23</v>
      </c>
      <c r="J525" s="2" t="s">
        <v>24</v>
      </c>
      <c r="K525" s="2">
        <v>-17.4071</v>
      </c>
      <c r="L525" s="2">
        <v>-66.045599999999993</v>
      </c>
      <c r="M525" s="2" t="s">
        <v>25</v>
      </c>
      <c r="N525" s="2">
        <v>2299</v>
      </c>
      <c r="O525" s="2" t="s">
        <v>1948</v>
      </c>
      <c r="P525" s="2">
        <v>5</v>
      </c>
      <c r="Q525" s="2">
        <v>1</v>
      </c>
      <c r="R525" s="2">
        <f>IFERROR(VLOOKUP(A525,'[1]Recintos Cochabamba'!A$1:R$838,17,FALSE),0)</f>
        <v>3</v>
      </c>
      <c r="S525" s="3">
        <f>IFERROR(VLOOKUP(A525,'[1]Recintos Cochabamba'!A$1:T$838,18,FALSE),0)</f>
        <v>0.62448016328613343</v>
      </c>
    </row>
    <row r="526" spans="1:19" x14ac:dyDescent="0.25">
      <c r="A526" s="2">
        <v>2300</v>
      </c>
      <c r="B526" s="2" t="s">
        <v>19</v>
      </c>
      <c r="C526" s="2" t="s">
        <v>1921</v>
      </c>
      <c r="D526" s="2" t="s">
        <v>1922</v>
      </c>
      <c r="E526" s="2" t="s">
        <v>1922</v>
      </c>
      <c r="F526" s="2" t="s">
        <v>1949</v>
      </c>
      <c r="G526" s="2" t="s">
        <v>1950</v>
      </c>
      <c r="H526" s="2" t="s">
        <v>1951</v>
      </c>
      <c r="I526" s="2">
        <v>23</v>
      </c>
      <c r="J526" s="2" t="s">
        <v>24</v>
      </c>
      <c r="K526" s="2">
        <v>-17.4145</v>
      </c>
      <c r="L526" s="2">
        <v>-66.055300000000003</v>
      </c>
      <c r="M526" s="2" t="s">
        <v>25</v>
      </c>
      <c r="N526" s="2">
        <v>2300</v>
      </c>
      <c r="O526" s="2" t="s">
        <v>1952</v>
      </c>
      <c r="P526" s="2">
        <v>2</v>
      </c>
      <c r="Q526" s="2">
        <v>0</v>
      </c>
      <c r="R526" s="2">
        <f>IFERROR(VLOOKUP(A526,'[1]Recintos Cochabamba'!A$1:R$838,17,FALSE),0)</f>
        <v>8</v>
      </c>
      <c r="S526" s="3">
        <f>IFERROR(VLOOKUP(A526,'[1]Recintos Cochabamba'!A$1:T$838,18,FALSE),0)</f>
        <v>0.84012464465784564</v>
      </c>
    </row>
    <row r="527" spans="1:19" x14ac:dyDescent="0.25">
      <c r="A527" s="2">
        <v>2301</v>
      </c>
      <c r="B527" s="2" t="s">
        <v>19</v>
      </c>
      <c r="C527" s="2" t="s">
        <v>1921</v>
      </c>
      <c r="D527" s="2" t="s">
        <v>1922</v>
      </c>
      <c r="E527" s="2" t="s">
        <v>1922</v>
      </c>
      <c r="F527" s="2" t="s">
        <v>1953</v>
      </c>
      <c r="G527" s="2" t="s">
        <v>1954</v>
      </c>
      <c r="H527" s="2" t="s">
        <v>1955</v>
      </c>
      <c r="I527" s="2">
        <v>23</v>
      </c>
      <c r="J527" s="2" t="s">
        <v>24</v>
      </c>
      <c r="K527" s="2">
        <v>-17.402100000000001</v>
      </c>
      <c r="L527" s="2">
        <v>-66.06</v>
      </c>
      <c r="M527" s="2" t="s">
        <v>25</v>
      </c>
      <c r="N527" s="2">
        <v>2301</v>
      </c>
      <c r="O527" s="2" t="s">
        <v>1956</v>
      </c>
      <c r="P527" s="2">
        <v>6</v>
      </c>
      <c r="Q527" s="2">
        <v>4</v>
      </c>
      <c r="R527" s="2">
        <f>IFERROR(VLOOKUP(A527,'[1]Recintos Cochabamba'!A$1:R$838,17,FALSE),0)</f>
        <v>3</v>
      </c>
      <c r="S527" s="3">
        <f>IFERROR(VLOOKUP(A527,'[1]Recintos Cochabamba'!A$1:T$838,18,FALSE),0)</f>
        <v>0.75857612702287713</v>
      </c>
    </row>
    <row r="528" spans="1:19" x14ac:dyDescent="0.25">
      <c r="A528" s="2">
        <v>2302</v>
      </c>
      <c r="B528" s="2" t="s">
        <v>19</v>
      </c>
      <c r="C528" s="2" t="s">
        <v>1921</v>
      </c>
      <c r="D528" s="2" t="s">
        <v>1922</v>
      </c>
      <c r="E528" s="2" t="s">
        <v>1922</v>
      </c>
      <c r="F528" s="2" t="s">
        <v>1957</v>
      </c>
      <c r="G528" s="2" t="s">
        <v>1924</v>
      </c>
      <c r="H528" s="2" t="s">
        <v>1958</v>
      </c>
      <c r="I528" s="2">
        <v>23</v>
      </c>
      <c r="J528" s="2" t="s">
        <v>24</v>
      </c>
      <c r="K528" s="2">
        <v>-17.4026</v>
      </c>
      <c r="L528" s="2">
        <v>-66.044899999999998</v>
      </c>
      <c r="M528" s="2" t="s">
        <v>25</v>
      </c>
      <c r="N528" s="2">
        <v>2302</v>
      </c>
      <c r="O528" s="2" t="s">
        <v>1959</v>
      </c>
      <c r="P528" s="2">
        <v>5</v>
      </c>
      <c r="Q528" s="2">
        <v>1</v>
      </c>
      <c r="R528" s="2">
        <f>IFERROR(VLOOKUP(A528,'[1]Recintos Cochabamba'!A$1:R$838,17,FALSE),0)</f>
        <v>12</v>
      </c>
      <c r="S528" s="3">
        <f>IFERROR(VLOOKUP(A528,'[1]Recintos Cochabamba'!A$1:T$838,18,FALSE),0)</f>
        <v>0.70472908650320953</v>
      </c>
    </row>
    <row r="529" spans="1:19" x14ac:dyDescent="0.25">
      <c r="A529" s="2">
        <v>2303</v>
      </c>
      <c r="B529" s="2" t="s">
        <v>19</v>
      </c>
      <c r="C529" s="2" t="s">
        <v>1921</v>
      </c>
      <c r="D529" s="2" t="s">
        <v>1922</v>
      </c>
      <c r="E529" s="2" t="s">
        <v>1922</v>
      </c>
      <c r="F529" s="2" t="s">
        <v>1960</v>
      </c>
      <c r="G529" s="2" t="s">
        <v>1940</v>
      </c>
      <c r="H529" s="2" t="s">
        <v>1961</v>
      </c>
      <c r="I529" s="2">
        <v>23</v>
      </c>
      <c r="J529" s="2" t="s">
        <v>24</v>
      </c>
      <c r="K529" s="2">
        <v>-17.408166000000001</v>
      </c>
      <c r="L529" s="2">
        <v>-66.032285000000002</v>
      </c>
      <c r="M529" s="2" t="s">
        <v>25</v>
      </c>
      <c r="N529" s="2">
        <v>2303</v>
      </c>
      <c r="O529" s="2" t="s">
        <v>1962</v>
      </c>
      <c r="P529" s="2">
        <v>4</v>
      </c>
      <c r="Q529" s="2">
        <v>7</v>
      </c>
      <c r="R529" s="2">
        <f>IFERROR(VLOOKUP(A529,'[1]Recintos Cochabamba'!A$1:R$838,17,FALSE),0)</f>
        <v>8</v>
      </c>
      <c r="S529" s="3">
        <f>IFERROR(VLOOKUP(A529,'[1]Recintos Cochabamba'!A$1:T$838,18,FALSE),0)</f>
        <v>0.78269773820316357</v>
      </c>
    </row>
    <row r="530" spans="1:19" x14ac:dyDescent="0.25">
      <c r="A530" s="2">
        <v>2304</v>
      </c>
      <c r="B530" s="2" t="s">
        <v>19</v>
      </c>
      <c r="C530" s="2" t="s">
        <v>1921</v>
      </c>
      <c r="D530" s="2" t="s">
        <v>1922</v>
      </c>
      <c r="E530" s="2" t="s">
        <v>1922</v>
      </c>
      <c r="F530" s="2" t="s">
        <v>1963</v>
      </c>
      <c r="G530" s="2" t="s">
        <v>1940</v>
      </c>
      <c r="H530" s="2" t="s">
        <v>1964</v>
      </c>
      <c r="I530" s="2">
        <v>23</v>
      </c>
      <c r="J530" s="2" t="s">
        <v>24</v>
      </c>
      <c r="K530" s="2">
        <v>-17.412013999999999</v>
      </c>
      <c r="L530" s="2">
        <v>-65.99239</v>
      </c>
      <c r="M530" s="2" t="s">
        <v>25</v>
      </c>
      <c r="N530" s="2">
        <v>2304</v>
      </c>
      <c r="O530" s="2" t="s">
        <v>1965</v>
      </c>
      <c r="P530" s="2">
        <v>4</v>
      </c>
      <c r="Q530" s="2">
        <v>7</v>
      </c>
      <c r="R530" s="2">
        <f>IFERROR(VLOOKUP(A530,'[1]Recintos Cochabamba'!A$1:R$838,17,FALSE),0)</f>
        <v>4</v>
      </c>
      <c r="S530" s="3">
        <f>IFERROR(VLOOKUP(A530,'[1]Recintos Cochabamba'!A$1:T$838,18,FALSE),0)</f>
        <v>0.86937216772973147</v>
      </c>
    </row>
    <row r="531" spans="1:19" x14ac:dyDescent="0.25">
      <c r="A531" s="2">
        <v>2305</v>
      </c>
      <c r="B531" s="2" t="s">
        <v>19</v>
      </c>
      <c r="C531" s="2" t="s">
        <v>1921</v>
      </c>
      <c r="D531" s="2" t="s">
        <v>1922</v>
      </c>
      <c r="E531" s="2" t="s">
        <v>1922</v>
      </c>
      <c r="F531" s="2" t="s">
        <v>1966</v>
      </c>
      <c r="G531" s="2" t="s">
        <v>1924</v>
      </c>
      <c r="H531" s="2" t="s">
        <v>1967</v>
      </c>
      <c r="I531" s="2">
        <v>23</v>
      </c>
      <c r="J531" s="2" t="s">
        <v>24</v>
      </c>
      <c r="K531" s="2">
        <v>-17.400205</v>
      </c>
      <c r="L531" s="2">
        <v>-66.031527999999994</v>
      </c>
      <c r="M531" s="2" t="s">
        <v>25</v>
      </c>
      <c r="N531" s="2">
        <v>2305</v>
      </c>
      <c r="O531" s="2" t="s">
        <v>1968</v>
      </c>
      <c r="P531" s="2">
        <v>5</v>
      </c>
      <c r="Q531" s="2">
        <v>1</v>
      </c>
      <c r="R531" s="2">
        <f>IFERROR(VLOOKUP(A531,'[1]Recintos Cochabamba'!A$1:R$838,17,FALSE),0)</f>
        <v>2</v>
      </c>
      <c r="S531" s="3">
        <f>IFERROR(VLOOKUP(A531,'[1]Recintos Cochabamba'!A$1:T$838,18,FALSE),0)</f>
        <v>0.75384615384615383</v>
      </c>
    </row>
    <row r="532" spans="1:19" x14ac:dyDescent="0.25">
      <c r="A532" s="2">
        <v>2306</v>
      </c>
      <c r="B532" s="2" t="s">
        <v>19</v>
      </c>
      <c r="C532" s="2" t="s">
        <v>1921</v>
      </c>
      <c r="D532" s="2" t="s">
        <v>1922</v>
      </c>
      <c r="E532" s="2" t="s">
        <v>1922</v>
      </c>
      <c r="F532" s="2" t="s">
        <v>1969</v>
      </c>
      <c r="G532" s="2" t="s">
        <v>1924</v>
      </c>
      <c r="H532" s="2" t="s">
        <v>1970</v>
      </c>
      <c r="I532" s="2">
        <v>23</v>
      </c>
      <c r="J532" s="2" t="s">
        <v>24</v>
      </c>
      <c r="K532" s="2">
        <v>-17.400196999999999</v>
      </c>
      <c r="L532" s="2">
        <v>-66.031523000000007</v>
      </c>
      <c r="M532" s="2" t="s">
        <v>25</v>
      </c>
      <c r="N532" s="2">
        <v>2306</v>
      </c>
      <c r="O532" s="2" t="s">
        <v>1971</v>
      </c>
      <c r="P532" s="2">
        <v>5</v>
      </c>
      <c r="Q532" s="2">
        <v>1</v>
      </c>
      <c r="R532" s="2">
        <f>IFERROR(VLOOKUP(A532,'[1]Recintos Cochabamba'!A$1:R$838,17,FALSE),0)</f>
        <v>2</v>
      </c>
      <c r="S532" s="3">
        <f>IFERROR(VLOOKUP(A532,'[1]Recintos Cochabamba'!A$1:T$838,18,FALSE),0)</f>
        <v>0.76271186440677963</v>
      </c>
    </row>
    <row r="533" spans="1:19" x14ac:dyDescent="0.25">
      <c r="A533" s="2">
        <v>2307</v>
      </c>
      <c r="B533" s="2" t="s">
        <v>19</v>
      </c>
      <c r="C533" s="2" t="s">
        <v>1921</v>
      </c>
      <c r="D533" s="2" t="s">
        <v>1922</v>
      </c>
      <c r="E533" s="2" t="s">
        <v>1922</v>
      </c>
      <c r="F533" s="2" t="s">
        <v>1531</v>
      </c>
      <c r="G533" s="2" t="s">
        <v>1950</v>
      </c>
      <c r="H533" s="2" t="s">
        <v>1972</v>
      </c>
      <c r="I533" s="2">
        <v>23</v>
      </c>
      <c r="J533" s="2" t="s">
        <v>24</v>
      </c>
      <c r="K533" s="2">
        <v>-17.418444000000001</v>
      </c>
      <c r="L533" s="2">
        <v>-66.036878000000002</v>
      </c>
      <c r="M533" s="2" t="s">
        <v>25</v>
      </c>
      <c r="N533" s="2">
        <v>2307</v>
      </c>
      <c r="O533" s="2" t="s">
        <v>1973</v>
      </c>
      <c r="P533" s="2">
        <v>2</v>
      </c>
      <c r="Q533" s="2">
        <v>0</v>
      </c>
      <c r="R533" s="2">
        <f>IFERROR(VLOOKUP(A533,'[1]Recintos Cochabamba'!A$1:R$838,17,FALSE),0)</f>
        <v>2</v>
      </c>
      <c r="S533" s="3">
        <f>IFERROR(VLOOKUP(A533,'[1]Recintos Cochabamba'!A$1:T$838,18,FALSE),0)</f>
        <v>0.76071428571428568</v>
      </c>
    </row>
    <row r="534" spans="1:19" x14ac:dyDescent="0.25">
      <c r="A534" s="2">
        <v>2308</v>
      </c>
      <c r="B534" s="2" t="s">
        <v>19</v>
      </c>
      <c r="C534" s="2" t="s">
        <v>1921</v>
      </c>
      <c r="D534" s="2" t="s">
        <v>1922</v>
      </c>
      <c r="E534" s="2" t="s">
        <v>1922</v>
      </c>
      <c r="F534" s="2" t="s">
        <v>1974</v>
      </c>
      <c r="G534" s="2" t="s">
        <v>1950</v>
      </c>
      <c r="H534" s="2" t="s">
        <v>1975</v>
      </c>
      <c r="I534" s="2">
        <v>23</v>
      </c>
      <c r="J534" s="2" t="s">
        <v>24</v>
      </c>
      <c r="K534" s="2">
        <v>-17.424990999999999</v>
      </c>
      <c r="L534" s="2">
        <v>-66.050685999999999</v>
      </c>
      <c r="M534" s="2" t="s">
        <v>25</v>
      </c>
      <c r="N534" s="2">
        <v>2308</v>
      </c>
      <c r="O534" s="2" t="s">
        <v>1976</v>
      </c>
      <c r="P534" s="2">
        <v>2</v>
      </c>
      <c r="Q534" s="2">
        <v>0</v>
      </c>
      <c r="R534" s="2">
        <f>IFERROR(VLOOKUP(A534,'[1]Recintos Cochabamba'!A$1:R$838,17,FALSE),0)</f>
        <v>3</v>
      </c>
      <c r="S534" s="3">
        <f>IFERROR(VLOOKUP(A534,'[1]Recintos Cochabamba'!A$1:T$838,18,FALSE),0)</f>
        <v>0.84702350317378627</v>
      </c>
    </row>
    <row r="535" spans="1:19" x14ac:dyDescent="0.25">
      <c r="A535" s="2">
        <v>2309</v>
      </c>
      <c r="B535" s="2" t="s">
        <v>19</v>
      </c>
      <c r="C535" s="2" t="s">
        <v>1921</v>
      </c>
      <c r="D535" s="2" t="s">
        <v>1922</v>
      </c>
      <c r="E535" s="2" t="s">
        <v>1922</v>
      </c>
      <c r="F535" s="2" t="s">
        <v>1977</v>
      </c>
      <c r="G535" s="2" t="s">
        <v>1978</v>
      </c>
      <c r="H535" s="2" t="s">
        <v>1979</v>
      </c>
      <c r="I535" s="2">
        <v>23</v>
      </c>
      <c r="J535" s="2" t="s">
        <v>24</v>
      </c>
      <c r="K535" s="2">
        <v>-17.413412000000001</v>
      </c>
      <c r="L535" s="2">
        <v>-66.094819999999999</v>
      </c>
      <c r="M535" s="2" t="s">
        <v>25</v>
      </c>
      <c r="N535" s="2">
        <v>2309</v>
      </c>
      <c r="O535" s="2" t="s">
        <v>1980</v>
      </c>
      <c r="P535" s="2">
        <v>3</v>
      </c>
      <c r="Q535" s="2">
        <v>6</v>
      </c>
      <c r="R535" s="2">
        <f>IFERROR(VLOOKUP(A535,'[1]Recintos Cochabamba'!A$1:R$838,17,FALSE),0)</f>
        <v>18</v>
      </c>
      <c r="S535" s="3">
        <f>IFERROR(VLOOKUP(A535,'[1]Recintos Cochabamba'!A$1:T$838,18,FALSE),0)</f>
        <v>0.73947087285452429</v>
      </c>
    </row>
    <row r="536" spans="1:19" x14ac:dyDescent="0.25">
      <c r="A536" s="2">
        <v>2310</v>
      </c>
      <c r="B536" s="2" t="s">
        <v>19</v>
      </c>
      <c r="C536" s="2" t="s">
        <v>1921</v>
      </c>
      <c r="D536" s="2" t="s">
        <v>1922</v>
      </c>
      <c r="E536" s="2" t="s">
        <v>1922</v>
      </c>
      <c r="F536" s="2" t="s">
        <v>1981</v>
      </c>
      <c r="G536" s="2" t="s">
        <v>1924</v>
      </c>
      <c r="H536" s="2" t="s">
        <v>1982</v>
      </c>
      <c r="I536" s="2">
        <v>23</v>
      </c>
      <c r="J536" s="2" t="s">
        <v>24</v>
      </c>
      <c r="K536" s="2">
        <v>-17.401962999999999</v>
      </c>
      <c r="L536" s="2">
        <v>-66.045029999999997</v>
      </c>
      <c r="M536" s="2" t="s">
        <v>25</v>
      </c>
      <c r="N536" s="2">
        <v>2310</v>
      </c>
      <c r="O536" s="2" t="s">
        <v>1983</v>
      </c>
      <c r="P536" s="2">
        <v>5</v>
      </c>
      <c r="Q536" s="2">
        <v>1</v>
      </c>
      <c r="R536" s="2">
        <f>IFERROR(VLOOKUP(A536,'[1]Recintos Cochabamba'!A$1:R$838,17,FALSE),0)</f>
        <v>7</v>
      </c>
      <c r="S536" s="3">
        <v>0</v>
      </c>
    </row>
    <row r="537" spans="1:19" x14ac:dyDescent="0.25">
      <c r="A537" s="2">
        <v>2311</v>
      </c>
      <c r="B537" s="2" t="s">
        <v>19</v>
      </c>
      <c r="C537" s="2" t="s">
        <v>1921</v>
      </c>
      <c r="D537" s="2" t="s">
        <v>1922</v>
      </c>
      <c r="E537" s="2" t="s">
        <v>1922</v>
      </c>
      <c r="F537" s="2" t="s">
        <v>1984</v>
      </c>
      <c r="G537" s="2" t="s">
        <v>1924</v>
      </c>
      <c r="H537" s="2" t="s">
        <v>1985</v>
      </c>
      <c r="I537" s="2">
        <v>23</v>
      </c>
      <c r="J537" s="2" t="s">
        <v>24</v>
      </c>
      <c r="K537" s="2">
        <v>-17.386894999999999</v>
      </c>
      <c r="L537" s="2">
        <v>-66.040329999999997</v>
      </c>
      <c r="M537" s="2" t="s">
        <v>25</v>
      </c>
      <c r="N537" s="2">
        <v>2311</v>
      </c>
      <c r="O537" s="2" t="s">
        <v>1986</v>
      </c>
      <c r="P537" s="2">
        <v>5</v>
      </c>
      <c r="Q537" s="2">
        <v>1</v>
      </c>
      <c r="R537" s="2">
        <f>IFERROR(VLOOKUP(A537,'[1]Recintos Cochabamba'!A$1:R$838,17,FALSE),0)</f>
        <v>0</v>
      </c>
      <c r="S537" s="3">
        <v>0</v>
      </c>
    </row>
    <row r="538" spans="1:19" x14ac:dyDescent="0.25">
      <c r="A538" s="2">
        <v>2312</v>
      </c>
      <c r="B538" s="2" t="s">
        <v>19</v>
      </c>
      <c r="C538" s="2" t="s">
        <v>1921</v>
      </c>
      <c r="D538" s="2" t="s">
        <v>1922</v>
      </c>
      <c r="E538" s="2" t="s">
        <v>1987</v>
      </c>
      <c r="F538" s="2" t="s">
        <v>1988</v>
      </c>
      <c r="G538" s="2" t="s">
        <v>1989</v>
      </c>
      <c r="H538" s="2" t="s">
        <v>1990</v>
      </c>
      <c r="I538" s="2">
        <v>23</v>
      </c>
      <c r="J538" s="2" t="s">
        <v>24</v>
      </c>
      <c r="K538" s="2">
        <v>-17.385899999999999</v>
      </c>
      <c r="L538" s="2">
        <v>-66.1203</v>
      </c>
      <c r="M538" s="2" t="s">
        <v>25</v>
      </c>
      <c r="N538" s="2">
        <v>2312</v>
      </c>
      <c r="O538" s="2" t="s">
        <v>1991</v>
      </c>
      <c r="P538" s="2">
        <v>45</v>
      </c>
      <c r="Q538" s="2">
        <v>2</v>
      </c>
      <c r="R538" s="2">
        <f>IFERROR(VLOOKUP(A538,'[1]Recintos Cochabamba'!A$1:R$838,17,FALSE),0)</f>
        <v>17</v>
      </c>
      <c r="S538" s="3">
        <f>IFERROR(VLOOKUP(A538,'[1]Recintos Cochabamba'!A$1:T$838,18,FALSE),0)</f>
        <v>0.26632316457430971</v>
      </c>
    </row>
    <row r="539" spans="1:19" x14ac:dyDescent="0.25">
      <c r="A539" s="2">
        <v>2313</v>
      </c>
      <c r="B539" s="2" t="s">
        <v>19</v>
      </c>
      <c r="C539" s="2" t="s">
        <v>1921</v>
      </c>
      <c r="D539" s="2" t="s">
        <v>1922</v>
      </c>
      <c r="E539" s="2" t="s">
        <v>1992</v>
      </c>
      <c r="F539" s="2" t="s">
        <v>1993</v>
      </c>
      <c r="G539" s="2" t="s">
        <v>1989</v>
      </c>
      <c r="H539" s="2" t="s">
        <v>1994</v>
      </c>
      <c r="I539" s="2">
        <v>23</v>
      </c>
      <c r="J539" s="2" t="s">
        <v>24</v>
      </c>
      <c r="K539" s="2">
        <v>-17.384799999999998</v>
      </c>
      <c r="L539" s="2">
        <v>-66.109899999999996</v>
      </c>
      <c r="M539" s="2" t="s">
        <v>25</v>
      </c>
      <c r="N539" s="2">
        <v>2313</v>
      </c>
      <c r="O539" s="2" t="s">
        <v>1995</v>
      </c>
      <c r="P539" s="2">
        <v>45</v>
      </c>
      <c r="Q539" s="2">
        <v>2</v>
      </c>
      <c r="R539" s="2">
        <f>IFERROR(VLOOKUP(A539,'[1]Recintos Cochabamba'!A$1:R$838,17,FALSE),0)</f>
        <v>37</v>
      </c>
      <c r="S539" s="3">
        <f>IFERROR(VLOOKUP(A539,'[1]Recintos Cochabamba'!A$1:T$838,18,FALSE),0)</f>
        <v>0.4533883357573828</v>
      </c>
    </row>
    <row r="540" spans="1:19" x14ac:dyDescent="0.25">
      <c r="A540" s="2">
        <v>2314</v>
      </c>
      <c r="B540" s="2" t="s">
        <v>19</v>
      </c>
      <c r="C540" s="2" t="s">
        <v>1921</v>
      </c>
      <c r="D540" s="2" t="s">
        <v>1922</v>
      </c>
      <c r="E540" s="2" t="s">
        <v>1992</v>
      </c>
      <c r="F540" s="2" t="s">
        <v>1996</v>
      </c>
      <c r="G540" s="2" t="s">
        <v>1978</v>
      </c>
      <c r="H540" s="2" t="s">
        <v>1997</v>
      </c>
      <c r="I540" s="2">
        <v>23</v>
      </c>
      <c r="J540" s="2" t="s">
        <v>24</v>
      </c>
      <c r="K540" s="2">
        <v>-17.404900000000001</v>
      </c>
      <c r="L540" s="2">
        <v>-66.115700000000004</v>
      </c>
      <c r="M540" s="2" t="s">
        <v>25</v>
      </c>
      <c r="N540" s="2">
        <v>2314</v>
      </c>
      <c r="O540" s="2" t="s">
        <v>1998</v>
      </c>
      <c r="P540" s="2">
        <v>3</v>
      </c>
      <c r="Q540" s="2">
        <v>6</v>
      </c>
      <c r="R540" s="2">
        <f>IFERROR(VLOOKUP(A540,'[1]Recintos Cochabamba'!A$1:R$838,17,FALSE),0)</f>
        <v>3</v>
      </c>
      <c r="S540" s="3">
        <f>IFERROR(VLOOKUP(A540,'[1]Recintos Cochabamba'!A$1:T$838,18,FALSE),0)</f>
        <v>0.76359987530200302</v>
      </c>
    </row>
    <row r="541" spans="1:19" x14ac:dyDescent="0.25">
      <c r="A541" s="2">
        <v>2315</v>
      </c>
      <c r="B541" s="2" t="s">
        <v>19</v>
      </c>
      <c r="C541" s="2" t="s">
        <v>1921</v>
      </c>
      <c r="D541" s="2" t="s">
        <v>1922</v>
      </c>
      <c r="E541" s="2" t="s">
        <v>1992</v>
      </c>
      <c r="F541" s="2" t="s">
        <v>1999</v>
      </c>
      <c r="G541" s="2" t="s">
        <v>1978</v>
      </c>
      <c r="H541" s="2" t="s">
        <v>2000</v>
      </c>
      <c r="I541" s="2">
        <v>23</v>
      </c>
      <c r="J541" s="2" t="s">
        <v>24</v>
      </c>
      <c r="K541" s="2">
        <v>-17.403700000000001</v>
      </c>
      <c r="L541" s="2">
        <v>-66.100999999999999</v>
      </c>
      <c r="M541" s="2" t="s">
        <v>25</v>
      </c>
      <c r="N541" s="2">
        <v>2315</v>
      </c>
      <c r="O541" s="2" t="s">
        <v>2001</v>
      </c>
      <c r="P541" s="2">
        <v>3</v>
      </c>
      <c r="Q541" s="2">
        <v>6</v>
      </c>
      <c r="R541" s="2">
        <f>IFERROR(VLOOKUP(A541,'[1]Recintos Cochabamba'!A$1:R$838,17,FALSE),0)</f>
        <v>25</v>
      </c>
      <c r="S541" s="3">
        <f>IFERROR(VLOOKUP(A541,'[1]Recintos Cochabamba'!A$1:T$838,18,FALSE),0)</f>
        <v>0.70528563449715631</v>
      </c>
    </row>
    <row r="542" spans="1:19" x14ac:dyDescent="0.25">
      <c r="A542" s="2">
        <v>2316</v>
      </c>
      <c r="B542" s="2" t="s">
        <v>19</v>
      </c>
      <c r="C542" s="2" t="s">
        <v>1921</v>
      </c>
      <c r="D542" s="2" t="s">
        <v>1922</v>
      </c>
      <c r="E542" s="2" t="s">
        <v>1992</v>
      </c>
      <c r="F542" s="2" t="s">
        <v>2002</v>
      </c>
      <c r="G542" s="2" t="s">
        <v>1989</v>
      </c>
      <c r="H542" s="2" t="s">
        <v>2003</v>
      </c>
      <c r="I542" s="2">
        <v>23</v>
      </c>
      <c r="J542" s="2" t="s">
        <v>24</v>
      </c>
      <c r="K542" s="2">
        <v>-17.3827</v>
      </c>
      <c r="L542" s="2">
        <v>-66.109399999999994</v>
      </c>
      <c r="M542" s="2" t="s">
        <v>25</v>
      </c>
      <c r="N542" s="2">
        <v>2316</v>
      </c>
      <c r="O542" s="2" t="s">
        <v>2004</v>
      </c>
      <c r="P542" s="2">
        <v>45</v>
      </c>
      <c r="Q542" s="2">
        <v>2</v>
      </c>
      <c r="R542" s="2">
        <f>IFERROR(VLOOKUP(A542,'[1]Recintos Cochabamba'!A$1:R$838,17,FALSE),0)</f>
        <v>21</v>
      </c>
      <c r="S542" s="3">
        <f>IFERROR(VLOOKUP(A542,'[1]Recintos Cochabamba'!A$1:T$838,18,FALSE),0)</f>
        <v>0.44820352082764614</v>
      </c>
    </row>
    <row r="543" spans="1:19" x14ac:dyDescent="0.25">
      <c r="A543" s="2">
        <v>2317</v>
      </c>
      <c r="B543" s="2" t="s">
        <v>19</v>
      </c>
      <c r="C543" s="2" t="s">
        <v>1921</v>
      </c>
      <c r="D543" s="2" t="s">
        <v>1922</v>
      </c>
      <c r="E543" s="2" t="s">
        <v>1992</v>
      </c>
      <c r="F543" s="2" t="s">
        <v>2005</v>
      </c>
      <c r="G543" s="2" t="s">
        <v>1989</v>
      </c>
      <c r="H543" s="2" t="s">
        <v>2006</v>
      </c>
      <c r="I543" s="2">
        <v>23</v>
      </c>
      <c r="J543" s="2" t="s">
        <v>24</v>
      </c>
      <c r="K543" s="2">
        <v>-17.385899999999999</v>
      </c>
      <c r="L543" s="2">
        <v>-66.101500000000001</v>
      </c>
      <c r="M543" s="2" t="s">
        <v>25</v>
      </c>
      <c r="N543" s="2">
        <v>2317</v>
      </c>
      <c r="O543" s="2" t="s">
        <v>2007</v>
      </c>
      <c r="P543" s="2">
        <v>45</v>
      </c>
      <c r="Q543" s="2">
        <v>2</v>
      </c>
      <c r="R543" s="2">
        <f>IFERROR(VLOOKUP(A543,'[1]Recintos Cochabamba'!A$1:R$838,17,FALSE),0)</f>
        <v>9</v>
      </c>
      <c r="S543" s="3">
        <f>IFERROR(VLOOKUP(A543,'[1]Recintos Cochabamba'!A$1:T$838,18,FALSE),0)</f>
        <v>0.24035920399255484</v>
      </c>
    </row>
    <row r="544" spans="1:19" x14ac:dyDescent="0.25">
      <c r="A544" s="2">
        <v>2318</v>
      </c>
      <c r="B544" s="2" t="s">
        <v>19</v>
      </c>
      <c r="C544" s="2" t="s">
        <v>1921</v>
      </c>
      <c r="D544" s="2" t="s">
        <v>1922</v>
      </c>
      <c r="E544" s="2" t="s">
        <v>1992</v>
      </c>
      <c r="F544" s="2" t="s">
        <v>2008</v>
      </c>
      <c r="G544" s="2" t="s">
        <v>1989</v>
      </c>
      <c r="H544" s="2" t="s">
        <v>2009</v>
      </c>
      <c r="I544" s="2">
        <v>23</v>
      </c>
      <c r="J544" s="2" t="s">
        <v>24</v>
      </c>
      <c r="K544" s="2">
        <v>-17.374983</v>
      </c>
      <c r="L544" s="2">
        <v>-66.100451000000007</v>
      </c>
      <c r="M544" s="2" t="s">
        <v>25</v>
      </c>
      <c r="N544" s="2">
        <v>2318</v>
      </c>
      <c r="O544" s="2" t="s">
        <v>2010</v>
      </c>
      <c r="P544" s="2">
        <v>45</v>
      </c>
      <c r="Q544" s="2">
        <v>2</v>
      </c>
      <c r="R544" s="2">
        <f>IFERROR(VLOOKUP(A544,'[1]Recintos Cochabamba'!A$1:R$838,17,FALSE),0)</f>
        <v>6</v>
      </c>
      <c r="S544" s="3">
        <f>IFERROR(VLOOKUP(A544,'[1]Recintos Cochabamba'!A$1:T$838,18,FALSE),0)</f>
        <v>0.36773066578510238</v>
      </c>
    </row>
    <row r="545" spans="1:19" x14ac:dyDescent="0.25">
      <c r="A545" s="2">
        <v>2319</v>
      </c>
      <c r="B545" s="2" t="s">
        <v>19</v>
      </c>
      <c r="C545" s="2" t="s">
        <v>1921</v>
      </c>
      <c r="D545" s="2" t="s">
        <v>1922</v>
      </c>
      <c r="E545" s="2" t="s">
        <v>1992</v>
      </c>
      <c r="F545" s="2" t="s">
        <v>2011</v>
      </c>
      <c r="G545" s="2" t="s">
        <v>1954</v>
      </c>
      <c r="H545" s="2" t="s">
        <v>2012</v>
      </c>
      <c r="I545" s="2">
        <v>23</v>
      </c>
      <c r="J545" s="2" t="s">
        <v>24</v>
      </c>
      <c r="K545" s="2">
        <v>-17.368127000000001</v>
      </c>
      <c r="L545" s="2">
        <v>-66.081393000000006</v>
      </c>
      <c r="M545" s="2" t="s">
        <v>776</v>
      </c>
      <c r="N545" s="2">
        <v>2319</v>
      </c>
      <c r="O545" s="2" t="s">
        <v>2013</v>
      </c>
      <c r="P545" s="2">
        <v>6</v>
      </c>
      <c r="Q545" s="2">
        <v>4</v>
      </c>
      <c r="R545" s="2">
        <f>IFERROR(VLOOKUP(A545,'[1]Recintos Cochabamba'!A$1:R$838,17,FALSE),0)</f>
        <v>1</v>
      </c>
      <c r="S545" s="3">
        <f>IFERROR(VLOOKUP(A545,'[1]Recintos Cochabamba'!A$1:T$838,18,FALSE),0)</f>
        <v>0.7831325301204819</v>
      </c>
    </row>
    <row r="546" spans="1:19" x14ac:dyDescent="0.25">
      <c r="A546" s="2">
        <v>2320</v>
      </c>
      <c r="B546" s="2" t="s">
        <v>19</v>
      </c>
      <c r="C546" s="2" t="s">
        <v>1921</v>
      </c>
      <c r="D546" s="2" t="s">
        <v>1922</v>
      </c>
      <c r="E546" s="2" t="s">
        <v>1992</v>
      </c>
      <c r="F546" s="2" t="s">
        <v>2014</v>
      </c>
      <c r="G546" s="2" t="s">
        <v>1989</v>
      </c>
      <c r="H546" s="2" t="s">
        <v>2015</v>
      </c>
      <c r="I546" s="2">
        <v>23</v>
      </c>
      <c r="J546" s="2" t="s">
        <v>24</v>
      </c>
      <c r="K546" s="2">
        <v>-17.365852</v>
      </c>
      <c r="L546" s="2">
        <v>-66.100471999999996</v>
      </c>
      <c r="M546" s="2" t="s">
        <v>25</v>
      </c>
      <c r="N546" s="2">
        <v>2320</v>
      </c>
      <c r="O546" s="2" t="s">
        <v>2016</v>
      </c>
      <c r="P546" s="2">
        <v>45</v>
      </c>
      <c r="Q546" s="2">
        <v>2</v>
      </c>
      <c r="R546" s="2">
        <f>IFERROR(VLOOKUP(A546,'[1]Recintos Cochabamba'!A$1:R$838,17,FALSE),0)</f>
        <v>1</v>
      </c>
      <c r="S546" s="3">
        <f>IFERROR(VLOOKUP(A546,'[1]Recintos Cochabamba'!A$1:T$838,18,FALSE),0)</f>
        <v>0.88148148148148153</v>
      </c>
    </row>
    <row r="547" spans="1:19" x14ac:dyDescent="0.25">
      <c r="A547" s="2">
        <v>2321</v>
      </c>
      <c r="B547" s="2" t="s">
        <v>19</v>
      </c>
      <c r="C547" s="2" t="s">
        <v>1921</v>
      </c>
      <c r="D547" s="2" t="s">
        <v>1922</v>
      </c>
      <c r="E547" s="2" t="s">
        <v>2017</v>
      </c>
      <c r="F547" s="2" t="s">
        <v>2018</v>
      </c>
      <c r="G547" s="2" t="s">
        <v>2019</v>
      </c>
      <c r="H547" s="2" t="s">
        <v>2020</v>
      </c>
      <c r="I547" s="2">
        <v>23</v>
      </c>
      <c r="J547" s="2" t="s">
        <v>24</v>
      </c>
      <c r="K547" s="2">
        <v>-17.372199999999999</v>
      </c>
      <c r="L547" s="2">
        <v>-66.130099999999999</v>
      </c>
      <c r="M547" s="2" t="s">
        <v>25</v>
      </c>
      <c r="N547" s="2">
        <v>2321</v>
      </c>
      <c r="O547" s="2" t="s">
        <v>2021</v>
      </c>
      <c r="P547" s="2">
        <v>41</v>
      </c>
      <c r="Q547" s="2">
        <v>1</v>
      </c>
      <c r="R547" s="2">
        <f>IFERROR(VLOOKUP(A547,'[1]Recintos Cochabamba'!A$1:R$838,17,FALSE),0)</f>
        <v>17</v>
      </c>
      <c r="S547" s="3">
        <f>IFERROR(VLOOKUP(A547,'[1]Recintos Cochabamba'!A$1:T$838,18,FALSE),0)</f>
        <v>0.33791752392107738</v>
      </c>
    </row>
    <row r="548" spans="1:19" x14ac:dyDescent="0.25">
      <c r="A548" s="2">
        <v>2322</v>
      </c>
      <c r="B548" s="2" t="s">
        <v>19</v>
      </c>
      <c r="C548" s="2" t="s">
        <v>1921</v>
      </c>
      <c r="D548" s="2" t="s">
        <v>1922</v>
      </c>
      <c r="E548" s="2" t="s">
        <v>2017</v>
      </c>
      <c r="F548" s="2" t="s">
        <v>2022</v>
      </c>
      <c r="G548" s="2" t="s">
        <v>2019</v>
      </c>
      <c r="H548" s="2" t="s">
        <v>2020</v>
      </c>
      <c r="I548" s="2">
        <v>23</v>
      </c>
      <c r="J548" s="2" t="s">
        <v>24</v>
      </c>
      <c r="K548" s="2">
        <v>-17.372399999999999</v>
      </c>
      <c r="L548" s="2">
        <v>-66.130899999999997</v>
      </c>
      <c r="M548" s="2" t="s">
        <v>25</v>
      </c>
      <c r="N548" s="2">
        <v>2322</v>
      </c>
      <c r="O548" s="2" t="s">
        <v>2023</v>
      </c>
      <c r="P548" s="2">
        <v>41</v>
      </c>
      <c r="Q548" s="2">
        <v>1</v>
      </c>
      <c r="R548" s="2">
        <f>IFERROR(VLOOKUP(A548,'[1]Recintos Cochabamba'!A$1:R$838,17,FALSE),0)</f>
        <v>13</v>
      </c>
      <c r="S548" s="3">
        <f>IFERROR(VLOOKUP(A548,'[1]Recintos Cochabamba'!A$1:T$838,18,FALSE),0)</f>
        <v>0.36915002319250095</v>
      </c>
    </row>
    <row r="549" spans="1:19" x14ac:dyDescent="0.25">
      <c r="A549" s="2">
        <v>2323</v>
      </c>
      <c r="B549" s="2" t="s">
        <v>19</v>
      </c>
      <c r="C549" s="2" t="s">
        <v>1921</v>
      </c>
      <c r="D549" s="2" t="s">
        <v>1922</v>
      </c>
      <c r="E549" s="2" t="s">
        <v>2017</v>
      </c>
      <c r="F549" s="2" t="s">
        <v>2024</v>
      </c>
      <c r="G549" s="2" t="s">
        <v>2019</v>
      </c>
      <c r="H549" s="2" t="s">
        <v>2025</v>
      </c>
      <c r="I549" s="2">
        <v>23</v>
      </c>
      <c r="J549" s="2" t="s">
        <v>24</v>
      </c>
      <c r="K549" s="2">
        <v>-17.3735</v>
      </c>
      <c r="L549" s="2">
        <v>-66.117999999999995</v>
      </c>
      <c r="M549" s="2" t="s">
        <v>776</v>
      </c>
      <c r="N549" s="2">
        <v>2323</v>
      </c>
      <c r="O549" s="2" t="s">
        <v>2026</v>
      </c>
      <c r="P549" s="2">
        <v>41</v>
      </c>
      <c r="Q549" s="2">
        <v>1</v>
      </c>
      <c r="R549" s="2">
        <f>IFERROR(VLOOKUP(A549,'[1]Recintos Cochabamba'!A$1:R$838,17,FALSE),0)</f>
        <v>15</v>
      </c>
      <c r="S549" s="3">
        <f>IFERROR(VLOOKUP(A549,'[1]Recintos Cochabamba'!A$1:T$838,18,FALSE),0)</f>
        <v>0.34446461439674597</v>
      </c>
    </row>
    <row r="550" spans="1:19" x14ac:dyDescent="0.25">
      <c r="A550" s="2">
        <v>2324</v>
      </c>
      <c r="B550" s="2" t="s">
        <v>19</v>
      </c>
      <c r="C550" s="2" t="s">
        <v>1921</v>
      </c>
      <c r="D550" s="2" t="s">
        <v>1922</v>
      </c>
      <c r="E550" s="2" t="s">
        <v>2017</v>
      </c>
      <c r="F550" s="2" t="s">
        <v>2027</v>
      </c>
      <c r="G550" s="2" t="s">
        <v>2019</v>
      </c>
      <c r="H550" s="2" t="s">
        <v>2028</v>
      </c>
      <c r="I550" s="2">
        <v>23</v>
      </c>
      <c r="J550" s="2" t="s">
        <v>24</v>
      </c>
      <c r="K550" s="2">
        <v>-17.3767</v>
      </c>
      <c r="L550" s="2">
        <v>-66.119</v>
      </c>
      <c r="M550" s="2" t="s">
        <v>776</v>
      </c>
      <c r="N550" s="2">
        <v>2324</v>
      </c>
      <c r="O550" s="2" t="s">
        <v>2029</v>
      </c>
      <c r="P550" s="2">
        <v>41</v>
      </c>
      <c r="Q550" s="2">
        <v>1</v>
      </c>
      <c r="R550" s="2">
        <f>IFERROR(VLOOKUP(A550,'[1]Recintos Cochabamba'!A$1:R$838,17,FALSE),0)</f>
        <v>8</v>
      </c>
      <c r="S550" s="3">
        <f>IFERROR(VLOOKUP(A550,'[1]Recintos Cochabamba'!A$1:T$838,18,FALSE),0)</f>
        <v>0.36273274364959679</v>
      </c>
    </row>
    <row r="551" spans="1:19" x14ac:dyDescent="0.25">
      <c r="A551" s="2">
        <v>2325</v>
      </c>
      <c r="B551" s="2" t="s">
        <v>19</v>
      </c>
      <c r="C551" s="2" t="s">
        <v>1921</v>
      </c>
      <c r="D551" s="2" t="s">
        <v>1922</v>
      </c>
      <c r="E551" s="2" t="s">
        <v>2017</v>
      </c>
      <c r="F551" s="2" t="s">
        <v>2030</v>
      </c>
      <c r="G551" s="2" t="s">
        <v>2019</v>
      </c>
      <c r="H551" s="2" t="s">
        <v>2031</v>
      </c>
      <c r="I551" s="2">
        <v>23</v>
      </c>
      <c r="J551" s="2" t="s">
        <v>24</v>
      </c>
      <c r="K551" s="2">
        <v>-17.376200000000001</v>
      </c>
      <c r="L551" s="2">
        <v>-66.118399999999994</v>
      </c>
      <c r="M551" s="2" t="s">
        <v>776</v>
      </c>
      <c r="N551" s="2">
        <v>2325</v>
      </c>
      <c r="O551" s="2" t="s">
        <v>2032</v>
      </c>
      <c r="P551" s="2">
        <v>41</v>
      </c>
      <c r="Q551" s="2">
        <v>1</v>
      </c>
      <c r="R551" s="2">
        <f>IFERROR(VLOOKUP(A551,'[1]Recintos Cochabamba'!A$1:R$838,17,FALSE),0)</f>
        <v>14</v>
      </c>
      <c r="S551" s="3">
        <f>IFERROR(VLOOKUP(A551,'[1]Recintos Cochabamba'!A$1:T$838,18,FALSE),0)</f>
        <v>0.31697612618935095</v>
      </c>
    </row>
    <row r="552" spans="1:19" x14ac:dyDescent="0.25">
      <c r="A552" s="2">
        <v>2326</v>
      </c>
      <c r="B552" s="2" t="s">
        <v>19</v>
      </c>
      <c r="C552" s="2" t="s">
        <v>1921</v>
      </c>
      <c r="D552" s="2" t="s">
        <v>1922</v>
      </c>
      <c r="E552" s="2" t="s">
        <v>2017</v>
      </c>
      <c r="F552" s="2" t="s">
        <v>2033</v>
      </c>
      <c r="G552" s="2" t="s">
        <v>2019</v>
      </c>
      <c r="H552" s="2" t="s">
        <v>2034</v>
      </c>
      <c r="I552" s="2">
        <v>23</v>
      </c>
      <c r="J552" s="2" t="s">
        <v>24</v>
      </c>
      <c r="K552" s="2">
        <v>-17.370699999999999</v>
      </c>
      <c r="L552" s="2">
        <v>-66.123900000000006</v>
      </c>
      <c r="M552" s="2" t="s">
        <v>776</v>
      </c>
      <c r="N552" s="2">
        <v>2326</v>
      </c>
      <c r="O552" s="2" t="s">
        <v>2035</v>
      </c>
      <c r="P552" s="2">
        <v>41</v>
      </c>
      <c r="Q552" s="2">
        <v>1</v>
      </c>
      <c r="R552" s="2">
        <f>IFERROR(VLOOKUP(A552,'[1]Recintos Cochabamba'!A$1:R$838,17,FALSE),0)</f>
        <v>11</v>
      </c>
      <c r="S552" s="3">
        <f>IFERROR(VLOOKUP(A552,'[1]Recintos Cochabamba'!A$1:T$838,18,FALSE),0)</f>
        <v>0.33619209489124052</v>
      </c>
    </row>
    <row r="553" spans="1:19" x14ac:dyDescent="0.25">
      <c r="A553" s="2">
        <v>2327</v>
      </c>
      <c r="B553" s="2" t="s">
        <v>19</v>
      </c>
      <c r="C553" s="2" t="s">
        <v>1921</v>
      </c>
      <c r="D553" s="2" t="s">
        <v>1922</v>
      </c>
      <c r="E553" s="2" t="s">
        <v>2036</v>
      </c>
      <c r="F553" s="2" t="s">
        <v>2037</v>
      </c>
      <c r="G553" s="2" t="s">
        <v>1989</v>
      </c>
      <c r="H553" s="2" t="s">
        <v>2036</v>
      </c>
      <c r="I553" s="2">
        <v>23</v>
      </c>
      <c r="J553" s="2" t="s">
        <v>24</v>
      </c>
      <c r="K553" s="2">
        <v>-17.379200000000001</v>
      </c>
      <c r="L553" s="2">
        <v>-66.093500000000006</v>
      </c>
      <c r="M553" s="2" t="s">
        <v>776</v>
      </c>
      <c r="N553" s="2">
        <v>2327</v>
      </c>
      <c r="O553" s="2" t="s">
        <v>2038</v>
      </c>
      <c r="P553" s="2">
        <v>45</v>
      </c>
      <c r="Q553" s="2">
        <v>2</v>
      </c>
      <c r="R553" s="2">
        <f>IFERROR(VLOOKUP(A553,'[1]Recintos Cochabamba'!A$1:R$838,17,FALSE),0)</f>
        <v>40</v>
      </c>
      <c r="S553" s="3">
        <f>IFERROR(VLOOKUP(A553,'[1]Recintos Cochabamba'!A$1:T$838,18,FALSE),0)</f>
        <v>0.37808878456975298</v>
      </c>
    </row>
    <row r="554" spans="1:19" x14ac:dyDescent="0.25">
      <c r="A554" s="2">
        <v>2328</v>
      </c>
      <c r="B554" s="2" t="s">
        <v>19</v>
      </c>
      <c r="C554" s="2" t="s">
        <v>1921</v>
      </c>
      <c r="D554" s="2" t="s">
        <v>1922</v>
      </c>
      <c r="E554" s="2" t="s">
        <v>2039</v>
      </c>
      <c r="F554" s="2" t="s">
        <v>2040</v>
      </c>
      <c r="G554" s="2" t="s">
        <v>1954</v>
      </c>
      <c r="H554" s="2" t="s">
        <v>2041</v>
      </c>
      <c r="I554" s="2">
        <v>23</v>
      </c>
      <c r="J554" s="2" t="s">
        <v>24</v>
      </c>
      <c r="K554" s="2">
        <v>-17.383700000000001</v>
      </c>
      <c r="L554" s="2">
        <v>-66.076999999999998</v>
      </c>
      <c r="M554" s="2" t="s">
        <v>776</v>
      </c>
      <c r="N554" s="2">
        <v>2328</v>
      </c>
      <c r="O554" s="2" t="s">
        <v>2042</v>
      </c>
      <c r="P554" s="2">
        <v>6</v>
      </c>
      <c r="Q554" s="2">
        <v>4</v>
      </c>
      <c r="R554" s="2">
        <f>IFERROR(VLOOKUP(A554,'[1]Recintos Cochabamba'!A$1:R$838,17,FALSE),0)</f>
        <v>29</v>
      </c>
      <c r="S554" s="3">
        <f>IFERROR(VLOOKUP(A554,'[1]Recintos Cochabamba'!A$1:T$838,18,FALSE),0)</f>
        <v>0.47981077985257736</v>
      </c>
    </row>
    <row r="555" spans="1:19" x14ac:dyDescent="0.25">
      <c r="A555" s="2">
        <v>2329</v>
      </c>
      <c r="B555" s="2" t="s">
        <v>19</v>
      </c>
      <c r="C555" s="2" t="s">
        <v>1921</v>
      </c>
      <c r="D555" s="2" t="s">
        <v>1922</v>
      </c>
      <c r="E555" s="2" t="s">
        <v>2039</v>
      </c>
      <c r="F555" s="2" t="s">
        <v>2043</v>
      </c>
      <c r="G555" s="2" t="s">
        <v>1954</v>
      </c>
      <c r="H555" s="2" t="s">
        <v>2044</v>
      </c>
      <c r="I555" s="2">
        <v>23</v>
      </c>
      <c r="J555" s="2" t="s">
        <v>24</v>
      </c>
      <c r="K555" s="2">
        <v>-17.404</v>
      </c>
      <c r="L555" s="2">
        <v>-66.0792</v>
      </c>
      <c r="M555" s="2" t="s">
        <v>25</v>
      </c>
      <c r="N555" s="2">
        <v>2329</v>
      </c>
      <c r="O555" s="2" t="s">
        <v>2045</v>
      </c>
      <c r="P555" s="2">
        <v>6</v>
      </c>
      <c r="Q555" s="2">
        <v>4</v>
      </c>
      <c r="R555" s="2">
        <f>IFERROR(VLOOKUP(A555,'[1]Recintos Cochabamba'!A$1:R$838,17,FALSE),0)</f>
        <v>15</v>
      </c>
      <c r="S555" s="3">
        <f>IFERROR(VLOOKUP(A555,'[1]Recintos Cochabamba'!A$1:T$838,18,FALSE),0)</f>
        <v>0.67364867125243821</v>
      </c>
    </row>
    <row r="556" spans="1:19" x14ac:dyDescent="0.25">
      <c r="A556" s="2">
        <v>2330</v>
      </c>
      <c r="B556" s="2" t="s">
        <v>19</v>
      </c>
      <c r="C556" s="2" t="s">
        <v>1921</v>
      </c>
      <c r="D556" s="2" t="s">
        <v>1922</v>
      </c>
      <c r="E556" s="2" t="s">
        <v>2039</v>
      </c>
      <c r="F556" s="2" t="s">
        <v>2046</v>
      </c>
      <c r="G556" s="2" t="s">
        <v>1954</v>
      </c>
      <c r="H556" s="2" t="s">
        <v>2047</v>
      </c>
      <c r="I556" s="2">
        <v>23</v>
      </c>
      <c r="J556" s="2" t="s">
        <v>24</v>
      </c>
      <c r="K556" s="2">
        <v>-17.389399999999998</v>
      </c>
      <c r="L556" s="2">
        <v>-66.072999999999993</v>
      </c>
      <c r="M556" s="2" t="s">
        <v>25</v>
      </c>
      <c r="N556" s="2">
        <v>2330</v>
      </c>
      <c r="O556" s="2" t="s">
        <v>2048</v>
      </c>
      <c r="P556" s="2">
        <v>6</v>
      </c>
      <c r="Q556" s="2">
        <v>4</v>
      </c>
      <c r="R556" s="2">
        <f>IFERROR(VLOOKUP(A556,'[1]Recintos Cochabamba'!A$1:R$838,17,FALSE),0)</f>
        <v>8</v>
      </c>
      <c r="S556" s="3">
        <f>IFERROR(VLOOKUP(A556,'[1]Recintos Cochabamba'!A$1:T$838,18,FALSE),0)</f>
        <v>0.41175371188639825</v>
      </c>
    </row>
    <row r="557" spans="1:19" x14ac:dyDescent="0.25">
      <c r="A557" s="2">
        <v>2331</v>
      </c>
      <c r="B557" s="2" t="s">
        <v>19</v>
      </c>
      <c r="C557" s="2" t="s">
        <v>1921</v>
      </c>
      <c r="D557" s="2" t="s">
        <v>1922</v>
      </c>
      <c r="E557" s="2" t="s">
        <v>2039</v>
      </c>
      <c r="F557" s="2" t="s">
        <v>2049</v>
      </c>
      <c r="G557" s="2" t="s">
        <v>1954</v>
      </c>
      <c r="H557" s="2" t="s">
        <v>2050</v>
      </c>
      <c r="I557" s="2">
        <v>23</v>
      </c>
      <c r="J557" s="2" t="s">
        <v>24</v>
      </c>
      <c r="K557" s="2">
        <v>-17.393433000000002</v>
      </c>
      <c r="L557" s="2">
        <v>-66.073948999999999</v>
      </c>
      <c r="M557" s="2" t="s">
        <v>776</v>
      </c>
      <c r="N557" s="2">
        <v>2331</v>
      </c>
      <c r="O557" s="2" t="s">
        <v>2051</v>
      </c>
      <c r="P557" s="2">
        <v>6</v>
      </c>
      <c r="Q557" s="2">
        <v>4</v>
      </c>
      <c r="R557" s="2">
        <f>IFERROR(VLOOKUP(A557,'[1]Recintos Cochabamba'!A$1:R$838,17,FALSE),0)</f>
        <v>1</v>
      </c>
      <c r="S557" s="3">
        <v>0</v>
      </c>
    </row>
    <row r="558" spans="1:19" x14ac:dyDescent="0.25">
      <c r="A558" s="2">
        <v>2332</v>
      </c>
      <c r="B558" s="2" t="s">
        <v>19</v>
      </c>
      <c r="C558" s="2" t="s">
        <v>1921</v>
      </c>
      <c r="D558" s="2" t="s">
        <v>1922</v>
      </c>
      <c r="E558" s="2" t="s">
        <v>2052</v>
      </c>
      <c r="F558" s="2" t="s">
        <v>2053</v>
      </c>
      <c r="G558" s="2" t="s">
        <v>1954</v>
      </c>
      <c r="H558" s="2" t="s">
        <v>2054</v>
      </c>
      <c r="I558" s="2">
        <v>23</v>
      </c>
      <c r="J558" s="2" t="s">
        <v>24</v>
      </c>
      <c r="K558" s="2">
        <v>-17.393899999999999</v>
      </c>
      <c r="L558" s="2">
        <v>-66.059100000000001</v>
      </c>
      <c r="M558" s="2" t="s">
        <v>25</v>
      </c>
      <c r="N558" s="2">
        <v>2332</v>
      </c>
      <c r="O558" s="2" t="s">
        <v>2055</v>
      </c>
      <c r="P558" s="2">
        <v>6</v>
      </c>
      <c r="Q558" s="2">
        <v>4</v>
      </c>
      <c r="R558" s="2">
        <f>IFERROR(VLOOKUP(A558,'[1]Recintos Cochabamba'!A$1:R$838,17,FALSE),0)</f>
        <v>40</v>
      </c>
      <c r="S558" s="3">
        <f>IFERROR(VLOOKUP(A558,'[1]Recintos Cochabamba'!A$1:T$838,18,FALSE),0)</f>
        <v>0.69099649877053293</v>
      </c>
    </row>
    <row r="559" spans="1:19" x14ac:dyDescent="0.25">
      <c r="A559" s="2">
        <v>2333</v>
      </c>
      <c r="B559" s="2" t="s">
        <v>19</v>
      </c>
      <c r="C559" s="2" t="s">
        <v>1921</v>
      </c>
      <c r="D559" s="2" t="s">
        <v>1922</v>
      </c>
      <c r="E559" s="2" t="s">
        <v>2056</v>
      </c>
      <c r="F559" s="2" t="s">
        <v>2057</v>
      </c>
      <c r="G559" s="2" t="s">
        <v>2058</v>
      </c>
      <c r="H559" s="2" t="s">
        <v>2056</v>
      </c>
      <c r="I559" s="2">
        <v>23</v>
      </c>
      <c r="J559" s="2" t="s">
        <v>24</v>
      </c>
      <c r="K559" s="2">
        <v>-17.343800000000002</v>
      </c>
      <c r="L559" s="2">
        <v>-66.012600000000006</v>
      </c>
      <c r="M559" s="2" t="s">
        <v>776</v>
      </c>
      <c r="N559" s="2">
        <v>2333</v>
      </c>
      <c r="O559" s="2" t="s">
        <v>2059</v>
      </c>
      <c r="P559" s="2">
        <v>9</v>
      </c>
      <c r="Q559" s="2">
        <v>5</v>
      </c>
      <c r="R559" s="2">
        <f>IFERROR(VLOOKUP(A559,'[1]Recintos Cochabamba'!A$1:R$838,17,FALSE),0)</f>
        <v>4</v>
      </c>
      <c r="S559" s="3">
        <f>IFERROR(VLOOKUP(A559,'[1]Recintos Cochabamba'!A$1:T$838,18,FALSE),0)</f>
        <v>0.98475512903206841</v>
      </c>
    </row>
    <row r="560" spans="1:19" x14ac:dyDescent="0.25">
      <c r="A560" s="2">
        <v>2334</v>
      </c>
      <c r="B560" s="2" t="s">
        <v>19</v>
      </c>
      <c r="C560" s="2" t="s">
        <v>1921</v>
      </c>
      <c r="D560" s="2" t="s">
        <v>1922</v>
      </c>
      <c r="E560" s="2" t="s">
        <v>2060</v>
      </c>
      <c r="F560" s="2" t="s">
        <v>2061</v>
      </c>
      <c r="G560" s="2" t="s">
        <v>1950</v>
      </c>
      <c r="H560" s="2" t="s">
        <v>2060</v>
      </c>
      <c r="I560" s="2">
        <v>23</v>
      </c>
      <c r="J560" s="2" t="s">
        <v>24</v>
      </c>
      <c r="K560" s="2">
        <v>-17.411899999999999</v>
      </c>
      <c r="L560" s="2">
        <v>-66.026600000000002</v>
      </c>
      <c r="M560" s="2" t="s">
        <v>776</v>
      </c>
      <c r="N560" s="2">
        <v>2334</v>
      </c>
      <c r="O560" s="2" t="s">
        <v>2062</v>
      </c>
      <c r="P560" s="2">
        <v>2</v>
      </c>
      <c r="Q560" s="2">
        <v>0</v>
      </c>
      <c r="R560" s="2">
        <f>IFERROR(VLOOKUP(A560,'[1]Recintos Cochabamba'!A$1:R$838,17,FALSE),0)</f>
        <v>14</v>
      </c>
      <c r="S560" s="3">
        <v>0</v>
      </c>
    </row>
    <row r="561" spans="1:19" x14ac:dyDescent="0.25">
      <c r="A561" s="2">
        <v>2335</v>
      </c>
      <c r="B561" s="2" t="s">
        <v>19</v>
      </c>
      <c r="C561" s="2" t="s">
        <v>1921</v>
      </c>
      <c r="D561" s="2" t="s">
        <v>1922</v>
      </c>
      <c r="E561" s="2" t="s">
        <v>2060</v>
      </c>
      <c r="F561" s="2" t="s">
        <v>2063</v>
      </c>
      <c r="G561" s="2" t="s">
        <v>1950</v>
      </c>
      <c r="H561" s="2" t="s">
        <v>2064</v>
      </c>
      <c r="I561" s="2">
        <v>23</v>
      </c>
      <c r="J561" s="2" t="s">
        <v>24</v>
      </c>
      <c r="K561" s="2">
        <v>-17.422291000000001</v>
      </c>
      <c r="L561" s="2">
        <v>-65.997034999999997</v>
      </c>
      <c r="M561" s="2" t="s">
        <v>25</v>
      </c>
      <c r="N561" s="2">
        <v>2335</v>
      </c>
      <c r="O561" s="2" t="s">
        <v>2065</v>
      </c>
      <c r="P561" s="2">
        <v>2</v>
      </c>
      <c r="Q561" s="2">
        <v>0</v>
      </c>
      <c r="R561" s="2">
        <f>IFERROR(VLOOKUP(A561,'[1]Recintos Cochabamba'!A$1:R$838,17,FALSE),0)</f>
        <v>9</v>
      </c>
      <c r="S561" s="3">
        <f>IFERROR(VLOOKUP(A561,'[1]Recintos Cochabamba'!A$1:T$838,18,FALSE),0)</f>
        <v>0.89852208735514882</v>
      </c>
    </row>
    <row r="562" spans="1:19" x14ac:dyDescent="0.25">
      <c r="A562" s="2">
        <v>2336</v>
      </c>
      <c r="B562" s="2" t="s">
        <v>19</v>
      </c>
      <c r="C562" s="2" t="s">
        <v>1921</v>
      </c>
      <c r="D562" s="2" t="s">
        <v>1922</v>
      </c>
      <c r="E562" s="2" t="s">
        <v>2060</v>
      </c>
      <c r="F562" s="2" t="s">
        <v>2066</v>
      </c>
      <c r="G562" s="2" t="s">
        <v>1950</v>
      </c>
      <c r="H562" s="2" t="s">
        <v>2067</v>
      </c>
      <c r="I562" s="2">
        <v>23</v>
      </c>
      <c r="J562" s="2" t="s">
        <v>24</v>
      </c>
      <c r="K562" s="2">
        <v>-17.441158000000001</v>
      </c>
      <c r="L562" s="2">
        <v>-66.018051</v>
      </c>
      <c r="M562" s="2" t="s">
        <v>25</v>
      </c>
      <c r="N562" s="2">
        <v>2336</v>
      </c>
      <c r="O562" s="2" t="s">
        <v>2068</v>
      </c>
      <c r="P562" s="2">
        <v>2</v>
      </c>
      <c r="Q562" s="2">
        <v>0</v>
      </c>
      <c r="R562" s="2">
        <f>IFERROR(VLOOKUP(A562,'[1]Recintos Cochabamba'!A$1:R$838,17,FALSE),0)</f>
        <v>3</v>
      </c>
      <c r="S562" s="3">
        <f>IFERROR(VLOOKUP(A562,'[1]Recintos Cochabamba'!A$1:T$838,18,FALSE),0)</f>
        <v>0.90587875611460511</v>
      </c>
    </row>
    <row r="563" spans="1:19" x14ac:dyDescent="0.25">
      <c r="A563" s="2">
        <v>2337</v>
      </c>
      <c r="B563" s="2" t="s">
        <v>19</v>
      </c>
      <c r="C563" s="2" t="s">
        <v>1921</v>
      </c>
      <c r="D563" s="2" t="s">
        <v>1922</v>
      </c>
      <c r="E563" s="2" t="s">
        <v>2069</v>
      </c>
      <c r="F563" s="2" t="s">
        <v>2070</v>
      </c>
      <c r="G563" s="2" t="s">
        <v>2071</v>
      </c>
      <c r="H563" s="2" t="s">
        <v>2072</v>
      </c>
      <c r="I563" s="2">
        <v>23</v>
      </c>
      <c r="J563" s="2" t="s">
        <v>24</v>
      </c>
      <c r="K563" s="2">
        <v>-17.1892</v>
      </c>
      <c r="L563" s="2">
        <v>-66.075199999999995</v>
      </c>
      <c r="M563" s="2" t="s">
        <v>25</v>
      </c>
      <c r="N563" s="2">
        <v>2337</v>
      </c>
      <c r="O563" s="2" t="s">
        <v>2073</v>
      </c>
      <c r="P563" s="2">
        <v>22</v>
      </c>
      <c r="Q563" s="2">
        <v>0</v>
      </c>
      <c r="R563" s="2">
        <f>IFERROR(VLOOKUP(A563,'[1]Recintos Cochabamba'!A$1:R$838,17,FALSE),0)</f>
        <v>10</v>
      </c>
      <c r="S563" s="3">
        <f>IFERROR(VLOOKUP(A563,'[1]Recintos Cochabamba'!A$1:T$838,18,FALSE),0)</f>
        <v>0.95643607455787927</v>
      </c>
    </row>
    <row r="564" spans="1:19" x14ac:dyDescent="0.25">
      <c r="A564" s="2">
        <v>2338</v>
      </c>
      <c r="B564" s="2" t="s">
        <v>19</v>
      </c>
      <c r="C564" s="2" t="s">
        <v>1921</v>
      </c>
      <c r="D564" s="2" t="s">
        <v>1922</v>
      </c>
      <c r="E564" s="2" t="s">
        <v>2074</v>
      </c>
      <c r="F564" s="2" t="s">
        <v>2075</v>
      </c>
      <c r="G564" s="2" t="s">
        <v>1950</v>
      </c>
      <c r="H564" s="2" t="s">
        <v>2074</v>
      </c>
      <c r="I564" s="2">
        <v>23</v>
      </c>
      <c r="J564" s="2" t="s">
        <v>24</v>
      </c>
      <c r="K564" s="2">
        <v>-17.430499999999999</v>
      </c>
      <c r="L564" s="2">
        <v>-65.980900000000005</v>
      </c>
      <c r="M564" s="2" t="s">
        <v>25</v>
      </c>
      <c r="N564" s="2">
        <v>2338</v>
      </c>
      <c r="O564" s="2" t="s">
        <v>2076</v>
      </c>
      <c r="P564" s="2">
        <v>2</v>
      </c>
      <c r="Q564" s="2">
        <v>0</v>
      </c>
      <c r="R564" s="2">
        <f>IFERROR(VLOOKUP(A564,'[1]Recintos Cochabamba'!A$1:R$838,17,FALSE),0)</f>
        <v>20</v>
      </c>
      <c r="S564" s="3">
        <f>IFERROR(VLOOKUP(A564,'[1]Recintos Cochabamba'!A$1:T$838,18,FALSE),0)</f>
        <v>0.83418075273733738</v>
      </c>
    </row>
    <row r="565" spans="1:19" x14ac:dyDescent="0.25">
      <c r="A565" s="2">
        <v>2339</v>
      </c>
      <c r="B565" s="2" t="s">
        <v>19</v>
      </c>
      <c r="C565" s="2" t="s">
        <v>1921</v>
      </c>
      <c r="D565" s="2" t="s">
        <v>1922</v>
      </c>
      <c r="E565" s="2" t="s">
        <v>2074</v>
      </c>
      <c r="F565" s="2" t="s">
        <v>2077</v>
      </c>
      <c r="G565" s="2" t="s">
        <v>2078</v>
      </c>
      <c r="H565" s="2" t="s">
        <v>2074</v>
      </c>
      <c r="I565" s="2">
        <v>23</v>
      </c>
      <c r="J565" s="2" t="s">
        <v>24</v>
      </c>
      <c r="K565" s="2">
        <v>-17.401799</v>
      </c>
      <c r="L565" s="2">
        <v>-65.98115</v>
      </c>
      <c r="M565" s="2" t="s">
        <v>25</v>
      </c>
      <c r="N565" s="2">
        <v>2339</v>
      </c>
      <c r="O565" s="2" t="s">
        <v>2079</v>
      </c>
      <c r="P565" s="2">
        <v>8</v>
      </c>
      <c r="Q565" s="2">
        <v>0</v>
      </c>
      <c r="R565" s="2">
        <f>IFERROR(VLOOKUP(A565,'[1]Recintos Cochabamba'!A$1:R$838,17,FALSE),0)</f>
        <v>1</v>
      </c>
      <c r="S565" s="3">
        <v>0</v>
      </c>
    </row>
    <row r="566" spans="1:19" x14ac:dyDescent="0.25">
      <c r="A566" s="2">
        <v>2340</v>
      </c>
      <c r="B566" s="2" t="s">
        <v>19</v>
      </c>
      <c r="C566" s="2" t="s">
        <v>1921</v>
      </c>
      <c r="D566" s="2" t="s">
        <v>1922</v>
      </c>
      <c r="E566" s="2" t="s">
        <v>2080</v>
      </c>
      <c r="F566" s="2" t="s">
        <v>2081</v>
      </c>
      <c r="G566" s="2" t="s">
        <v>2082</v>
      </c>
      <c r="H566" s="2" t="s">
        <v>2080</v>
      </c>
      <c r="I566" s="2">
        <v>23</v>
      </c>
      <c r="J566" s="2" t="s">
        <v>24</v>
      </c>
      <c r="K566" s="2">
        <v>-17.414999999999999</v>
      </c>
      <c r="L566" s="2">
        <v>-65.923400000000001</v>
      </c>
      <c r="M566" s="2" t="s">
        <v>776</v>
      </c>
      <c r="N566" s="2">
        <v>2340</v>
      </c>
      <c r="O566" s="2" t="s">
        <v>2083</v>
      </c>
      <c r="P566" s="2">
        <v>7</v>
      </c>
      <c r="Q566" s="2">
        <v>0</v>
      </c>
      <c r="R566" s="2">
        <f>IFERROR(VLOOKUP(A566,'[1]Recintos Cochabamba'!A$1:R$838,17,FALSE),0)</f>
        <v>3</v>
      </c>
      <c r="S566" s="3">
        <f>IFERROR(VLOOKUP(A566,'[1]Recintos Cochabamba'!A$1:T$838,18,FALSE),0)</f>
        <v>0.89526431091384995</v>
      </c>
    </row>
    <row r="567" spans="1:19" x14ac:dyDescent="0.25">
      <c r="A567" s="2">
        <v>2341</v>
      </c>
      <c r="B567" s="2" t="s">
        <v>19</v>
      </c>
      <c r="C567" s="2" t="s">
        <v>1921</v>
      </c>
      <c r="D567" s="2" t="s">
        <v>1922</v>
      </c>
      <c r="E567" s="2" t="s">
        <v>2084</v>
      </c>
      <c r="F567" s="2" t="s">
        <v>2085</v>
      </c>
      <c r="G567" s="2" t="s">
        <v>2082</v>
      </c>
      <c r="H567" s="2" t="s">
        <v>2086</v>
      </c>
      <c r="I567" s="2">
        <v>23</v>
      </c>
      <c r="J567" s="2" t="s">
        <v>24</v>
      </c>
      <c r="K567" s="2">
        <v>-17.426200000000001</v>
      </c>
      <c r="L567" s="2">
        <v>-65.9148</v>
      </c>
      <c r="M567" s="2" t="s">
        <v>776</v>
      </c>
      <c r="N567" s="2">
        <v>2341</v>
      </c>
      <c r="O567" s="2" t="s">
        <v>2087</v>
      </c>
      <c r="P567" s="2">
        <v>7</v>
      </c>
      <c r="Q567" s="2">
        <v>0</v>
      </c>
      <c r="R567" s="2">
        <f>IFERROR(VLOOKUP(A567,'[1]Recintos Cochabamba'!A$1:R$838,17,FALSE),0)</f>
        <v>5</v>
      </c>
      <c r="S567" s="3">
        <f>IFERROR(VLOOKUP(A567,'[1]Recintos Cochabamba'!A$1:T$838,18,FALSE),0)</f>
        <v>0.94540842901984201</v>
      </c>
    </row>
    <row r="568" spans="1:19" x14ac:dyDescent="0.25">
      <c r="A568" s="2">
        <v>2342</v>
      </c>
      <c r="B568" s="2" t="s">
        <v>19</v>
      </c>
      <c r="C568" s="2" t="s">
        <v>1921</v>
      </c>
      <c r="D568" s="2" t="s">
        <v>1922</v>
      </c>
      <c r="E568" s="2" t="s">
        <v>2088</v>
      </c>
      <c r="F568" s="2" t="s">
        <v>2089</v>
      </c>
      <c r="G568" s="2" t="s">
        <v>2090</v>
      </c>
      <c r="H568" s="2" t="s">
        <v>2088</v>
      </c>
      <c r="I568" s="2">
        <v>23</v>
      </c>
      <c r="J568" s="2" t="s">
        <v>24</v>
      </c>
      <c r="K568" s="2">
        <v>-17.372699999999998</v>
      </c>
      <c r="L568" s="2">
        <v>-65.83</v>
      </c>
      <c r="M568" s="2" t="s">
        <v>776</v>
      </c>
      <c r="N568" s="2">
        <v>2342</v>
      </c>
      <c r="O568" s="2" t="s">
        <v>2091</v>
      </c>
      <c r="P568" s="2"/>
      <c r="Q568" s="2"/>
      <c r="R568" s="2">
        <f>IFERROR(VLOOKUP(A568,'[1]Recintos Cochabamba'!A$1:R$838,17,FALSE),0)</f>
        <v>7</v>
      </c>
      <c r="S568" s="3">
        <f>IFERROR(VLOOKUP(A568,'[1]Recintos Cochabamba'!A$1:T$838,18,FALSE),0)</f>
        <v>0.96891108743978316</v>
      </c>
    </row>
    <row r="569" spans="1:19" x14ac:dyDescent="0.25">
      <c r="A569" s="2">
        <v>2343</v>
      </c>
      <c r="B569" s="2" t="s">
        <v>19</v>
      </c>
      <c r="C569" s="2" t="s">
        <v>1921</v>
      </c>
      <c r="D569" s="2" t="s">
        <v>1922</v>
      </c>
      <c r="E569" s="2" t="s">
        <v>2092</v>
      </c>
      <c r="F569" s="2" t="s">
        <v>2093</v>
      </c>
      <c r="G569" s="2" t="s">
        <v>1989</v>
      </c>
      <c r="H569" s="2" t="s">
        <v>2092</v>
      </c>
      <c r="I569" s="2">
        <v>23</v>
      </c>
      <c r="J569" s="2" t="s">
        <v>24</v>
      </c>
      <c r="K569" s="2">
        <v>-17.391500000000001</v>
      </c>
      <c r="L569" s="2">
        <v>-66.097499999999997</v>
      </c>
      <c r="M569" s="2" t="s">
        <v>776</v>
      </c>
      <c r="N569" s="2">
        <v>2343</v>
      </c>
      <c r="O569" s="2" t="s">
        <v>2094</v>
      </c>
      <c r="P569" s="2">
        <v>45</v>
      </c>
      <c r="Q569" s="2">
        <v>2</v>
      </c>
      <c r="R569" s="2">
        <f>IFERROR(VLOOKUP(A569,'[1]Recintos Cochabamba'!A$1:R$838,17,FALSE),0)</f>
        <v>19</v>
      </c>
      <c r="S569" s="3">
        <f>IFERROR(VLOOKUP(A569,'[1]Recintos Cochabamba'!A$1:T$838,18,FALSE),0)</f>
        <v>0.47726303708869822</v>
      </c>
    </row>
    <row r="570" spans="1:19" x14ac:dyDescent="0.25">
      <c r="A570" s="2">
        <v>2344</v>
      </c>
      <c r="B570" s="2" t="s">
        <v>19</v>
      </c>
      <c r="C570" s="2" t="s">
        <v>1921</v>
      </c>
      <c r="D570" s="2" t="s">
        <v>1922</v>
      </c>
      <c r="E570" s="2" t="s">
        <v>2095</v>
      </c>
      <c r="F570" s="2" t="s">
        <v>2096</v>
      </c>
      <c r="G570" s="2" t="s">
        <v>1950</v>
      </c>
      <c r="H570" s="2" t="s">
        <v>2097</v>
      </c>
      <c r="I570" s="2">
        <v>23</v>
      </c>
      <c r="J570" s="2" t="s">
        <v>24</v>
      </c>
      <c r="K570" s="2">
        <v>-17.4529</v>
      </c>
      <c r="L570" s="2">
        <v>-66.034700000000001</v>
      </c>
      <c r="M570" s="2" t="s">
        <v>25</v>
      </c>
      <c r="N570" s="2">
        <v>2344</v>
      </c>
      <c r="O570" s="2" t="s">
        <v>2098</v>
      </c>
      <c r="P570" s="2">
        <v>2</v>
      </c>
      <c r="Q570" s="2">
        <v>0</v>
      </c>
      <c r="R570" s="2">
        <f>IFERROR(VLOOKUP(A570,'[1]Recintos Cochabamba'!A$1:R$838,17,FALSE),0)</f>
        <v>7</v>
      </c>
      <c r="S570" s="3">
        <f>IFERROR(VLOOKUP(A570,'[1]Recintos Cochabamba'!A$1:T$838,18,FALSE),0)</f>
        <v>0.91263582675413224</v>
      </c>
    </row>
    <row r="571" spans="1:19" x14ac:dyDescent="0.25">
      <c r="A571" s="2">
        <v>2345</v>
      </c>
      <c r="B571" s="2" t="s">
        <v>19</v>
      </c>
      <c r="C571" s="2" t="s">
        <v>1921</v>
      </c>
      <c r="D571" s="2" t="s">
        <v>1922</v>
      </c>
      <c r="E571" s="2" t="s">
        <v>2099</v>
      </c>
      <c r="F571" s="2" t="s">
        <v>2100</v>
      </c>
      <c r="G571" s="2" t="s">
        <v>2082</v>
      </c>
      <c r="H571" s="2" t="s">
        <v>2101</v>
      </c>
      <c r="I571" s="2">
        <v>23</v>
      </c>
      <c r="J571" s="2" t="s">
        <v>24</v>
      </c>
      <c r="K571" s="2">
        <v>-17.416799999999999</v>
      </c>
      <c r="L571" s="2">
        <v>-65.951800000000006</v>
      </c>
      <c r="M571" s="2" t="s">
        <v>776</v>
      </c>
      <c r="N571" s="2">
        <v>2345</v>
      </c>
      <c r="O571" s="2" t="s">
        <v>2102</v>
      </c>
      <c r="P571" s="2">
        <v>7</v>
      </c>
      <c r="Q571" s="2">
        <v>0</v>
      </c>
      <c r="R571" s="2">
        <f>IFERROR(VLOOKUP(A571,'[1]Recintos Cochabamba'!A$1:R$838,17,FALSE),0)</f>
        <v>5</v>
      </c>
      <c r="S571" s="3">
        <f>IFERROR(VLOOKUP(A571,'[1]Recintos Cochabamba'!A$1:T$838,18,FALSE),0)</f>
        <v>0.83869119732017083</v>
      </c>
    </row>
    <row r="572" spans="1:19" x14ac:dyDescent="0.25">
      <c r="A572" s="2">
        <v>2346</v>
      </c>
      <c r="B572" s="2" t="s">
        <v>19</v>
      </c>
      <c r="C572" s="2" t="s">
        <v>1921</v>
      </c>
      <c r="D572" s="2" t="s">
        <v>1922</v>
      </c>
      <c r="E572" s="2" t="s">
        <v>2103</v>
      </c>
      <c r="F572" s="2" t="s">
        <v>2104</v>
      </c>
      <c r="G572" s="2" t="s">
        <v>1924</v>
      </c>
      <c r="H572" s="2" t="s">
        <v>2105</v>
      </c>
      <c r="I572" s="2">
        <v>23</v>
      </c>
      <c r="J572" s="2" t="s">
        <v>24</v>
      </c>
      <c r="K572" s="2">
        <v>-17.388622999999999</v>
      </c>
      <c r="L572" s="2">
        <v>-66.032880000000006</v>
      </c>
      <c r="M572" s="2" t="s">
        <v>25</v>
      </c>
      <c r="N572" s="2">
        <v>2346</v>
      </c>
      <c r="O572" s="2" t="s">
        <v>2106</v>
      </c>
      <c r="P572" s="2">
        <v>5</v>
      </c>
      <c r="Q572" s="2">
        <v>1</v>
      </c>
      <c r="R572" s="2">
        <f>IFERROR(VLOOKUP(A572,'[1]Recintos Cochabamba'!A$1:R$838,17,FALSE),0)</f>
        <v>4</v>
      </c>
      <c r="S572" s="3">
        <f>IFERROR(VLOOKUP(A572,'[1]Recintos Cochabamba'!A$1:T$838,18,FALSE),0)</f>
        <v>0.88541261047588715</v>
      </c>
    </row>
    <row r="573" spans="1:19" x14ac:dyDescent="0.25">
      <c r="A573" s="2">
        <v>2347</v>
      </c>
      <c r="B573" s="2" t="s">
        <v>19</v>
      </c>
      <c r="C573" s="2" t="s">
        <v>1921</v>
      </c>
      <c r="D573" s="2" t="s">
        <v>1922</v>
      </c>
      <c r="E573" s="2" t="s">
        <v>2107</v>
      </c>
      <c r="F573" s="2" t="s">
        <v>2108</v>
      </c>
      <c r="G573" s="2" t="s">
        <v>2058</v>
      </c>
      <c r="H573" s="2" t="s">
        <v>2109</v>
      </c>
      <c r="I573" s="2">
        <v>23</v>
      </c>
      <c r="J573" s="2" t="s">
        <v>24</v>
      </c>
      <c r="K573" s="2">
        <v>-17.341328000000001</v>
      </c>
      <c r="L573" s="2">
        <v>-66.055795000000003</v>
      </c>
      <c r="M573" s="2" t="s">
        <v>25</v>
      </c>
      <c r="N573" s="2">
        <v>2347</v>
      </c>
      <c r="O573" s="2" t="s">
        <v>2110</v>
      </c>
      <c r="P573" s="2">
        <v>9</v>
      </c>
      <c r="Q573" s="2">
        <v>5</v>
      </c>
      <c r="R573" s="2">
        <f>IFERROR(VLOOKUP(A573,'[1]Recintos Cochabamba'!A$1:R$838,17,FALSE),0)</f>
        <v>2</v>
      </c>
      <c r="S573" s="3">
        <f>IFERROR(VLOOKUP(A573,'[1]Recintos Cochabamba'!A$1:T$838,18,FALSE),0)</f>
        <v>0.93254514746004935</v>
      </c>
    </row>
    <row r="574" spans="1:19" x14ac:dyDescent="0.25">
      <c r="A574" s="2">
        <v>2348</v>
      </c>
      <c r="B574" s="2" t="s">
        <v>19</v>
      </c>
      <c r="C574" s="2" t="s">
        <v>1921</v>
      </c>
      <c r="D574" s="2" t="s">
        <v>1922</v>
      </c>
      <c r="E574" s="2" t="s">
        <v>2111</v>
      </c>
      <c r="F574" s="2" t="s">
        <v>2112</v>
      </c>
      <c r="G574" s="2" t="s">
        <v>2113</v>
      </c>
      <c r="H574" s="2" t="s">
        <v>2114</v>
      </c>
      <c r="I574" s="2">
        <v>23</v>
      </c>
      <c r="J574" s="2" t="s">
        <v>24</v>
      </c>
      <c r="K574" s="2">
        <v>-17.132403</v>
      </c>
      <c r="L574" s="2">
        <v>-66.10763</v>
      </c>
      <c r="M574" s="2" t="s">
        <v>776</v>
      </c>
      <c r="N574" s="2">
        <v>2348</v>
      </c>
      <c r="O574" s="2" t="s">
        <v>2115</v>
      </c>
      <c r="P574" s="2"/>
      <c r="Q574" s="2"/>
      <c r="R574" s="2">
        <f>IFERROR(VLOOKUP(A574,'[1]Recintos Cochabamba'!A$1:R$838,17,FALSE),0)</f>
        <v>3</v>
      </c>
      <c r="S574" s="3">
        <f>IFERROR(VLOOKUP(A574,'[1]Recintos Cochabamba'!A$1:T$838,18,FALSE),0)</f>
        <v>0.96167723749119105</v>
      </c>
    </row>
    <row r="575" spans="1:19" x14ac:dyDescent="0.25">
      <c r="A575" s="2">
        <v>2349</v>
      </c>
      <c r="B575" s="2" t="s">
        <v>19</v>
      </c>
      <c r="C575" s="2" t="s">
        <v>1921</v>
      </c>
      <c r="D575" s="2" t="s">
        <v>2116</v>
      </c>
      <c r="E575" s="2" t="s">
        <v>2116</v>
      </c>
      <c r="F575" s="2" t="s">
        <v>2117</v>
      </c>
      <c r="G575" s="2" t="s">
        <v>2118</v>
      </c>
      <c r="H575" s="2" t="s">
        <v>2116</v>
      </c>
      <c r="I575" s="2">
        <v>25</v>
      </c>
      <c r="J575" s="2" t="s">
        <v>24</v>
      </c>
      <c r="K575" s="2">
        <v>-17.340399999999999</v>
      </c>
      <c r="L575" s="2">
        <v>-65.8643</v>
      </c>
      <c r="M575" s="2" t="s">
        <v>776</v>
      </c>
      <c r="N575" s="2">
        <v>2349</v>
      </c>
      <c r="O575" s="2" t="s">
        <v>2119</v>
      </c>
      <c r="P575" s="2"/>
      <c r="Q575" s="2"/>
      <c r="R575" s="2">
        <f>IFERROR(VLOOKUP(A575,'[1]Recintos Cochabamba'!A$1:R$838,17,FALSE),0)</f>
        <v>23</v>
      </c>
      <c r="S575" s="3">
        <f>IFERROR(VLOOKUP(A575,'[1]Recintos Cochabamba'!A$1:T$838,18,FALSE),0)</f>
        <v>0.88157741380630239</v>
      </c>
    </row>
    <row r="576" spans="1:19" x14ac:dyDescent="0.25">
      <c r="A576" s="2">
        <v>2350</v>
      </c>
      <c r="B576" s="2" t="s">
        <v>19</v>
      </c>
      <c r="C576" s="2" t="s">
        <v>1921</v>
      </c>
      <c r="D576" s="2" t="s">
        <v>2116</v>
      </c>
      <c r="E576" s="2" t="s">
        <v>2116</v>
      </c>
      <c r="F576" s="2" t="s">
        <v>2120</v>
      </c>
      <c r="G576" s="2" t="s">
        <v>2118</v>
      </c>
      <c r="H576" s="2" t="s">
        <v>2121</v>
      </c>
      <c r="I576" s="2">
        <v>25</v>
      </c>
      <c r="J576" s="2" t="s">
        <v>24</v>
      </c>
      <c r="K576" s="2">
        <v>-17.339893</v>
      </c>
      <c r="L576" s="2">
        <v>-65.870137999999997</v>
      </c>
      <c r="M576" s="2" t="s">
        <v>776</v>
      </c>
      <c r="N576" s="2">
        <v>2350</v>
      </c>
      <c r="O576" s="2" t="s">
        <v>2122</v>
      </c>
      <c r="P576" s="2"/>
      <c r="Q576" s="2"/>
      <c r="R576" s="2">
        <f>IFERROR(VLOOKUP(A576,'[1]Recintos Cochabamba'!A$1:R$838,17,FALSE),0)</f>
        <v>8</v>
      </c>
      <c r="S576" s="3">
        <f>IFERROR(VLOOKUP(A576,'[1]Recintos Cochabamba'!A$1:T$838,18,FALSE),0)</f>
        <v>0.87223209727062456</v>
      </c>
    </row>
    <row r="577" spans="1:19" x14ac:dyDescent="0.25">
      <c r="A577" s="2">
        <v>2351</v>
      </c>
      <c r="B577" s="2" t="s">
        <v>19</v>
      </c>
      <c r="C577" s="2" t="s">
        <v>1921</v>
      </c>
      <c r="D577" s="2" t="s">
        <v>2116</v>
      </c>
      <c r="E577" s="2" t="s">
        <v>2116</v>
      </c>
      <c r="F577" s="2" t="s">
        <v>2123</v>
      </c>
      <c r="G577" s="2" t="s">
        <v>2118</v>
      </c>
      <c r="H577" s="2" t="s">
        <v>2124</v>
      </c>
      <c r="I577" s="2">
        <v>25</v>
      </c>
      <c r="J577" s="2" t="s">
        <v>24</v>
      </c>
      <c r="K577" s="2">
        <v>-17.340012000000002</v>
      </c>
      <c r="L577" s="2">
        <v>-65.864339999999999</v>
      </c>
      <c r="M577" s="2" t="s">
        <v>25</v>
      </c>
      <c r="N577" s="2">
        <v>2351</v>
      </c>
      <c r="O577" s="2" t="s">
        <v>2125</v>
      </c>
      <c r="P577" s="2"/>
      <c r="Q577" s="2"/>
      <c r="R577" s="2">
        <f>IFERROR(VLOOKUP(A577,'[1]Recintos Cochabamba'!A$1:R$838,17,FALSE),0)</f>
        <v>9</v>
      </c>
      <c r="S577" s="3">
        <v>0</v>
      </c>
    </row>
    <row r="578" spans="1:19" x14ac:dyDescent="0.25">
      <c r="A578" s="2">
        <v>2352</v>
      </c>
      <c r="B578" s="2" t="s">
        <v>19</v>
      </c>
      <c r="C578" s="2" t="s">
        <v>1921</v>
      </c>
      <c r="D578" s="2" t="s">
        <v>2116</v>
      </c>
      <c r="E578" s="2" t="s">
        <v>2126</v>
      </c>
      <c r="F578" s="2" t="s">
        <v>2127</v>
      </c>
      <c r="G578" s="2" t="s">
        <v>2128</v>
      </c>
      <c r="H578" s="2" t="s">
        <v>2126</v>
      </c>
      <c r="I578" s="2">
        <v>25</v>
      </c>
      <c r="J578" s="2" t="s">
        <v>24</v>
      </c>
      <c r="K578" s="2">
        <v>-17.274653000000001</v>
      </c>
      <c r="L578" s="2">
        <v>-65.925156000000001</v>
      </c>
      <c r="M578" s="2" t="s">
        <v>25</v>
      </c>
      <c r="N578" s="2">
        <v>2352</v>
      </c>
      <c r="O578" s="2" t="s">
        <v>2129</v>
      </c>
      <c r="P578" s="2"/>
      <c r="Q578" s="2"/>
      <c r="R578" s="2">
        <f>IFERROR(VLOOKUP(A578,'[1]Recintos Cochabamba'!A$1:R$838,17,FALSE),0)</f>
        <v>10</v>
      </c>
      <c r="S578" s="3">
        <v>0</v>
      </c>
    </row>
    <row r="579" spans="1:19" x14ac:dyDescent="0.25">
      <c r="A579" s="2">
        <v>2353</v>
      </c>
      <c r="B579" s="2" t="s">
        <v>19</v>
      </c>
      <c r="C579" s="2" t="s">
        <v>1921</v>
      </c>
      <c r="D579" s="2" t="s">
        <v>2116</v>
      </c>
      <c r="E579" s="2" t="s">
        <v>2130</v>
      </c>
      <c r="F579" s="2" t="s">
        <v>2131</v>
      </c>
      <c r="G579" s="2" t="s">
        <v>2132</v>
      </c>
      <c r="H579" s="2" t="s">
        <v>2130</v>
      </c>
      <c r="I579" s="2">
        <v>25</v>
      </c>
      <c r="J579" s="2" t="s">
        <v>24</v>
      </c>
      <c r="K579" s="2">
        <v>-17.084686999999999</v>
      </c>
      <c r="L579" s="2">
        <v>-65.996943999999999</v>
      </c>
      <c r="M579" s="2" t="s">
        <v>776</v>
      </c>
      <c r="N579" s="2">
        <v>2353</v>
      </c>
      <c r="O579" s="2" t="s">
        <v>2133</v>
      </c>
      <c r="P579" s="2"/>
      <c r="Q579" s="2"/>
      <c r="R579" s="2">
        <f>IFERROR(VLOOKUP(A579,'[1]Recintos Cochabamba'!A$1:R$838,17,FALSE),0)</f>
        <v>4</v>
      </c>
      <c r="S579" s="3">
        <v>0</v>
      </c>
    </row>
    <row r="580" spans="1:19" x14ac:dyDescent="0.25">
      <c r="A580" s="2">
        <v>2354</v>
      </c>
      <c r="B580" s="2" t="s">
        <v>19</v>
      </c>
      <c r="C580" s="2" t="s">
        <v>1921</v>
      </c>
      <c r="D580" s="2" t="s">
        <v>2116</v>
      </c>
      <c r="E580" s="2" t="s">
        <v>2134</v>
      </c>
      <c r="F580" s="2" t="s">
        <v>1906</v>
      </c>
      <c r="G580" s="2" t="s">
        <v>2113</v>
      </c>
      <c r="H580" s="2" t="s">
        <v>2134</v>
      </c>
      <c r="I580" s="2">
        <v>25</v>
      </c>
      <c r="J580" s="2" t="s">
        <v>24</v>
      </c>
      <c r="K580" s="2">
        <v>-17.178578999999999</v>
      </c>
      <c r="L580" s="2">
        <v>-65.769518000000005</v>
      </c>
      <c r="M580" s="2" t="s">
        <v>776</v>
      </c>
      <c r="N580" s="2">
        <v>2354</v>
      </c>
      <c r="O580" s="2" t="s">
        <v>2135</v>
      </c>
      <c r="P580" s="2"/>
      <c r="Q580" s="2"/>
      <c r="R580" s="2">
        <f>IFERROR(VLOOKUP(A580,'[1]Recintos Cochabamba'!A$1:R$838,17,FALSE),0)</f>
        <v>13</v>
      </c>
      <c r="S580" s="3">
        <v>0</v>
      </c>
    </row>
    <row r="581" spans="1:19" x14ac:dyDescent="0.25">
      <c r="A581" s="2">
        <v>2355</v>
      </c>
      <c r="B581" s="2" t="s">
        <v>19</v>
      </c>
      <c r="C581" s="2" t="s">
        <v>1921</v>
      </c>
      <c r="D581" s="2" t="s">
        <v>2116</v>
      </c>
      <c r="E581" s="2" t="s">
        <v>2136</v>
      </c>
      <c r="F581" s="2" t="s">
        <v>2137</v>
      </c>
      <c r="G581" s="2" t="s">
        <v>2138</v>
      </c>
      <c r="H581" s="2" t="s">
        <v>2136</v>
      </c>
      <c r="I581" s="2">
        <v>25</v>
      </c>
      <c r="J581" s="2" t="s">
        <v>24</v>
      </c>
      <c r="K581" s="2">
        <v>-17.123699999999999</v>
      </c>
      <c r="L581" s="2">
        <v>-65.932100000000005</v>
      </c>
      <c r="M581" s="2" t="s">
        <v>25</v>
      </c>
      <c r="N581" s="2">
        <v>2355</v>
      </c>
      <c r="O581" s="2" t="s">
        <v>2139</v>
      </c>
      <c r="P581" s="2"/>
      <c r="Q581" s="2"/>
      <c r="R581" s="2">
        <f>IFERROR(VLOOKUP(A581,'[1]Recintos Cochabamba'!A$1:R$838,17,FALSE),0)</f>
        <v>7</v>
      </c>
      <c r="S581" s="3">
        <v>0</v>
      </c>
    </row>
    <row r="582" spans="1:19" x14ac:dyDescent="0.25">
      <c r="A582" s="2">
        <v>2356</v>
      </c>
      <c r="B582" s="2" t="s">
        <v>19</v>
      </c>
      <c r="C582" s="2" t="s">
        <v>1921</v>
      </c>
      <c r="D582" s="2" t="s">
        <v>2116</v>
      </c>
      <c r="E582" s="2" t="s">
        <v>2140</v>
      </c>
      <c r="F582" s="2" t="s">
        <v>2141</v>
      </c>
      <c r="G582" s="2" t="s">
        <v>2113</v>
      </c>
      <c r="H582" s="2" t="s">
        <v>2142</v>
      </c>
      <c r="I582" s="2">
        <v>25</v>
      </c>
      <c r="J582" s="2" t="s">
        <v>24</v>
      </c>
      <c r="K582" s="2">
        <v>-17.207903000000002</v>
      </c>
      <c r="L582" s="2">
        <v>-65.825552000000002</v>
      </c>
      <c r="M582" s="2" t="s">
        <v>776</v>
      </c>
      <c r="N582" s="2">
        <v>2356</v>
      </c>
      <c r="O582" s="2" t="s">
        <v>2143</v>
      </c>
      <c r="P582" s="2"/>
      <c r="Q582" s="2"/>
      <c r="R582" s="2">
        <f>IFERROR(VLOOKUP(A582,'[1]Recintos Cochabamba'!A$1:R$838,17,FALSE),0)</f>
        <v>5</v>
      </c>
      <c r="S582" s="3">
        <f>IFERROR(VLOOKUP(A582,'[1]Recintos Cochabamba'!A$1:T$838,18,FALSE),0)</f>
        <v>0.82546087822469738</v>
      </c>
    </row>
    <row r="583" spans="1:19" x14ac:dyDescent="0.25">
      <c r="A583" s="2">
        <v>2357</v>
      </c>
      <c r="B583" s="2" t="s">
        <v>19</v>
      </c>
      <c r="C583" s="2" t="s">
        <v>1921</v>
      </c>
      <c r="D583" s="2" t="s">
        <v>2116</v>
      </c>
      <c r="E583" s="2" t="s">
        <v>2144</v>
      </c>
      <c r="F583" s="2" t="s">
        <v>2145</v>
      </c>
      <c r="G583" s="2" t="s">
        <v>2113</v>
      </c>
      <c r="H583" s="2" t="s">
        <v>2146</v>
      </c>
      <c r="I583" s="2">
        <v>25</v>
      </c>
      <c r="J583" s="2" t="s">
        <v>24</v>
      </c>
      <c r="K583" s="2">
        <v>-17.019898000000001</v>
      </c>
      <c r="L583" s="2">
        <v>-65.901647999999994</v>
      </c>
      <c r="M583" s="2" t="s">
        <v>776</v>
      </c>
      <c r="N583" s="2">
        <v>2357</v>
      </c>
      <c r="O583" s="2" t="s">
        <v>2147</v>
      </c>
      <c r="P583" s="2"/>
      <c r="Q583" s="2"/>
      <c r="R583" s="2">
        <f>IFERROR(VLOOKUP(A583,'[1]Recintos Cochabamba'!A$1:R$838,17,FALSE),0)</f>
        <v>1</v>
      </c>
      <c r="S583" s="3">
        <v>0</v>
      </c>
    </row>
    <row r="584" spans="1:19" x14ac:dyDescent="0.25">
      <c r="A584" s="2">
        <v>2358</v>
      </c>
      <c r="B584" s="2" t="s">
        <v>19</v>
      </c>
      <c r="C584" s="2" t="s">
        <v>1921</v>
      </c>
      <c r="D584" s="2" t="s">
        <v>2116</v>
      </c>
      <c r="E584" s="2" t="s">
        <v>2148</v>
      </c>
      <c r="F584" s="2" t="s">
        <v>2149</v>
      </c>
      <c r="G584" s="2" t="s">
        <v>2118</v>
      </c>
      <c r="H584" s="2" t="s">
        <v>2148</v>
      </c>
      <c r="I584" s="2">
        <v>25</v>
      </c>
      <c r="J584" s="2" t="s">
        <v>24</v>
      </c>
      <c r="K584" s="2">
        <v>-17.3185</v>
      </c>
      <c r="L584" s="2">
        <v>-65.880899999999997</v>
      </c>
      <c r="M584" s="2" t="s">
        <v>25</v>
      </c>
      <c r="N584" s="2">
        <v>2358</v>
      </c>
      <c r="O584" s="2" t="s">
        <v>2150</v>
      </c>
      <c r="P584" s="2"/>
      <c r="Q584" s="2"/>
      <c r="R584" s="2">
        <f>IFERROR(VLOOKUP(A584,'[1]Recintos Cochabamba'!A$1:R$838,17,FALSE),0)</f>
        <v>1</v>
      </c>
      <c r="S584" s="3">
        <f>IFERROR(VLOOKUP(A584,'[1]Recintos Cochabamba'!A$1:T$838,18,FALSE),0)</f>
        <v>0.8771929824561403</v>
      </c>
    </row>
    <row r="585" spans="1:19" x14ac:dyDescent="0.25">
      <c r="A585" s="2">
        <v>2359</v>
      </c>
      <c r="B585" s="2" t="s">
        <v>19</v>
      </c>
      <c r="C585" s="2" t="s">
        <v>1921</v>
      </c>
      <c r="D585" s="2" t="s">
        <v>2116</v>
      </c>
      <c r="E585" s="2" t="s">
        <v>2151</v>
      </c>
      <c r="F585" s="2" t="s">
        <v>2152</v>
      </c>
      <c r="G585" s="2" t="s">
        <v>2153</v>
      </c>
      <c r="H585" s="2" t="s">
        <v>2154</v>
      </c>
      <c r="I585" s="2">
        <v>25</v>
      </c>
      <c r="J585" s="2" t="s">
        <v>24</v>
      </c>
      <c r="K585" s="2">
        <v>-17.325928000000001</v>
      </c>
      <c r="L585" s="2">
        <v>-65.960099</v>
      </c>
      <c r="M585" s="2" t="s">
        <v>25</v>
      </c>
      <c r="N585" s="2">
        <v>2359</v>
      </c>
      <c r="O585" s="2" t="s">
        <v>2155</v>
      </c>
      <c r="P585" s="2"/>
      <c r="Q585" s="2"/>
      <c r="R585" s="2">
        <f>IFERROR(VLOOKUP(A585,'[1]Recintos Cochabamba'!A$1:R$838,17,FALSE),0)</f>
        <v>1</v>
      </c>
      <c r="S585" s="3">
        <v>0</v>
      </c>
    </row>
    <row r="586" spans="1:19" x14ac:dyDescent="0.25">
      <c r="A586" s="2">
        <v>2360</v>
      </c>
      <c r="B586" s="2" t="s">
        <v>19</v>
      </c>
      <c r="C586" s="2" t="s">
        <v>1921</v>
      </c>
      <c r="D586" s="2" t="s">
        <v>2156</v>
      </c>
      <c r="E586" s="2" t="s">
        <v>2156</v>
      </c>
      <c r="F586" s="2" t="s">
        <v>2157</v>
      </c>
      <c r="G586" s="2" t="s">
        <v>2113</v>
      </c>
      <c r="H586" s="2" t="s">
        <v>2158</v>
      </c>
      <c r="I586" s="2">
        <v>24</v>
      </c>
      <c r="J586" s="2" t="s">
        <v>24</v>
      </c>
      <c r="K586" s="2">
        <v>-16.972799999999999</v>
      </c>
      <c r="L586" s="2">
        <v>-65.417400000000001</v>
      </c>
      <c r="M586" s="2" t="s">
        <v>25</v>
      </c>
      <c r="N586" s="2">
        <v>2360</v>
      </c>
      <c r="O586" s="2" t="s">
        <v>2159</v>
      </c>
      <c r="P586" s="2"/>
      <c r="Q586" s="2"/>
      <c r="R586" s="2">
        <f>IFERROR(VLOOKUP(A586,'[1]Recintos Cochabamba'!A$1:R$838,17,FALSE),0)</f>
        <v>11</v>
      </c>
      <c r="S586" s="3">
        <f>IFERROR(VLOOKUP(A586,'[1]Recintos Cochabamba'!A$1:T$838,18,FALSE),0)</f>
        <v>0.81686837348902774</v>
      </c>
    </row>
    <row r="587" spans="1:19" x14ac:dyDescent="0.25">
      <c r="A587" s="2">
        <v>2361</v>
      </c>
      <c r="B587" s="2" t="s">
        <v>19</v>
      </c>
      <c r="C587" s="2" t="s">
        <v>1921</v>
      </c>
      <c r="D587" s="2" t="s">
        <v>2156</v>
      </c>
      <c r="E587" s="2" t="s">
        <v>2156</v>
      </c>
      <c r="F587" s="2" t="s">
        <v>2160</v>
      </c>
      <c r="G587" s="2" t="s">
        <v>2113</v>
      </c>
      <c r="H587" s="2" t="s">
        <v>2161</v>
      </c>
      <c r="I587" s="2">
        <v>24</v>
      </c>
      <c r="J587" s="2" t="s">
        <v>24</v>
      </c>
      <c r="K587" s="2">
        <v>-16.975100000000001</v>
      </c>
      <c r="L587" s="2">
        <v>-65.424700000000001</v>
      </c>
      <c r="M587" s="2" t="s">
        <v>776</v>
      </c>
      <c r="N587" s="2">
        <v>2361</v>
      </c>
      <c r="O587" s="2" t="s">
        <v>2162</v>
      </c>
      <c r="P587" s="2"/>
      <c r="Q587" s="2"/>
      <c r="R587" s="2">
        <f>IFERROR(VLOOKUP(A587,'[1]Recintos Cochabamba'!A$1:R$838,17,FALSE),0)</f>
        <v>5</v>
      </c>
      <c r="S587" s="3">
        <f>IFERROR(VLOOKUP(A587,'[1]Recintos Cochabamba'!A$1:T$838,18,FALSE),0)</f>
        <v>0.83944967909159707</v>
      </c>
    </row>
    <row r="588" spans="1:19" x14ac:dyDescent="0.25">
      <c r="A588" s="2">
        <v>2362</v>
      </c>
      <c r="B588" s="2" t="s">
        <v>19</v>
      </c>
      <c r="C588" s="2" t="s">
        <v>1921</v>
      </c>
      <c r="D588" s="2" t="s">
        <v>2156</v>
      </c>
      <c r="E588" s="2" t="s">
        <v>2163</v>
      </c>
      <c r="F588" s="2" t="s">
        <v>2164</v>
      </c>
      <c r="G588" s="2" t="s">
        <v>2165</v>
      </c>
      <c r="H588" s="2" t="s">
        <v>2163</v>
      </c>
      <c r="I588" s="2">
        <v>24</v>
      </c>
      <c r="J588" s="2" t="s">
        <v>24</v>
      </c>
      <c r="K588" s="2">
        <v>-17.0062</v>
      </c>
      <c r="L588" s="2">
        <v>-65.644000000000005</v>
      </c>
      <c r="M588" s="2" t="s">
        <v>776</v>
      </c>
      <c r="N588" s="2">
        <v>2362</v>
      </c>
      <c r="O588" s="2" t="s">
        <v>2166</v>
      </c>
      <c r="P588" s="2"/>
      <c r="Q588" s="2"/>
      <c r="R588" s="2">
        <f>IFERROR(VLOOKUP(A588,'[1]Recintos Cochabamba'!A$1:R$838,17,FALSE),0)</f>
        <v>11</v>
      </c>
      <c r="S588" s="3">
        <f>IFERROR(VLOOKUP(A588,'[1]Recintos Cochabamba'!A$1:T$838,18,FALSE),0)</f>
        <v>0.98553371954843405</v>
      </c>
    </row>
    <row r="589" spans="1:19" x14ac:dyDescent="0.25">
      <c r="A589" s="2">
        <v>2363</v>
      </c>
      <c r="B589" s="2" t="s">
        <v>19</v>
      </c>
      <c r="C589" s="2" t="s">
        <v>1921</v>
      </c>
      <c r="D589" s="2" t="s">
        <v>2156</v>
      </c>
      <c r="E589" s="2" t="s">
        <v>2167</v>
      </c>
      <c r="F589" s="2" t="s">
        <v>2168</v>
      </c>
      <c r="G589" s="2" t="s">
        <v>2113</v>
      </c>
      <c r="H589" s="2" t="s">
        <v>2167</v>
      </c>
      <c r="I589" s="2">
        <v>24</v>
      </c>
      <c r="J589" s="2" t="s">
        <v>24</v>
      </c>
      <c r="K589" s="2">
        <v>-17.003699999999998</v>
      </c>
      <c r="L589" s="2">
        <v>-65.567999999999998</v>
      </c>
      <c r="M589" s="2" t="s">
        <v>776</v>
      </c>
      <c r="N589" s="2">
        <v>2363</v>
      </c>
      <c r="O589" s="2" t="s">
        <v>2169</v>
      </c>
      <c r="P589" s="2"/>
      <c r="Q589" s="2"/>
      <c r="R589" s="2">
        <f>IFERROR(VLOOKUP(A589,'[1]Recintos Cochabamba'!A$1:R$838,17,FALSE),0)</f>
        <v>6</v>
      </c>
      <c r="S589" s="3">
        <f>IFERROR(VLOOKUP(A589,'[1]Recintos Cochabamba'!A$1:T$838,18,FALSE),0)</f>
        <v>0.96649027621814831</v>
      </c>
    </row>
    <row r="590" spans="1:19" x14ac:dyDescent="0.25">
      <c r="A590" s="2">
        <v>2364</v>
      </c>
      <c r="B590" s="2" t="s">
        <v>19</v>
      </c>
      <c r="C590" s="2" t="s">
        <v>1921</v>
      </c>
      <c r="D590" s="2" t="s">
        <v>2156</v>
      </c>
      <c r="E590" s="2" t="s">
        <v>2170</v>
      </c>
      <c r="F590" s="2" t="s">
        <v>2171</v>
      </c>
      <c r="G590" s="2" t="s">
        <v>2113</v>
      </c>
      <c r="H590" s="2" t="s">
        <v>2170</v>
      </c>
      <c r="I590" s="2">
        <v>24</v>
      </c>
      <c r="J590" s="2" t="s">
        <v>24</v>
      </c>
      <c r="K590" s="2">
        <v>-17.031700000000001</v>
      </c>
      <c r="L590" s="2">
        <v>-65.465900000000005</v>
      </c>
      <c r="M590" s="2" t="s">
        <v>776</v>
      </c>
      <c r="N590" s="2">
        <v>2364</v>
      </c>
      <c r="O590" s="2" t="s">
        <v>2172</v>
      </c>
      <c r="P590" s="2"/>
      <c r="Q590" s="2"/>
      <c r="R590" s="2">
        <f>IFERROR(VLOOKUP(A590,'[1]Recintos Cochabamba'!A$1:R$838,17,FALSE),0)</f>
        <v>11</v>
      </c>
      <c r="S590" s="3">
        <f>IFERROR(VLOOKUP(A590,'[1]Recintos Cochabamba'!A$1:T$838,18,FALSE),0)</f>
        <v>0.96290826302882226</v>
      </c>
    </row>
    <row r="591" spans="1:19" x14ac:dyDescent="0.25">
      <c r="A591" s="2">
        <v>2365</v>
      </c>
      <c r="B591" s="2" t="s">
        <v>19</v>
      </c>
      <c r="C591" s="2" t="s">
        <v>1921</v>
      </c>
      <c r="D591" s="2" t="s">
        <v>2156</v>
      </c>
      <c r="E591" s="2" t="s">
        <v>2173</v>
      </c>
      <c r="F591" s="2" t="s">
        <v>2174</v>
      </c>
      <c r="G591" s="2" t="s">
        <v>2175</v>
      </c>
      <c r="H591" s="2" t="s">
        <v>2173</v>
      </c>
      <c r="I591" s="2">
        <v>24</v>
      </c>
      <c r="J591" s="2" t="s">
        <v>24</v>
      </c>
      <c r="K591" s="2">
        <v>-16.833100000000002</v>
      </c>
      <c r="L591" s="2">
        <v>-65.521100000000004</v>
      </c>
      <c r="M591" s="2" t="s">
        <v>776</v>
      </c>
      <c r="N591" s="2">
        <v>2365</v>
      </c>
      <c r="O591" s="2" t="s">
        <v>2176</v>
      </c>
      <c r="P591" s="2"/>
      <c r="Q591" s="2"/>
      <c r="R591" s="2">
        <f>IFERROR(VLOOKUP(A591,'[1]Recintos Cochabamba'!A$1:R$838,17,FALSE),0)</f>
        <v>22</v>
      </c>
      <c r="S591" s="3">
        <f>IFERROR(VLOOKUP(A591,'[1]Recintos Cochabamba'!A$1:T$838,18,FALSE),0)</f>
        <v>0.96691748440339009</v>
      </c>
    </row>
    <row r="592" spans="1:19" x14ac:dyDescent="0.25">
      <c r="A592" s="2">
        <v>2366</v>
      </c>
      <c r="B592" s="2" t="s">
        <v>19</v>
      </c>
      <c r="C592" s="2" t="s">
        <v>1921</v>
      </c>
      <c r="D592" s="2" t="s">
        <v>2156</v>
      </c>
      <c r="E592" s="2" t="s">
        <v>2173</v>
      </c>
      <c r="F592" s="2" t="s">
        <v>2177</v>
      </c>
      <c r="G592" s="2" t="s">
        <v>2175</v>
      </c>
      <c r="H592" s="2" t="s">
        <v>2178</v>
      </c>
      <c r="I592" s="2">
        <v>24</v>
      </c>
      <c r="J592" s="2" t="s">
        <v>24</v>
      </c>
      <c r="K592" s="2">
        <v>-16.836053</v>
      </c>
      <c r="L592" s="2">
        <v>-65.515716999999995</v>
      </c>
      <c r="M592" s="2" t="s">
        <v>776</v>
      </c>
      <c r="N592" s="2">
        <v>2366</v>
      </c>
      <c r="O592" s="2" t="s">
        <v>2179</v>
      </c>
      <c r="P592" s="2"/>
      <c r="Q592" s="2"/>
      <c r="R592" s="2">
        <f>IFERROR(VLOOKUP(A592,'[1]Recintos Cochabamba'!A$1:R$838,17,FALSE),0)</f>
        <v>9</v>
      </c>
      <c r="S592" s="3">
        <v>0</v>
      </c>
    </row>
    <row r="593" spans="1:19" x14ac:dyDescent="0.25">
      <c r="A593" s="2">
        <v>2367</v>
      </c>
      <c r="B593" s="2" t="s">
        <v>19</v>
      </c>
      <c r="C593" s="2" t="s">
        <v>1921</v>
      </c>
      <c r="D593" s="2" t="s">
        <v>2156</v>
      </c>
      <c r="E593" s="2" t="s">
        <v>2180</v>
      </c>
      <c r="F593" s="2" t="s">
        <v>2181</v>
      </c>
      <c r="G593" s="2" t="s">
        <v>2113</v>
      </c>
      <c r="H593" s="2" t="s">
        <v>2182</v>
      </c>
      <c r="I593" s="2">
        <v>24</v>
      </c>
      <c r="J593" s="2" t="s">
        <v>24</v>
      </c>
      <c r="K593" s="2">
        <v>-16.810199999999998</v>
      </c>
      <c r="L593" s="2">
        <v>-65.465599999999995</v>
      </c>
      <c r="M593" s="2" t="s">
        <v>776</v>
      </c>
      <c r="N593" s="2">
        <v>2367</v>
      </c>
      <c r="O593" s="2" t="s">
        <v>2183</v>
      </c>
      <c r="P593" s="2"/>
      <c r="Q593" s="2"/>
      <c r="R593" s="2">
        <f>IFERROR(VLOOKUP(A593,'[1]Recintos Cochabamba'!A$1:R$838,17,FALSE),0)</f>
        <v>8</v>
      </c>
      <c r="S593" s="3">
        <f>IFERROR(VLOOKUP(A593,'[1]Recintos Cochabamba'!A$1:T$838,18,FALSE),0)</f>
        <v>0.99184106444080455</v>
      </c>
    </row>
    <row r="594" spans="1:19" x14ac:dyDescent="0.25">
      <c r="A594" s="2">
        <v>2368</v>
      </c>
      <c r="B594" s="2" t="s">
        <v>19</v>
      </c>
      <c r="C594" s="2" t="s">
        <v>1921</v>
      </c>
      <c r="D594" s="2" t="s">
        <v>2156</v>
      </c>
      <c r="E594" s="2" t="s">
        <v>2184</v>
      </c>
      <c r="F594" s="2" t="s">
        <v>2185</v>
      </c>
      <c r="G594" s="2" t="s">
        <v>2113</v>
      </c>
      <c r="H594" s="2" t="s">
        <v>2186</v>
      </c>
      <c r="I594" s="2">
        <v>24</v>
      </c>
      <c r="J594" s="2" t="s">
        <v>24</v>
      </c>
      <c r="K594" s="2">
        <v>-16.816299999999998</v>
      </c>
      <c r="L594" s="2">
        <v>-65.572599999999994</v>
      </c>
      <c r="M594" s="2" t="s">
        <v>776</v>
      </c>
      <c r="N594" s="2">
        <v>2368</v>
      </c>
      <c r="O594" s="2" t="s">
        <v>2187</v>
      </c>
      <c r="P594" s="2"/>
      <c r="Q594" s="2"/>
      <c r="R594" s="2">
        <f>IFERROR(VLOOKUP(A594,'[1]Recintos Cochabamba'!A$1:R$838,17,FALSE),0)</f>
        <v>15</v>
      </c>
      <c r="S594" s="3">
        <f>IFERROR(VLOOKUP(A594,'[1]Recintos Cochabamba'!A$1:T$838,18,FALSE),0)</f>
        <v>0.98716998155013991</v>
      </c>
    </row>
    <row r="595" spans="1:19" x14ac:dyDescent="0.25">
      <c r="A595" s="2">
        <v>2369</v>
      </c>
      <c r="B595" s="2" t="s">
        <v>19</v>
      </c>
      <c r="C595" s="2" t="s">
        <v>1921</v>
      </c>
      <c r="D595" s="2" t="s">
        <v>2156</v>
      </c>
      <c r="E595" s="2" t="s">
        <v>2188</v>
      </c>
      <c r="F595" s="2" t="s">
        <v>2189</v>
      </c>
      <c r="G595" s="2" t="s">
        <v>2190</v>
      </c>
      <c r="H595" s="2" t="s">
        <v>2188</v>
      </c>
      <c r="I595" s="2">
        <v>24</v>
      </c>
      <c r="J595" s="2" t="s">
        <v>24</v>
      </c>
      <c r="K595" s="2">
        <v>-16.914200000000001</v>
      </c>
      <c r="L595" s="2">
        <v>-65.4011</v>
      </c>
      <c r="M595" s="2" t="s">
        <v>776</v>
      </c>
      <c r="N595" s="2">
        <v>2369</v>
      </c>
      <c r="O595" s="2" t="s">
        <v>2191</v>
      </c>
      <c r="P595" s="2"/>
      <c r="Q595" s="2"/>
      <c r="R595" s="2">
        <f>IFERROR(VLOOKUP(A595,'[1]Recintos Cochabamba'!A$1:R$838,17,FALSE),0)</f>
        <v>12</v>
      </c>
      <c r="S595" s="3">
        <f>IFERROR(VLOOKUP(A595,'[1]Recintos Cochabamba'!A$1:T$838,18,FALSE),0)</f>
        <v>0.97142702781562817</v>
      </c>
    </row>
    <row r="596" spans="1:19" x14ac:dyDescent="0.25">
      <c r="A596" s="2">
        <v>2370</v>
      </c>
      <c r="B596" s="2" t="s">
        <v>19</v>
      </c>
      <c r="C596" s="2" t="s">
        <v>1921</v>
      </c>
      <c r="D596" s="2" t="s">
        <v>2156</v>
      </c>
      <c r="E596" s="2" t="s">
        <v>486</v>
      </c>
      <c r="F596" s="2" t="s">
        <v>2192</v>
      </c>
      <c r="G596" s="2" t="s">
        <v>2113</v>
      </c>
      <c r="H596" s="2" t="s">
        <v>486</v>
      </c>
      <c r="I596" s="2">
        <v>24</v>
      </c>
      <c r="J596" s="2" t="s">
        <v>2193</v>
      </c>
      <c r="K596" s="2">
        <v>-16.748200000000001</v>
      </c>
      <c r="L596" s="2">
        <v>-65.308199999999999</v>
      </c>
      <c r="M596" s="2" t="s">
        <v>776</v>
      </c>
      <c r="N596" s="2">
        <v>2370</v>
      </c>
      <c r="O596" s="2" t="s">
        <v>2194</v>
      </c>
      <c r="P596" s="2"/>
      <c r="Q596" s="2"/>
      <c r="R596" s="2">
        <f>IFERROR(VLOOKUP(A596,'[1]Recintos Cochabamba'!A$1:R$838,17,FALSE),0)</f>
        <v>3</v>
      </c>
      <c r="S596" s="3">
        <f>IFERROR(VLOOKUP(A596,'[1]Recintos Cochabamba'!A$1:T$838,18,FALSE),0)</f>
        <v>0.86798595713229865</v>
      </c>
    </row>
    <row r="597" spans="1:19" x14ac:dyDescent="0.25">
      <c r="A597" s="2">
        <v>2371</v>
      </c>
      <c r="B597" s="2" t="s">
        <v>19</v>
      </c>
      <c r="C597" s="2" t="s">
        <v>1921</v>
      </c>
      <c r="D597" s="2" t="s">
        <v>2156</v>
      </c>
      <c r="E597" s="2" t="s">
        <v>486</v>
      </c>
      <c r="F597" s="2" t="s">
        <v>2195</v>
      </c>
      <c r="G597" s="2" t="s">
        <v>2113</v>
      </c>
      <c r="H597" s="2" t="s">
        <v>2196</v>
      </c>
      <c r="I597" s="2">
        <v>24</v>
      </c>
      <c r="J597" s="2" t="s">
        <v>2193</v>
      </c>
      <c r="K597" s="2">
        <v>-16.7669</v>
      </c>
      <c r="L597" s="2">
        <v>-65.334900000000005</v>
      </c>
      <c r="M597" s="2" t="s">
        <v>776</v>
      </c>
      <c r="N597" s="2">
        <v>2371</v>
      </c>
      <c r="O597" s="2" t="s">
        <v>2197</v>
      </c>
      <c r="P597" s="2"/>
      <c r="Q597" s="2"/>
      <c r="R597" s="2">
        <f>IFERROR(VLOOKUP(A597,'[1]Recintos Cochabamba'!A$1:R$838,17,FALSE),0)</f>
        <v>5</v>
      </c>
      <c r="S597" s="3">
        <f>IFERROR(VLOOKUP(A597,'[1]Recintos Cochabamba'!A$1:T$838,18,FALSE),0)</f>
        <v>0.97892214397496091</v>
      </c>
    </row>
    <row r="598" spans="1:19" x14ac:dyDescent="0.25">
      <c r="A598" s="2">
        <v>2372</v>
      </c>
      <c r="B598" s="2" t="s">
        <v>19</v>
      </c>
      <c r="C598" s="2" t="s">
        <v>1921</v>
      </c>
      <c r="D598" s="2" t="s">
        <v>2156</v>
      </c>
      <c r="E598" s="2" t="s">
        <v>2198</v>
      </c>
      <c r="F598" s="2" t="s">
        <v>2199</v>
      </c>
      <c r="G598" s="2" t="s">
        <v>2200</v>
      </c>
      <c r="H598" s="2" t="s">
        <v>2198</v>
      </c>
      <c r="I598" s="2">
        <v>24</v>
      </c>
      <c r="J598" s="2" t="s">
        <v>24</v>
      </c>
      <c r="K598" s="2">
        <v>-16.731400000000001</v>
      </c>
      <c r="L598" s="2">
        <v>-65.644099999999995</v>
      </c>
      <c r="M598" s="2" t="s">
        <v>776</v>
      </c>
      <c r="N598" s="2">
        <v>2372</v>
      </c>
      <c r="O598" s="2" t="s">
        <v>2201</v>
      </c>
      <c r="P598" s="2"/>
      <c r="Q598" s="2"/>
      <c r="R598" s="2">
        <f>IFERROR(VLOOKUP(A598,'[1]Recintos Cochabamba'!A$1:R$838,17,FALSE),0)</f>
        <v>10</v>
      </c>
      <c r="S598" s="3">
        <f>IFERROR(VLOOKUP(A598,'[1]Recintos Cochabamba'!A$1:T$838,18,FALSE),0)</f>
        <v>0.97884840055102029</v>
      </c>
    </row>
    <row r="599" spans="1:19" x14ac:dyDescent="0.25">
      <c r="A599" s="2">
        <v>2373</v>
      </c>
      <c r="B599" s="2" t="s">
        <v>19</v>
      </c>
      <c r="C599" s="2" t="s">
        <v>1921</v>
      </c>
      <c r="D599" s="2" t="s">
        <v>2156</v>
      </c>
      <c r="E599" s="2" t="s">
        <v>2202</v>
      </c>
      <c r="F599" s="2" t="s">
        <v>2203</v>
      </c>
      <c r="G599" s="2" t="s">
        <v>2204</v>
      </c>
      <c r="H599" s="2" t="s">
        <v>2202</v>
      </c>
      <c r="I599" s="2">
        <v>24</v>
      </c>
      <c r="J599" s="2" t="s">
        <v>24</v>
      </c>
      <c r="K599" s="2">
        <v>-16.847783</v>
      </c>
      <c r="L599" s="2">
        <v>-65.350326999999993</v>
      </c>
      <c r="M599" s="2" t="s">
        <v>776</v>
      </c>
      <c r="N599" s="2">
        <v>2373</v>
      </c>
      <c r="O599" s="2" t="s">
        <v>2205</v>
      </c>
      <c r="P599" s="2"/>
      <c r="Q599" s="2"/>
      <c r="R599" s="2">
        <f>IFERROR(VLOOKUP(A599,'[1]Recintos Cochabamba'!A$1:R$838,17,FALSE),0)</f>
        <v>20</v>
      </c>
      <c r="S599" s="3">
        <f>IFERROR(VLOOKUP(A599,'[1]Recintos Cochabamba'!A$1:T$838,18,FALSE),0)</f>
        <v>0.96067983140375168</v>
      </c>
    </row>
    <row r="600" spans="1:19" x14ac:dyDescent="0.25">
      <c r="A600" s="2">
        <v>2374</v>
      </c>
      <c r="B600" s="2" t="s">
        <v>19</v>
      </c>
      <c r="C600" s="2" t="s">
        <v>1921</v>
      </c>
      <c r="D600" s="2" t="s">
        <v>2156</v>
      </c>
      <c r="E600" s="2" t="s">
        <v>2202</v>
      </c>
      <c r="F600" s="2" t="s">
        <v>2206</v>
      </c>
      <c r="G600" s="2" t="s">
        <v>2204</v>
      </c>
      <c r="H600" s="2" t="s">
        <v>2202</v>
      </c>
      <c r="I600" s="2">
        <v>24</v>
      </c>
      <c r="J600" s="2" t="s">
        <v>24</v>
      </c>
      <c r="K600" s="2">
        <v>-16.843634999999999</v>
      </c>
      <c r="L600" s="2">
        <v>-65.350890000000007</v>
      </c>
      <c r="M600" s="2" t="s">
        <v>776</v>
      </c>
      <c r="N600" s="2">
        <v>2374</v>
      </c>
      <c r="O600" s="2" t="s">
        <v>2207</v>
      </c>
      <c r="P600" s="2"/>
      <c r="Q600" s="2"/>
      <c r="R600" s="2">
        <f>IFERROR(VLOOKUP(A600,'[1]Recintos Cochabamba'!A$1:R$838,17,FALSE),0)</f>
        <v>9</v>
      </c>
      <c r="S600" s="3">
        <v>0</v>
      </c>
    </row>
    <row r="601" spans="1:19" x14ac:dyDescent="0.25">
      <c r="A601" s="2">
        <v>2375</v>
      </c>
      <c r="B601" s="2" t="s">
        <v>19</v>
      </c>
      <c r="C601" s="2" t="s">
        <v>1921</v>
      </c>
      <c r="D601" s="2" t="s">
        <v>2156</v>
      </c>
      <c r="E601" s="2" t="s">
        <v>2208</v>
      </c>
      <c r="F601" s="2" t="s">
        <v>2209</v>
      </c>
      <c r="G601" s="2" t="s">
        <v>2113</v>
      </c>
      <c r="H601" s="2" t="s">
        <v>2208</v>
      </c>
      <c r="I601" s="2">
        <v>24</v>
      </c>
      <c r="J601" s="2" t="s">
        <v>24</v>
      </c>
      <c r="K601" s="2">
        <v>-16.6753</v>
      </c>
      <c r="L601" s="2">
        <v>-65.627099999999999</v>
      </c>
      <c r="M601" s="2" t="s">
        <v>776</v>
      </c>
      <c r="N601" s="2">
        <v>2375</v>
      </c>
      <c r="O601" s="2" t="s">
        <v>2210</v>
      </c>
      <c r="P601" s="2"/>
      <c r="Q601" s="2"/>
      <c r="R601" s="2">
        <f>IFERROR(VLOOKUP(A601,'[1]Recintos Cochabamba'!A$1:R$838,17,FALSE),0)</f>
        <v>13</v>
      </c>
      <c r="S601" s="3">
        <f>IFERROR(VLOOKUP(A601,'[1]Recintos Cochabamba'!A$1:T$838,18,FALSE),0)</f>
        <v>0.99201165441987693</v>
      </c>
    </row>
    <row r="602" spans="1:19" x14ac:dyDescent="0.25">
      <c r="A602" s="2">
        <v>2376</v>
      </c>
      <c r="B602" s="2" t="s">
        <v>19</v>
      </c>
      <c r="C602" s="2" t="s">
        <v>1921</v>
      </c>
      <c r="D602" s="2" t="s">
        <v>2156</v>
      </c>
      <c r="E602" s="2" t="s">
        <v>2211</v>
      </c>
      <c r="F602" s="2" t="s">
        <v>2212</v>
      </c>
      <c r="G602" s="2" t="s">
        <v>2113</v>
      </c>
      <c r="H602" s="2" t="s">
        <v>2211</v>
      </c>
      <c r="I602" s="2">
        <v>24</v>
      </c>
      <c r="J602" s="2" t="s">
        <v>24</v>
      </c>
      <c r="K602" s="2">
        <v>-16.724</v>
      </c>
      <c r="L602" s="2">
        <v>-65.495000000000005</v>
      </c>
      <c r="M602" s="2" t="s">
        <v>776</v>
      </c>
      <c r="N602" s="2">
        <v>2376</v>
      </c>
      <c r="O602" s="2" t="s">
        <v>2213</v>
      </c>
      <c r="P602" s="2"/>
      <c r="Q602" s="2"/>
      <c r="R602" s="2">
        <f>IFERROR(VLOOKUP(A602,'[1]Recintos Cochabamba'!A$1:R$838,17,FALSE),0)</f>
        <v>3</v>
      </c>
      <c r="S602" s="3">
        <f>IFERROR(VLOOKUP(A602,'[1]Recintos Cochabamba'!A$1:T$838,18,FALSE),0)</f>
        <v>0.98901571620348738</v>
      </c>
    </row>
    <row r="603" spans="1:19" x14ac:dyDescent="0.25">
      <c r="A603" s="2">
        <v>2377</v>
      </c>
      <c r="B603" s="2" t="s">
        <v>19</v>
      </c>
      <c r="C603" s="2" t="s">
        <v>1921</v>
      </c>
      <c r="D603" s="2" t="s">
        <v>2156</v>
      </c>
      <c r="E603" s="2" t="s">
        <v>2214</v>
      </c>
      <c r="F603" s="2" t="s">
        <v>2215</v>
      </c>
      <c r="G603" s="2" t="s">
        <v>2113</v>
      </c>
      <c r="H603" s="2" t="s">
        <v>2216</v>
      </c>
      <c r="I603" s="2">
        <v>24</v>
      </c>
      <c r="J603" s="2" t="s">
        <v>2193</v>
      </c>
      <c r="K603" s="2">
        <v>-16.474599999999999</v>
      </c>
      <c r="L603" s="2">
        <v>-65.870099999999994</v>
      </c>
      <c r="M603" s="2" t="s">
        <v>776</v>
      </c>
      <c r="N603" s="2">
        <v>2377</v>
      </c>
      <c r="O603" s="2" t="s">
        <v>2217</v>
      </c>
      <c r="P603" s="2"/>
      <c r="Q603" s="2"/>
      <c r="R603" s="2">
        <f>IFERROR(VLOOKUP(A603,'[1]Recintos Cochabamba'!A$1:R$838,17,FALSE),0)</f>
        <v>5</v>
      </c>
      <c r="S603" s="3">
        <f>IFERROR(VLOOKUP(A603,'[1]Recintos Cochabamba'!A$1:T$838,18,FALSE),0)</f>
        <v>0.99835526315789469</v>
      </c>
    </row>
    <row r="604" spans="1:19" x14ac:dyDescent="0.25">
      <c r="A604" s="2">
        <v>2378</v>
      </c>
      <c r="B604" s="2" t="s">
        <v>19</v>
      </c>
      <c r="C604" s="2" t="s">
        <v>1921</v>
      </c>
      <c r="D604" s="2" t="s">
        <v>2156</v>
      </c>
      <c r="E604" s="2" t="s">
        <v>2218</v>
      </c>
      <c r="F604" s="2" t="s">
        <v>2219</v>
      </c>
      <c r="G604" s="2" t="s">
        <v>2113</v>
      </c>
      <c r="H604" s="2" t="s">
        <v>2218</v>
      </c>
      <c r="I604" s="2">
        <v>24</v>
      </c>
      <c r="J604" s="2" t="s">
        <v>2193</v>
      </c>
      <c r="K604" s="2">
        <v>-16.5624</v>
      </c>
      <c r="L604" s="2">
        <v>-65.825900000000004</v>
      </c>
      <c r="M604" s="2" t="s">
        <v>776</v>
      </c>
      <c r="N604" s="2">
        <v>2378</v>
      </c>
      <c r="O604" s="2" t="s">
        <v>2220</v>
      </c>
      <c r="P604" s="2"/>
      <c r="Q604" s="2"/>
      <c r="R604" s="2">
        <f>IFERROR(VLOOKUP(A604,'[1]Recintos Cochabamba'!A$1:R$838,17,FALSE),0)</f>
        <v>6</v>
      </c>
      <c r="S604" s="3">
        <f>IFERROR(VLOOKUP(A604,'[1]Recintos Cochabamba'!A$1:T$838,18,FALSE),0)</f>
        <v>0.99149163264324836</v>
      </c>
    </row>
    <row r="605" spans="1:19" x14ac:dyDescent="0.25">
      <c r="A605" s="2">
        <v>2379</v>
      </c>
      <c r="B605" s="2" t="s">
        <v>19</v>
      </c>
      <c r="C605" s="2" t="s">
        <v>1921</v>
      </c>
      <c r="D605" s="2" t="s">
        <v>2156</v>
      </c>
      <c r="E605" s="2" t="s">
        <v>2221</v>
      </c>
      <c r="F605" s="2" t="s">
        <v>2222</v>
      </c>
      <c r="G605" s="2" t="s">
        <v>2113</v>
      </c>
      <c r="H605" s="2" t="s">
        <v>2221</v>
      </c>
      <c r="I605" s="2">
        <v>24</v>
      </c>
      <c r="J605" s="2" t="s">
        <v>24</v>
      </c>
      <c r="K605" s="2">
        <v>-16.6312</v>
      </c>
      <c r="L605" s="2">
        <v>-65.740799999999993</v>
      </c>
      <c r="M605" s="2" t="s">
        <v>776</v>
      </c>
      <c r="N605" s="2">
        <v>2379</v>
      </c>
      <c r="O605" s="2" t="s">
        <v>2223</v>
      </c>
      <c r="P605" s="2"/>
      <c r="Q605" s="2"/>
      <c r="R605" s="2">
        <f>IFERROR(VLOOKUP(A605,'[1]Recintos Cochabamba'!A$1:R$838,17,FALSE),0)</f>
        <v>4</v>
      </c>
      <c r="S605" s="3">
        <f>IFERROR(VLOOKUP(A605,'[1]Recintos Cochabamba'!A$1:T$838,18,FALSE),0)</f>
        <v>0.9883181463690951</v>
      </c>
    </row>
    <row r="606" spans="1:19" x14ac:dyDescent="0.25">
      <c r="A606" s="2">
        <v>2380</v>
      </c>
      <c r="B606" s="2" t="s">
        <v>19</v>
      </c>
      <c r="C606" s="2" t="s">
        <v>1921</v>
      </c>
      <c r="D606" s="2" t="s">
        <v>2156</v>
      </c>
      <c r="E606" s="2" t="s">
        <v>2224</v>
      </c>
      <c r="F606" s="2" t="s">
        <v>2225</v>
      </c>
      <c r="G606" s="2" t="s">
        <v>2113</v>
      </c>
      <c r="H606" s="2" t="s">
        <v>2226</v>
      </c>
      <c r="I606" s="2">
        <v>24</v>
      </c>
      <c r="J606" s="2" t="s">
        <v>24</v>
      </c>
      <c r="K606" s="2">
        <v>-16.906300000000002</v>
      </c>
      <c r="L606" s="2">
        <v>-65.295900000000003</v>
      </c>
      <c r="M606" s="2" t="s">
        <v>776</v>
      </c>
      <c r="N606" s="2">
        <v>2380</v>
      </c>
      <c r="O606" s="2" t="s">
        <v>2227</v>
      </c>
      <c r="P606" s="2"/>
      <c r="Q606" s="2"/>
      <c r="R606" s="2">
        <f>IFERROR(VLOOKUP(A606,'[1]Recintos Cochabamba'!A$1:R$838,17,FALSE),0)</f>
        <v>10</v>
      </c>
      <c r="S606" s="3">
        <v>0</v>
      </c>
    </row>
    <row r="607" spans="1:19" x14ac:dyDescent="0.25">
      <c r="A607" s="2">
        <v>2381</v>
      </c>
      <c r="B607" s="2" t="s">
        <v>19</v>
      </c>
      <c r="C607" s="2" t="s">
        <v>1921</v>
      </c>
      <c r="D607" s="2" t="s">
        <v>2156</v>
      </c>
      <c r="E607" s="2" t="s">
        <v>2228</v>
      </c>
      <c r="F607" s="2" t="s">
        <v>2229</v>
      </c>
      <c r="G607" s="2" t="s">
        <v>2113</v>
      </c>
      <c r="H607" s="2" t="s">
        <v>2230</v>
      </c>
      <c r="I607" s="2">
        <v>24</v>
      </c>
      <c r="J607" s="2" t="s">
        <v>24</v>
      </c>
      <c r="K607" s="2">
        <v>-17.019722000000002</v>
      </c>
      <c r="L607" s="2">
        <v>-65.901707000000002</v>
      </c>
      <c r="M607" s="2" t="s">
        <v>776</v>
      </c>
      <c r="N607" s="2">
        <v>2381</v>
      </c>
      <c r="O607" s="2" t="s">
        <v>2231</v>
      </c>
      <c r="P607" s="2"/>
      <c r="Q607" s="2"/>
      <c r="R607" s="2">
        <f>IFERROR(VLOOKUP(A607,'[1]Recintos Cochabamba'!A$1:R$838,17,FALSE),0)</f>
        <v>3</v>
      </c>
      <c r="S607" s="3">
        <v>0</v>
      </c>
    </row>
    <row r="608" spans="1:19" x14ac:dyDescent="0.25">
      <c r="A608" s="2">
        <v>2382</v>
      </c>
      <c r="B608" s="2" t="s">
        <v>19</v>
      </c>
      <c r="C608" s="2" t="s">
        <v>1921</v>
      </c>
      <c r="D608" s="2" t="s">
        <v>2156</v>
      </c>
      <c r="E608" s="2" t="s">
        <v>2232</v>
      </c>
      <c r="F608" s="2" t="s">
        <v>2233</v>
      </c>
      <c r="G608" s="2" t="s">
        <v>2113</v>
      </c>
      <c r="H608" s="2" t="s">
        <v>2234</v>
      </c>
      <c r="I608" s="2">
        <v>24</v>
      </c>
      <c r="J608" s="2" t="s">
        <v>24</v>
      </c>
      <c r="K608" s="2">
        <v>-17.207903000000002</v>
      </c>
      <c r="L608" s="2">
        <v>-65.825552000000002</v>
      </c>
      <c r="M608" s="2" t="s">
        <v>776</v>
      </c>
      <c r="N608" s="2">
        <v>2382</v>
      </c>
      <c r="O608" s="2" t="s">
        <v>2143</v>
      </c>
      <c r="P608" s="2"/>
      <c r="Q608" s="2"/>
      <c r="R608" s="2">
        <f>IFERROR(VLOOKUP(A608,'[1]Recintos Cochabamba'!A$1:R$838,17,FALSE),0)</f>
        <v>3</v>
      </c>
      <c r="S608" s="3">
        <f>IFERROR(VLOOKUP(A608,'[1]Recintos Cochabamba'!A$1:T$838,18,FALSE),0)</f>
        <v>0.92004931422407144</v>
      </c>
    </row>
    <row r="609" spans="1:19" x14ac:dyDescent="0.25">
      <c r="A609" s="2">
        <v>2383</v>
      </c>
      <c r="B609" s="2" t="s">
        <v>19</v>
      </c>
      <c r="C609" s="2" t="s">
        <v>1921</v>
      </c>
      <c r="D609" s="2" t="s">
        <v>2156</v>
      </c>
      <c r="E609" s="2" t="s">
        <v>2235</v>
      </c>
      <c r="F609" s="2" t="s">
        <v>2236</v>
      </c>
      <c r="G609" s="2" t="s">
        <v>2113</v>
      </c>
      <c r="H609" s="2" t="s">
        <v>2235</v>
      </c>
      <c r="I609" s="2">
        <v>24</v>
      </c>
      <c r="J609" s="2" t="s">
        <v>2193</v>
      </c>
      <c r="K609" s="2">
        <v>-16.568200000000001</v>
      </c>
      <c r="L609" s="2">
        <v>-65.676500000000004</v>
      </c>
      <c r="M609" s="2" t="s">
        <v>776</v>
      </c>
      <c r="N609" s="2">
        <v>2383</v>
      </c>
      <c r="O609" s="2" t="s">
        <v>2237</v>
      </c>
      <c r="P609" s="2"/>
      <c r="Q609" s="2"/>
      <c r="R609" s="2">
        <f>IFERROR(VLOOKUP(A609,'[1]Recintos Cochabamba'!A$1:R$838,17,FALSE),0)</f>
        <v>8</v>
      </c>
      <c r="S609" s="3">
        <f>IFERROR(VLOOKUP(A609,'[1]Recintos Cochabamba'!A$1:T$838,18,FALSE),0)</f>
        <v>0.99463609560709898</v>
      </c>
    </row>
    <row r="610" spans="1:19" x14ac:dyDescent="0.25">
      <c r="A610" s="2">
        <v>2384</v>
      </c>
      <c r="B610" s="2" t="s">
        <v>19</v>
      </c>
      <c r="C610" s="2" t="s">
        <v>1921</v>
      </c>
      <c r="D610" s="2" t="s">
        <v>2156</v>
      </c>
      <c r="E610" s="2" t="s">
        <v>2238</v>
      </c>
      <c r="F610" s="2" t="s">
        <v>2239</v>
      </c>
      <c r="G610" s="2" t="s">
        <v>2113</v>
      </c>
      <c r="H610" s="2" t="s">
        <v>2238</v>
      </c>
      <c r="I610" s="2">
        <v>2</v>
      </c>
      <c r="J610" s="2" t="s">
        <v>24</v>
      </c>
      <c r="K610" s="2">
        <v>-16.426500000000001</v>
      </c>
      <c r="L610" s="2">
        <v>-65.906899999999993</v>
      </c>
      <c r="M610" s="2" t="s">
        <v>776</v>
      </c>
      <c r="N610" s="2">
        <v>2384</v>
      </c>
      <c r="O610" s="2" t="s">
        <v>2240</v>
      </c>
      <c r="P610" s="2"/>
      <c r="Q610" s="2"/>
      <c r="R610" s="2">
        <f>IFERROR(VLOOKUP(A610,'[1]Recintos Cochabamba'!A$1:R$838,17,FALSE),0)</f>
        <v>2</v>
      </c>
      <c r="S610" s="3">
        <f>IFERROR(VLOOKUP(A610,'[1]Recintos Cochabamba'!A$1:T$838,18,FALSE),0)</f>
        <v>0.77757331799884999</v>
      </c>
    </row>
    <row r="611" spans="1:19" x14ac:dyDescent="0.25">
      <c r="A611" s="2">
        <v>2385</v>
      </c>
      <c r="B611" s="2" t="s">
        <v>19</v>
      </c>
      <c r="C611" s="2" t="s">
        <v>1921</v>
      </c>
      <c r="D611" s="2" t="s">
        <v>2156</v>
      </c>
      <c r="E611" s="2" t="s">
        <v>2241</v>
      </c>
      <c r="F611" s="2" t="s">
        <v>2242</v>
      </c>
      <c r="G611" s="2" t="s">
        <v>2113</v>
      </c>
      <c r="H611" s="2" t="s">
        <v>2243</v>
      </c>
      <c r="I611" s="2">
        <v>2</v>
      </c>
      <c r="J611" s="2" t="s">
        <v>24</v>
      </c>
      <c r="K611" s="2">
        <v>-15.939299999999999</v>
      </c>
      <c r="L611" s="2">
        <v>-64.757199999999997</v>
      </c>
      <c r="M611" s="2" t="s">
        <v>25</v>
      </c>
      <c r="N611" s="2">
        <v>2385</v>
      </c>
      <c r="O611" s="2" t="s">
        <v>2244</v>
      </c>
      <c r="P611" s="2"/>
      <c r="Q611" s="2"/>
      <c r="R611" s="2">
        <f>IFERROR(VLOOKUP(A611,'[1]Recintos Cochabamba'!A$1:R$838,17,FALSE),0)</f>
        <v>1</v>
      </c>
      <c r="S611" s="3">
        <f>IFERROR(VLOOKUP(A611,'[1]Recintos Cochabamba'!A$1:T$838,18,FALSE),0)</f>
        <v>0.2978723404255319</v>
      </c>
    </row>
    <row r="612" spans="1:19" x14ac:dyDescent="0.25">
      <c r="A612" s="2">
        <v>2386</v>
      </c>
      <c r="B612" s="2" t="s">
        <v>19</v>
      </c>
      <c r="C612" s="2" t="s">
        <v>1921</v>
      </c>
      <c r="D612" s="2" t="s">
        <v>2156</v>
      </c>
      <c r="E612" s="2" t="s">
        <v>2245</v>
      </c>
      <c r="F612" s="2" t="s">
        <v>2246</v>
      </c>
      <c r="G612" s="2" t="s">
        <v>2113</v>
      </c>
      <c r="H612" s="2" t="s">
        <v>2247</v>
      </c>
      <c r="I612" s="2">
        <v>24</v>
      </c>
      <c r="J612" s="2" t="s">
        <v>24</v>
      </c>
      <c r="K612" s="2">
        <v>-16.4636</v>
      </c>
      <c r="L612" s="2">
        <v>-65.802300000000002</v>
      </c>
      <c r="M612" s="2" t="s">
        <v>776</v>
      </c>
      <c r="N612" s="2">
        <v>2386</v>
      </c>
      <c r="O612" s="2" t="s">
        <v>2248</v>
      </c>
      <c r="P612" s="2"/>
      <c r="Q612" s="2"/>
      <c r="R612" s="2">
        <f>IFERROR(VLOOKUP(A612,'[1]Recintos Cochabamba'!A$1:R$838,17,FALSE),0)</f>
        <v>6</v>
      </c>
      <c r="S612" s="3">
        <f>IFERROR(VLOOKUP(A612,'[1]Recintos Cochabamba'!A$1:T$838,18,FALSE),0)</f>
        <v>0.99288695199469323</v>
      </c>
    </row>
    <row r="613" spans="1:19" x14ac:dyDescent="0.25">
      <c r="A613" s="2">
        <v>2387</v>
      </c>
      <c r="B613" s="2" t="s">
        <v>19</v>
      </c>
      <c r="C613" s="2" t="s">
        <v>1921</v>
      </c>
      <c r="D613" s="2" t="s">
        <v>2156</v>
      </c>
      <c r="E613" s="2" t="s">
        <v>2249</v>
      </c>
      <c r="F613" s="2" t="s">
        <v>2250</v>
      </c>
      <c r="G613" s="2" t="s">
        <v>2113</v>
      </c>
      <c r="H613" s="2" t="s">
        <v>2249</v>
      </c>
      <c r="I613" s="2">
        <v>24</v>
      </c>
      <c r="J613" s="2" t="s">
        <v>24</v>
      </c>
      <c r="K613" s="2">
        <v>-16.6569</v>
      </c>
      <c r="L613" s="2">
        <v>-65.3399</v>
      </c>
      <c r="M613" s="2" t="s">
        <v>25</v>
      </c>
      <c r="N613" s="2">
        <v>2387</v>
      </c>
      <c r="O613" s="2" t="s">
        <v>2251</v>
      </c>
      <c r="P613" s="2"/>
      <c r="Q613" s="2"/>
      <c r="R613" s="2">
        <f>IFERROR(VLOOKUP(A613,'[1]Recintos Cochabamba'!A$1:R$838,17,FALSE),0)</f>
        <v>2</v>
      </c>
      <c r="S613" s="3">
        <f>IFERROR(VLOOKUP(A613,'[1]Recintos Cochabamba'!A$1:T$838,18,FALSE),0)</f>
        <v>0.99404036299607212</v>
      </c>
    </row>
    <row r="614" spans="1:19" x14ac:dyDescent="0.25">
      <c r="A614" s="2">
        <v>2388</v>
      </c>
      <c r="B614" s="2" t="s">
        <v>19</v>
      </c>
      <c r="C614" s="2" t="s">
        <v>1921</v>
      </c>
      <c r="D614" s="2" t="s">
        <v>2156</v>
      </c>
      <c r="E614" s="2" t="s">
        <v>2252</v>
      </c>
      <c r="F614" s="2" t="s">
        <v>2253</v>
      </c>
      <c r="G614" s="2" t="s">
        <v>2113</v>
      </c>
      <c r="H614" s="2" t="s">
        <v>2252</v>
      </c>
      <c r="I614" s="2">
        <v>24</v>
      </c>
      <c r="J614" s="2" t="s">
        <v>24</v>
      </c>
      <c r="K614" s="2">
        <v>-16.810600000000001</v>
      </c>
      <c r="L614" s="2">
        <v>-65.264200000000002</v>
      </c>
      <c r="M614" s="2" t="s">
        <v>776</v>
      </c>
      <c r="N614" s="2">
        <v>2388</v>
      </c>
      <c r="O614" s="2" t="s">
        <v>2254</v>
      </c>
      <c r="P614" s="2"/>
      <c r="Q614" s="2"/>
      <c r="R614" s="2">
        <f>IFERROR(VLOOKUP(A614,'[1]Recintos Cochabamba'!A$1:R$838,17,FALSE),0)</f>
        <v>4</v>
      </c>
      <c r="S614" s="3">
        <f>IFERROR(VLOOKUP(A614,'[1]Recintos Cochabamba'!A$1:T$838,18,FALSE),0)</f>
        <v>0.98630297128190525</v>
      </c>
    </row>
    <row r="615" spans="1:19" x14ac:dyDescent="0.25">
      <c r="A615" s="2">
        <v>2389</v>
      </c>
      <c r="B615" s="2" t="s">
        <v>19</v>
      </c>
      <c r="C615" s="2" t="s">
        <v>1921</v>
      </c>
      <c r="D615" s="2" t="s">
        <v>2156</v>
      </c>
      <c r="E615" s="2" t="s">
        <v>2255</v>
      </c>
      <c r="F615" s="2" t="s">
        <v>2256</v>
      </c>
      <c r="G615" s="2" t="s">
        <v>2113</v>
      </c>
      <c r="H615" s="2" t="s">
        <v>2255</v>
      </c>
      <c r="I615" s="2">
        <v>24</v>
      </c>
      <c r="J615" s="2" t="s">
        <v>24</v>
      </c>
      <c r="K615" s="2">
        <v>-16.647200000000002</v>
      </c>
      <c r="L615" s="2">
        <v>-65.429199999999994</v>
      </c>
      <c r="M615" s="2" t="s">
        <v>25</v>
      </c>
      <c r="N615" s="2">
        <v>2389</v>
      </c>
      <c r="O615" s="2" t="s">
        <v>2257</v>
      </c>
      <c r="P615" s="2"/>
      <c r="Q615" s="2"/>
      <c r="R615" s="2">
        <f>IFERROR(VLOOKUP(A615,'[1]Recintos Cochabamba'!A$1:R$838,17,FALSE),0)</f>
        <v>4</v>
      </c>
      <c r="S615" s="3">
        <f>IFERROR(VLOOKUP(A615,'[1]Recintos Cochabamba'!A$1:T$838,18,FALSE),0)</f>
        <v>0.99395218916460959</v>
      </c>
    </row>
    <row r="616" spans="1:19" x14ac:dyDescent="0.25">
      <c r="A616" s="2">
        <v>2390</v>
      </c>
      <c r="B616" s="2" t="s">
        <v>19</v>
      </c>
      <c r="C616" s="2" t="s">
        <v>1921</v>
      </c>
      <c r="D616" s="2" t="s">
        <v>2156</v>
      </c>
      <c r="E616" s="2" t="s">
        <v>2258</v>
      </c>
      <c r="F616" s="2" t="s">
        <v>2259</v>
      </c>
      <c r="G616" s="2" t="s">
        <v>2113</v>
      </c>
      <c r="H616" s="2" t="s">
        <v>2258</v>
      </c>
      <c r="I616" s="2">
        <v>24</v>
      </c>
      <c r="J616" s="2" t="s">
        <v>24</v>
      </c>
      <c r="K616" s="2">
        <v>-16.5245</v>
      </c>
      <c r="L616" s="2">
        <v>-65.735100000000003</v>
      </c>
      <c r="M616" s="2" t="s">
        <v>776</v>
      </c>
      <c r="N616" s="2">
        <v>2390</v>
      </c>
      <c r="O616" s="2" t="s">
        <v>2260</v>
      </c>
      <c r="P616" s="2"/>
      <c r="Q616" s="2"/>
      <c r="R616" s="2">
        <f>IFERROR(VLOOKUP(A616,'[1]Recintos Cochabamba'!A$1:R$838,17,FALSE),0)</f>
        <v>4</v>
      </c>
      <c r="S616" s="3">
        <f>IFERROR(VLOOKUP(A616,'[1]Recintos Cochabamba'!A$1:T$838,18,FALSE),0)</f>
        <v>0.99763033175355453</v>
      </c>
    </row>
    <row r="617" spans="1:19" x14ac:dyDescent="0.25">
      <c r="A617" s="2">
        <v>2391</v>
      </c>
      <c r="B617" s="2" t="s">
        <v>19</v>
      </c>
      <c r="C617" s="2" t="s">
        <v>1921</v>
      </c>
      <c r="D617" s="2" t="s">
        <v>2156</v>
      </c>
      <c r="E617" s="2" t="s">
        <v>2261</v>
      </c>
      <c r="F617" s="2" t="s">
        <v>2262</v>
      </c>
      <c r="G617" s="2" t="s">
        <v>2113</v>
      </c>
      <c r="H617" s="2" t="s">
        <v>2261</v>
      </c>
      <c r="I617" s="2">
        <v>2</v>
      </c>
      <c r="J617" s="2" t="s">
        <v>24</v>
      </c>
      <c r="K617" s="2">
        <v>-16.532699999999998</v>
      </c>
      <c r="L617" s="2">
        <v>-65.503299999999996</v>
      </c>
      <c r="M617" s="2" t="s">
        <v>776</v>
      </c>
      <c r="N617" s="2">
        <v>2391</v>
      </c>
      <c r="O617" s="2" t="s">
        <v>2263</v>
      </c>
      <c r="P617" s="2"/>
      <c r="Q617" s="2"/>
      <c r="R617" s="2">
        <f>IFERROR(VLOOKUP(A617,'[1]Recintos Cochabamba'!A$1:R$838,17,FALSE),0)</f>
        <v>1</v>
      </c>
      <c r="S617" s="3">
        <f>IFERROR(VLOOKUP(A617,'[1]Recintos Cochabamba'!A$1:T$838,18,FALSE),0)</f>
        <v>0.80800000000000005</v>
      </c>
    </row>
    <row r="618" spans="1:19" x14ac:dyDescent="0.25">
      <c r="A618" s="2">
        <v>2392</v>
      </c>
      <c r="B618" s="2" t="s">
        <v>19</v>
      </c>
      <c r="C618" s="2" t="s">
        <v>1921</v>
      </c>
      <c r="D618" s="2" t="s">
        <v>2156</v>
      </c>
      <c r="E618" s="2" t="s">
        <v>2264</v>
      </c>
      <c r="F618" s="2" t="s">
        <v>2265</v>
      </c>
      <c r="G618" s="2" t="s">
        <v>2113</v>
      </c>
      <c r="H618" s="2" t="s">
        <v>2266</v>
      </c>
      <c r="I618" s="2">
        <v>2</v>
      </c>
      <c r="J618" s="2" t="s">
        <v>24</v>
      </c>
      <c r="K618" s="2">
        <v>-16.696200000000001</v>
      </c>
      <c r="L618" s="2">
        <v>-65.685599999999994</v>
      </c>
      <c r="M618" s="2" t="s">
        <v>776</v>
      </c>
      <c r="N618" s="2">
        <v>2392</v>
      </c>
      <c r="O618" s="2" t="s">
        <v>2267</v>
      </c>
      <c r="P618" s="2"/>
      <c r="Q618" s="2"/>
      <c r="R618" s="2">
        <f>IFERROR(VLOOKUP(A618,'[1]Recintos Cochabamba'!A$1:R$838,17,FALSE),0)</f>
        <v>1</v>
      </c>
      <c r="S618" s="3">
        <f>IFERROR(VLOOKUP(A618,'[1]Recintos Cochabamba'!A$1:T$838,18,FALSE),0)</f>
        <v>0.95714285714285718</v>
      </c>
    </row>
    <row r="619" spans="1:19" x14ac:dyDescent="0.25">
      <c r="A619" s="2">
        <v>2393</v>
      </c>
      <c r="B619" s="2" t="s">
        <v>19</v>
      </c>
      <c r="C619" s="2" t="s">
        <v>1921</v>
      </c>
      <c r="D619" s="2" t="s">
        <v>2156</v>
      </c>
      <c r="E619" s="2" t="s">
        <v>2268</v>
      </c>
      <c r="F619" s="2" t="s">
        <v>2269</v>
      </c>
      <c r="G619" s="2" t="s">
        <v>2113</v>
      </c>
      <c r="H619" s="2" t="s">
        <v>2270</v>
      </c>
      <c r="I619" s="2">
        <v>24</v>
      </c>
      <c r="J619" s="2" t="s">
        <v>24</v>
      </c>
      <c r="K619" s="2">
        <v>-16.682300000000001</v>
      </c>
      <c r="L619" s="2">
        <v>-65.693299999999994</v>
      </c>
      <c r="M619" s="2" t="s">
        <v>776</v>
      </c>
      <c r="N619" s="2">
        <v>2393</v>
      </c>
      <c r="O619" s="2" t="s">
        <v>2271</v>
      </c>
      <c r="P619" s="2"/>
      <c r="Q619" s="2"/>
      <c r="R619" s="2">
        <f>IFERROR(VLOOKUP(A619,'[1]Recintos Cochabamba'!A$1:R$838,17,FALSE),0)</f>
        <v>3</v>
      </c>
      <c r="S619" s="3">
        <f>IFERROR(VLOOKUP(A619,'[1]Recintos Cochabamba'!A$1:T$838,18,FALSE),0)</f>
        <v>0.99180166912125678</v>
      </c>
    </row>
    <row r="620" spans="1:19" x14ac:dyDescent="0.25">
      <c r="A620" s="2">
        <v>2394</v>
      </c>
      <c r="B620" s="2" t="s">
        <v>19</v>
      </c>
      <c r="C620" s="2" t="s">
        <v>1921</v>
      </c>
      <c r="D620" s="2" t="s">
        <v>2156</v>
      </c>
      <c r="E620" s="2" t="s">
        <v>2272</v>
      </c>
      <c r="F620" s="2" t="s">
        <v>2273</v>
      </c>
      <c r="G620" s="2" t="s">
        <v>2113</v>
      </c>
      <c r="H620" s="2" t="s">
        <v>2274</v>
      </c>
      <c r="I620" s="2">
        <v>24</v>
      </c>
      <c r="J620" s="2" t="s">
        <v>24</v>
      </c>
      <c r="K620" s="2">
        <v>-16.984781000000002</v>
      </c>
      <c r="L620" s="2">
        <v>-65.606277000000006</v>
      </c>
      <c r="M620" s="2" t="s">
        <v>776</v>
      </c>
      <c r="N620" s="2">
        <v>2394</v>
      </c>
      <c r="O620" s="2" t="s">
        <v>2275</v>
      </c>
      <c r="P620" s="2"/>
      <c r="Q620" s="2"/>
      <c r="R620" s="2">
        <f>IFERROR(VLOOKUP(A620,'[1]Recintos Cochabamba'!A$1:R$838,17,FALSE),0)</f>
        <v>3</v>
      </c>
      <c r="S620" s="3">
        <f>IFERROR(VLOOKUP(A620,'[1]Recintos Cochabamba'!A$1:T$838,18,FALSE),0)</f>
        <v>0.98913279721799607</v>
      </c>
    </row>
    <row r="621" spans="1:19" x14ac:dyDescent="0.25">
      <c r="A621" s="2">
        <v>2395</v>
      </c>
      <c r="B621" s="2" t="s">
        <v>19</v>
      </c>
      <c r="C621" s="2" t="s">
        <v>1921</v>
      </c>
      <c r="D621" s="2" t="s">
        <v>2156</v>
      </c>
      <c r="E621" s="2" t="s">
        <v>2276</v>
      </c>
      <c r="F621" s="2" t="s">
        <v>1874</v>
      </c>
      <c r="G621" s="2" t="s">
        <v>2113</v>
      </c>
      <c r="H621" s="2" t="s">
        <v>2276</v>
      </c>
      <c r="I621" s="2">
        <v>24</v>
      </c>
      <c r="J621" s="2" t="s">
        <v>24</v>
      </c>
      <c r="K621" s="2">
        <v>-16.955805000000002</v>
      </c>
      <c r="L621" s="2">
        <v>-65.512726000000001</v>
      </c>
      <c r="M621" s="2" t="s">
        <v>776</v>
      </c>
      <c r="N621" s="2">
        <v>2395</v>
      </c>
      <c r="O621" s="2" t="s">
        <v>2277</v>
      </c>
      <c r="P621" s="2"/>
      <c r="Q621" s="2"/>
      <c r="R621" s="2">
        <f>IFERROR(VLOOKUP(A621,'[1]Recintos Cochabamba'!A$1:R$838,17,FALSE),0)</f>
        <v>4</v>
      </c>
      <c r="S621" s="3">
        <v>0</v>
      </c>
    </row>
    <row r="622" spans="1:19" x14ac:dyDescent="0.25">
      <c r="A622" s="2">
        <v>2396</v>
      </c>
      <c r="B622" s="2" t="s">
        <v>19</v>
      </c>
      <c r="C622" s="2" t="s">
        <v>1921</v>
      </c>
      <c r="D622" s="2" t="s">
        <v>2156</v>
      </c>
      <c r="E622" s="2" t="s">
        <v>2278</v>
      </c>
      <c r="F622" s="2" t="s">
        <v>2279</v>
      </c>
      <c r="G622" s="2" t="s">
        <v>2113</v>
      </c>
      <c r="H622" s="2" t="s">
        <v>2280</v>
      </c>
      <c r="I622" s="2">
        <v>24</v>
      </c>
      <c r="J622" s="2" t="s">
        <v>24</v>
      </c>
      <c r="K622" s="2">
        <v>-17.016914</v>
      </c>
      <c r="L622" s="2">
        <v>-65.542803000000006</v>
      </c>
      <c r="M622" s="2" t="s">
        <v>25</v>
      </c>
      <c r="N622" s="2">
        <v>2396</v>
      </c>
      <c r="O622" s="2" t="s">
        <v>2281</v>
      </c>
      <c r="P622" s="2"/>
      <c r="Q622" s="2"/>
      <c r="R622" s="2">
        <f>IFERROR(VLOOKUP(A622,'[1]Recintos Cochabamba'!A$1:R$838,17,FALSE),0)</f>
        <v>2</v>
      </c>
      <c r="S622" s="3">
        <v>0</v>
      </c>
    </row>
    <row r="623" spans="1:19" x14ac:dyDescent="0.25">
      <c r="A623" s="2">
        <v>2397</v>
      </c>
      <c r="B623" s="2" t="s">
        <v>19</v>
      </c>
      <c r="C623" s="2" t="s">
        <v>1921</v>
      </c>
      <c r="D623" s="2" t="s">
        <v>2156</v>
      </c>
      <c r="E623" s="2" t="s">
        <v>2282</v>
      </c>
      <c r="F623" s="2" t="s">
        <v>2283</v>
      </c>
      <c r="G623" s="2" t="s">
        <v>2113</v>
      </c>
      <c r="H623" s="2" t="s">
        <v>2284</v>
      </c>
      <c r="I623" s="2">
        <v>2</v>
      </c>
      <c r="J623" s="2" t="s">
        <v>24</v>
      </c>
      <c r="K623" s="2">
        <v>-16.779084000000001</v>
      </c>
      <c r="L623" s="2">
        <v>-65.184843999999998</v>
      </c>
      <c r="M623" s="2" t="s">
        <v>776</v>
      </c>
      <c r="N623" s="2">
        <v>2397</v>
      </c>
      <c r="O623" s="2" t="s">
        <v>2285</v>
      </c>
      <c r="P623" s="2"/>
      <c r="Q623" s="2"/>
      <c r="R623" s="2">
        <f>IFERROR(VLOOKUP(A623,'[1]Recintos Cochabamba'!A$1:R$838,17,FALSE),0)</f>
        <v>2</v>
      </c>
      <c r="S623" s="3">
        <v>0</v>
      </c>
    </row>
    <row r="624" spans="1:19" x14ac:dyDescent="0.25">
      <c r="A624" s="2">
        <v>2398</v>
      </c>
      <c r="B624" s="2" t="s">
        <v>19</v>
      </c>
      <c r="C624" s="2" t="s">
        <v>1921</v>
      </c>
      <c r="D624" s="2" t="s">
        <v>2156</v>
      </c>
      <c r="E624" s="2" t="s">
        <v>2286</v>
      </c>
      <c r="F624" s="2" t="s">
        <v>2287</v>
      </c>
      <c r="G624" s="2" t="s">
        <v>2113</v>
      </c>
      <c r="H624" s="2" t="s">
        <v>2288</v>
      </c>
      <c r="I624" s="2">
        <v>24</v>
      </c>
      <c r="J624" s="2" t="s">
        <v>24</v>
      </c>
      <c r="K624" s="2">
        <v>-17.026174000000001</v>
      </c>
      <c r="L624" s="2">
        <v>-65.495260000000002</v>
      </c>
      <c r="M624" s="2" t="s">
        <v>776</v>
      </c>
      <c r="N624" s="2">
        <v>2398</v>
      </c>
      <c r="O624" s="2" t="s">
        <v>2289</v>
      </c>
      <c r="P624" s="2"/>
      <c r="Q624" s="2"/>
      <c r="R624" s="2">
        <f>IFERROR(VLOOKUP(A624,'[1]Recintos Cochabamba'!A$1:R$838,17,FALSE),0)</f>
        <v>3</v>
      </c>
      <c r="S624" s="3">
        <v>0</v>
      </c>
    </row>
    <row r="625" spans="1:19" x14ac:dyDescent="0.25">
      <c r="A625" s="2">
        <v>2399</v>
      </c>
      <c r="B625" s="2" t="s">
        <v>19</v>
      </c>
      <c r="C625" s="2" t="s">
        <v>2290</v>
      </c>
      <c r="D625" s="2" t="s">
        <v>2290</v>
      </c>
      <c r="E625" s="2" t="s">
        <v>2291</v>
      </c>
      <c r="F625" s="2" t="s">
        <v>2292</v>
      </c>
      <c r="G625" s="2" t="s">
        <v>2293</v>
      </c>
      <c r="H625" s="2" t="s">
        <v>2291</v>
      </c>
      <c r="I625" s="2">
        <v>27</v>
      </c>
      <c r="J625" s="2" t="s">
        <v>24</v>
      </c>
      <c r="K625" s="2">
        <v>-17.513500000000001</v>
      </c>
      <c r="L625" s="2">
        <v>-66.625299999999996</v>
      </c>
      <c r="M625" s="2" t="s">
        <v>776</v>
      </c>
      <c r="N625" s="2">
        <v>2399</v>
      </c>
      <c r="O625" s="2" t="s">
        <v>2294</v>
      </c>
      <c r="P625" s="2"/>
      <c r="Q625" s="2"/>
      <c r="R625" s="2">
        <f>IFERROR(VLOOKUP(A625,'[1]Recintos Cochabamba'!A$1:R$838,17,FALSE),0)</f>
        <v>8</v>
      </c>
      <c r="S625" s="3">
        <f>IFERROR(VLOOKUP(A625,'[1]Recintos Cochabamba'!A$1:T$838,18,FALSE),0)</f>
        <v>0.93322711472561581</v>
      </c>
    </row>
    <row r="626" spans="1:19" x14ac:dyDescent="0.25">
      <c r="A626" s="2">
        <v>2400</v>
      </c>
      <c r="B626" s="2" t="s">
        <v>19</v>
      </c>
      <c r="C626" s="2" t="s">
        <v>2290</v>
      </c>
      <c r="D626" s="2" t="s">
        <v>2290</v>
      </c>
      <c r="E626" s="2" t="s">
        <v>2295</v>
      </c>
      <c r="F626" s="2" t="s">
        <v>2296</v>
      </c>
      <c r="G626" s="2" t="s">
        <v>2297</v>
      </c>
      <c r="H626" s="2" t="s">
        <v>2298</v>
      </c>
      <c r="I626" s="2">
        <v>27</v>
      </c>
      <c r="J626" s="2" t="s">
        <v>24</v>
      </c>
      <c r="K626" s="2">
        <v>-17.531300000000002</v>
      </c>
      <c r="L626" s="2">
        <v>-66.546700000000001</v>
      </c>
      <c r="M626" s="2" t="s">
        <v>776</v>
      </c>
      <c r="N626" s="2">
        <v>2400</v>
      </c>
      <c r="O626" s="2" t="s">
        <v>2299</v>
      </c>
      <c r="P626" s="2"/>
      <c r="Q626" s="2"/>
      <c r="R626" s="2">
        <f>IFERROR(VLOOKUP(A626,'[1]Recintos Cochabamba'!A$1:R$838,17,FALSE),0)</f>
        <v>3</v>
      </c>
      <c r="S626" s="3">
        <f>IFERROR(VLOOKUP(A626,'[1]Recintos Cochabamba'!A$1:T$838,18,FALSE),0)</f>
        <v>0.95611657870173239</v>
      </c>
    </row>
    <row r="627" spans="1:19" x14ac:dyDescent="0.25">
      <c r="A627" s="2">
        <v>2401</v>
      </c>
      <c r="B627" s="2" t="s">
        <v>19</v>
      </c>
      <c r="C627" s="2" t="s">
        <v>2290</v>
      </c>
      <c r="D627" s="2" t="s">
        <v>2290</v>
      </c>
      <c r="E627" s="2" t="s">
        <v>2300</v>
      </c>
      <c r="F627" s="2" t="s">
        <v>2301</v>
      </c>
      <c r="G627" s="2" t="s">
        <v>2302</v>
      </c>
      <c r="H627" s="2" t="s">
        <v>2300</v>
      </c>
      <c r="I627" s="2">
        <v>27</v>
      </c>
      <c r="J627" s="2" t="s">
        <v>24</v>
      </c>
      <c r="K627" s="2">
        <v>-17.5517</v>
      </c>
      <c r="L627" s="2">
        <v>-66.474999999999994</v>
      </c>
      <c r="M627" s="2" t="s">
        <v>776</v>
      </c>
      <c r="N627" s="2">
        <v>2401</v>
      </c>
      <c r="O627" s="2" t="s">
        <v>2303</v>
      </c>
      <c r="P627" s="2"/>
      <c r="Q627" s="2"/>
      <c r="R627" s="2">
        <f>IFERROR(VLOOKUP(A627,'[1]Recintos Cochabamba'!A$1:R$838,17,FALSE),0)</f>
        <v>4</v>
      </c>
      <c r="S627" s="3">
        <f>IFERROR(VLOOKUP(A627,'[1]Recintos Cochabamba'!A$1:T$838,18,FALSE),0)</f>
        <v>0.92728208207749974</v>
      </c>
    </row>
    <row r="628" spans="1:19" x14ac:dyDescent="0.25">
      <c r="A628" s="2">
        <v>2402</v>
      </c>
      <c r="B628" s="2" t="s">
        <v>19</v>
      </c>
      <c r="C628" s="2" t="s">
        <v>2290</v>
      </c>
      <c r="D628" s="2" t="s">
        <v>2290</v>
      </c>
      <c r="E628" s="2" t="s">
        <v>2304</v>
      </c>
      <c r="F628" s="2" t="s">
        <v>2305</v>
      </c>
      <c r="G628" s="2" t="s">
        <v>2306</v>
      </c>
      <c r="H628" s="2" t="s">
        <v>2304</v>
      </c>
      <c r="I628" s="2">
        <v>27</v>
      </c>
      <c r="J628" s="2" t="s">
        <v>24</v>
      </c>
      <c r="K628" s="2">
        <v>-17.6297</v>
      </c>
      <c r="L628" s="2">
        <v>-66.438400000000001</v>
      </c>
      <c r="M628" s="2" t="s">
        <v>776</v>
      </c>
      <c r="N628" s="2">
        <v>2402</v>
      </c>
      <c r="O628" s="2" t="s">
        <v>2307</v>
      </c>
      <c r="P628" s="2"/>
      <c r="Q628" s="2"/>
      <c r="R628" s="2">
        <f>IFERROR(VLOOKUP(A628,'[1]Recintos Cochabamba'!A$1:R$838,17,FALSE),0)</f>
        <v>1</v>
      </c>
      <c r="S628" s="3">
        <f>IFERROR(VLOOKUP(A628,'[1]Recintos Cochabamba'!A$1:T$838,18,FALSE),0)</f>
        <v>0.92638036809815949</v>
      </c>
    </row>
    <row r="629" spans="1:19" x14ac:dyDescent="0.25">
      <c r="A629" s="2">
        <v>2403</v>
      </c>
      <c r="B629" s="2" t="s">
        <v>19</v>
      </c>
      <c r="C629" s="2" t="s">
        <v>2290</v>
      </c>
      <c r="D629" s="2" t="s">
        <v>2290</v>
      </c>
      <c r="E629" s="2" t="s">
        <v>2308</v>
      </c>
      <c r="F629" s="2" t="s">
        <v>2309</v>
      </c>
      <c r="G629" s="2" t="s">
        <v>2310</v>
      </c>
      <c r="H629" s="2" t="s">
        <v>2308</v>
      </c>
      <c r="I629" s="2">
        <v>27</v>
      </c>
      <c r="J629" s="2" t="s">
        <v>24</v>
      </c>
      <c r="K629" s="2">
        <v>-17.665900000000001</v>
      </c>
      <c r="L629" s="2">
        <v>-66.4101</v>
      </c>
      <c r="M629" s="2" t="s">
        <v>776</v>
      </c>
      <c r="N629" s="2">
        <v>2403</v>
      </c>
      <c r="O629" s="2" t="s">
        <v>2311</v>
      </c>
      <c r="P629" s="2"/>
      <c r="Q629" s="2"/>
      <c r="R629" s="2">
        <f>IFERROR(VLOOKUP(A629,'[1]Recintos Cochabamba'!A$1:R$838,17,FALSE),0)</f>
        <v>2</v>
      </c>
      <c r="S629" s="3">
        <f>IFERROR(VLOOKUP(A629,'[1]Recintos Cochabamba'!A$1:T$838,18,FALSE),0)</f>
        <v>0.96311694383223134</v>
      </c>
    </row>
    <row r="630" spans="1:19" x14ac:dyDescent="0.25">
      <c r="A630" s="2">
        <v>2404</v>
      </c>
      <c r="B630" s="2" t="s">
        <v>19</v>
      </c>
      <c r="C630" s="2" t="s">
        <v>2290</v>
      </c>
      <c r="D630" s="2" t="s">
        <v>2290</v>
      </c>
      <c r="E630" s="2" t="s">
        <v>2312</v>
      </c>
      <c r="F630" s="2" t="s">
        <v>2313</v>
      </c>
      <c r="G630" s="2" t="s">
        <v>2314</v>
      </c>
      <c r="H630" s="2" t="s">
        <v>2312</v>
      </c>
      <c r="I630" s="2">
        <v>27</v>
      </c>
      <c r="J630" s="2" t="s">
        <v>24</v>
      </c>
      <c r="K630" s="2">
        <v>-17.5046</v>
      </c>
      <c r="L630" s="2">
        <v>-66.8142</v>
      </c>
      <c r="M630" s="2" t="s">
        <v>776</v>
      </c>
      <c r="N630" s="2">
        <v>2404</v>
      </c>
      <c r="O630" s="2" t="s">
        <v>2315</v>
      </c>
      <c r="P630" s="2"/>
      <c r="Q630" s="2"/>
      <c r="R630" s="2">
        <f>IFERROR(VLOOKUP(A630,'[1]Recintos Cochabamba'!A$1:R$838,17,FALSE),0)</f>
        <v>3</v>
      </c>
      <c r="S630" s="3">
        <f>IFERROR(VLOOKUP(A630,'[1]Recintos Cochabamba'!A$1:T$838,18,FALSE),0)</f>
        <v>0.94164934164934166</v>
      </c>
    </row>
    <row r="631" spans="1:19" x14ac:dyDescent="0.25">
      <c r="A631" s="2">
        <v>2405</v>
      </c>
      <c r="B631" s="2" t="s">
        <v>19</v>
      </c>
      <c r="C631" s="2" t="s">
        <v>2290</v>
      </c>
      <c r="D631" s="2" t="s">
        <v>2290</v>
      </c>
      <c r="E631" s="2" t="s">
        <v>2316</v>
      </c>
      <c r="F631" s="2" t="s">
        <v>2317</v>
      </c>
      <c r="G631" s="2" t="s">
        <v>2318</v>
      </c>
      <c r="H631" s="2" t="s">
        <v>2316</v>
      </c>
      <c r="I631" s="2">
        <v>27</v>
      </c>
      <c r="J631" s="2" t="s">
        <v>24</v>
      </c>
      <c r="K631" s="2">
        <v>-17.6341</v>
      </c>
      <c r="L631" s="2">
        <v>-66.687700000000007</v>
      </c>
      <c r="M631" s="2" t="s">
        <v>776</v>
      </c>
      <c r="N631" s="2">
        <v>2405</v>
      </c>
      <c r="O631" s="2" t="s">
        <v>2319</v>
      </c>
      <c r="P631" s="2"/>
      <c r="Q631" s="2"/>
      <c r="R631" s="2">
        <f>IFERROR(VLOOKUP(A631,'[1]Recintos Cochabamba'!A$1:R$838,17,FALSE),0)</f>
        <v>3</v>
      </c>
      <c r="S631" s="3">
        <f>IFERROR(VLOOKUP(A631,'[1]Recintos Cochabamba'!A$1:T$838,18,FALSE),0)</f>
        <v>0.91574587763908166</v>
      </c>
    </row>
    <row r="632" spans="1:19" x14ac:dyDescent="0.25">
      <c r="A632" s="2">
        <v>2406</v>
      </c>
      <c r="B632" s="2" t="s">
        <v>19</v>
      </c>
      <c r="C632" s="2" t="s">
        <v>2290</v>
      </c>
      <c r="D632" s="2" t="s">
        <v>2290</v>
      </c>
      <c r="E632" s="2" t="s">
        <v>2320</v>
      </c>
      <c r="F632" s="2" t="s">
        <v>2321</v>
      </c>
      <c r="G632" s="2" t="s">
        <v>2318</v>
      </c>
      <c r="H632" s="2" t="s">
        <v>2320</v>
      </c>
      <c r="I632" s="2">
        <v>27</v>
      </c>
      <c r="J632" s="2" t="s">
        <v>24</v>
      </c>
      <c r="K632" s="2">
        <v>-17.678799999999999</v>
      </c>
      <c r="L632" s="2">
        <v>-66.729699999999994</v>
      </c>
      <c r="M632" s="2" t="s">
        <v>776</v>
      </c>
      <c r="N632" s="2">
        <v>2406</v>
      </c>
      <c r="O632" s="2" t="s">
        <v>2322</v>
      </c>
      <c r="P632" s="2"/>
      <c r="Q632" s="2"/>
      <c r="R632" s="2">
        <f>IFERROR(VLOOKUP(A632,'[1]Recintos Cochabamba'!A$1:R$838,17,FALSE),0)</f>
        <v>3</v>
      </c>
      <c r="S632" s="3">
        <f>IFERROR(VLOOKUP(A632,'[1]Recintos Cochabamba'!A$1:T$838,18,FALSE),0)</f>
        <v>0.96776201145133189</v>
      </c>
    </row>
    <row r="633" spans="1:19" x14ac:dyDescent="0.25">
      <c r="A633" s="2">
        <v>2407</v>
      </c>
      <c r="B633" s="2" t="s">
        <v>19</v>
      </c>
      <c r="C633" s="2" t="s">
        <v>2290</v>
      </c>
      <c r="D633" s="2" t="s">
        <v>2290</v>
      </c>
      <c r="E633" s="2" t="s">
        <v>2323</v>
      </c>
      <c r="F633" s="2" t="s">
        <v>2324</v>
      </c>
      <c r="G633" s="2" t="s">
        <v>2306</v>
      </c>
      <c r="H633" s="2" t="s">
        <v>2325</v>
      </c>
      <c r="I633" s="2">
        <v>27</v>
      </c>
      <c r="J633" s="2" t="s">
        <v>24</v>
      </c>
      <c r="K633" s="2">
        <v>-17.534700000000001</v>
      </c>
      <c r="L633" s="2">
        <v>-66.480599999999995</v>
      </c>
      <c r="M633" s="2" t="s">
        <v>776</v>
      </c>
      <c r="N633" s="2">
        <v>2407</v>
      </c>
      <c r="O633" s="2" t="s">
        <v>2326</v>
      </c>
      <c r="P633" s="2"/>
      <c r="Q633" s="2"/>
      <c r="R633" s="2">
        <f>IFERROR(VLOOKUP(A633,'[1]Recintos Cochabamba'!A$1:R$838,17,FALSE),0)</f>
        <v>1</v>
      </c>
      <c r="S633" s="3">
        <v>0</v>
      </c>
    </row>
    <row r="634" spans="1:19" x14ac:dyDescent="0.25">
      <c r="A634" s="2">
        <v>2408</v>
      </c>
      <c r="B634" s="2" t="s">
        <v>19</v>
      </c>
      <c r="C634" s="2" t="s">
        <v>2290</v>
      </c>
      <c r="D634" s="2" t="s">
        <v>2290</v>
      </c>
      <c r="E634" s="2" t="s">
        <v>2327</v>
      </c>
      <c r="F634" s="2" t="s">
        <v>2328</v>
      </c>
      <c r="G634" s="2" t="s">
        <v>903</v>
      </c>
      <c r="H634" s="2" t="s">
        <v>2327</v>
      </c>
      <c r="I634" s="2">
        <v>27</v>
      </c>
      <c r="J634" s="2" t="s">
        <v>24</v>
      </c>
      <c r="K634" s="2">
        <v>-17.367899999999999</v>
      </c>
      <c r="L634" s="2">
        <v>-66.755099999999999</v>
      </c>
      <c r="M634" s="2" t="s">
        <v>776</v>
      </c>
      <c r="N634" s="2">
        <v>2408</v>
      </c>
      <c r="O634" s="2" t="s">
        <v>2329</v>
      </c>
      <c r="P634" s="2"/>
      <c r="Q634" s="2"/>
      <c r="R634" s="2">
        <f>IFERROR(VLOOKUP(A634,'[1]Recintos Cochabamba'!A$1:R$838,17,FALSE),0)</f>
        <v>1</v>
      </c>
      <c r="S634" s="3">
        <f>IFERROR(VLOOKUP(A634,'[1]Recintos Cochabamba'!A$1:T$838,18,FALSE),0)</f>
        <v>0.9642857142857143</v>
      </c>
    </row>
    <row r="635" spans="1:19" x14ac:dyDescent="0.25">
      <c r="A635" s="2">
        <v>2409</v>
      </c>
      <c r="B635" s="2" t="s">
        <v>19</v>
      </c>
      <c r="C635" s="2" t="s">
        <v>2290</v>
      </c>
      <c r="D635" s="2" t="s">
        <v>2290</v>
      </c>
      <c r="E635" s="2" t="s">
        <v>2330</v>
      </c>
      <c r="F635" s="2" t="s">
        <v>2331</v>
      </c>
      <c r="G635" s="2" t="s">
        <v>2332</v>
      </c>
      <c r="H635" s="2" t="s">
        <v>2330</v>
      </c>
      <c r="I635" s="2">
        <v>27</v>
      </c>
      <c r="J635" s="2" t="s">
        <v>24</v>
      </c>
      <c r="K635" s="2">
        <v>-17.458200000000001</v>
      </c>
      <c r="L635" s="2">
        <v>-66.489000000000004</v>
      </c>
      <c r="M635" s="2" t="s">
        <v>776</v>
      </c>
      <c r="N635" s="2">
        <v>2409</v>
      </c>
      <c r="O635" s="2" t="s">
        <v>2333</v>
      </c>
      <c r="P635" s="2"/>
      <c r="Q635" s="2"/>
      <c r="R635" s="2">
        <f>IFERROR(VLOOKUP(A635,'[1]Recintos Cochabamba'!A$1:R$838,17,FALSE),0)</f>
        <v>4</v>
      </c>
      <c r="S635" s="3">
        <f>IFERROR(VLOOKUP(A635,'[1]Recintos Cochabamba'!A$1:T$838,18,FALSE),0)</f>
        <v>0.97270978271086217</v>
      </c>
    </row>
    <row r="636" spans="1:19" x14ac:dyDescent="0.25">
      <c r="A636" s="2">
        <v>2410</v>
      </c>
      <c r="B636" s="2" t="s">
        <v>19</v>
      </c>
      <c r="C636" s="2" t="s">
        <v>2290</v>
      </c>
      <c r="D636" s="2" t="s">
        <v>2290</v>
      </c>
      <c r="E636" s="2" t="s">
        <v>2334</v>
      </c>
      <c r="F636" s="2" t="s">
        <v>2335</v>
      </c>
      <c r="G636" s="2" t="s">
        <v>2336</v>
      </c>
      <c r="H636" s="2" t="s">
        <v>2334</v>
      </c>
      <c r="I636" s="2">
        <v>27</v>
      </c>
      <c r="J636" s="2" t="s">
        <v>24</v>
      </c>
      <c r="K636" s="2">
        <v>-17.694199999999999</v>
      </c>
      <c r="L636" s="2">
        <v>-66.764700000000005</v>
      </c>
      <c r="M636" s="2" t="s">
        <v>776</v>
      </c>
      <c r="N636" s="2">
        <v>2410</v>
      </c>
      <c r="O636" s="2" t="s">
        <v>2337</v>
      </c>
      <c r="P636" s="2"/>
      <c r="Q636" s="2"/>
      <c r="R636" s="2">
        <f>IFERROR(VLOOKUP(A636,'[1]Recintos Cochabamba'!A$1:R$838,17,FALSE),0)</f>
        <v>4</v>
      </c>
      <c r="S636" s="3">
        <f>IFERROR(VLOOKUP(A636,'[1]Recintos Cochabamba'!A$1:T$838,18,FALSE),0)</f>
        <v>0.96431236291330991</v>
      </c>
    </row>
    <row r="637" spans="1:19" x14ac:dyDescent="0.25">
      <c r="A637" s="2">
        <v>2411</v>
      </c>
      <c r="B637" s="2" t="s">
        <v>19</v>
      </c>
      <c r="C637" s="2" t="s">
        <v>2290</v>
      </c>
      <c r="D637" s="2" t="s">
        <v>2290</v>
      </c>
      <c r="E637" s="2" t="s">
        <v>2338</v>
      </c>
      <c r="F637" s="2" t="s">
        <v>2339</v>
      </c>
      <c r="G637" s="2" t="s">
        <v>2297</v>
      </c>
      <c r="H637" s="2" t="s">
        <v>2338</v>
      </c>
      <c r="I637" s="2">
        <v>27</v>
      </c>
      <c r="J637" s="2" t="s">
        <v>24</v>
      </c>
      <c r="K637" s="2">
        <v>-17.446300000000001</v>
      </c>
      <c r="L637" s="2">
        <v>-66.787700000000001</v>
      </c>
      <c r="M637" s="2" t="s">
        <v>25</v>
      </c>
      <c r="N637" s="2">
        <v>2411</v>
      </c>
      <c r="O637" s="2" t="s">
        <v>2340</v>
      </c>
      <c r="P637" s="2"/>
      <c r="Q637" s="2"/>
      <c r="R637" s="2">
        <f>IFERROR(VLOOKUP(A637,'[1]Recintos Cochabamba'!A$1:R$838,17,FALSE),0)</f>
        <v>3</v>
      </c>
      <c r="S637" s="3">
        <f>IFERROR(VLOOKUP(A637,'[1]Recintos Cochabamba'!A$1:T$838,18,FALSE),0)</f>
        <v>0.93448563072626045</v>
      </c>
    </row>
    <row r="638" spans="1:19" x14ac:dyDescent="0.25">
      <c r="A638" s="2">
        <v>2412</v>
      </c>
      <c r="B638" s="2" t="s">
        <v>19</v>
      </c>
      <c r="C638" s="2" t="s">
        <v>2290</v>
      </c>
      <c r="D638" s="2" t="s">
        <v>2290</v>
      </c>
      <c r="E638" s="2" t="s">
        <v>2341</v>
      </c>
      <c r="F638" s="2" t="s">
        <v>2342</v>
      </c>
      <c r="G638" s="2" t="s">
        <v>2314</v>
      </c>
      <c r="H638" s="2" t="s">
        <v>2341</v>
      </c>
      <c r="I638" s="2">
        <v>27</v>
      </c>
      <c r="J638" s="2" t="s">
        <v>24</v>
      </c>
      <c r="K638" s="2">
        <v>-17.5426</v>
      </c>
      <c r="L638" s="2">
        <v>-66.831000000000003</v>
      </c>
      <c r="M638" s="2" t="s">
        <v>25</v>
      </c>
      <c r="N638" s="2">
        <v>2412</v>
      </c>
      <c r="O638" s="2" t="s">
        <v>2343</v>
      </c>
      <c r="P638" s="2"/>
      <c r="Q638" s="2"/>
      <c r="R638" s="2">
        <f>IFERROR(VLOOKUP(A638,'[1]Recintos Cochabamba'!A$1:R$838,17,FALSE),0)</f>
        <v>2</v>
      </c>
      <c r="S638" s="3">
        <f>IFERROR(VLOOKUP(A638,'[1]Recintos Cochabamba'!A$1:T$838,18,FALSE),0)</f>
        <v>0.87317073170731707</v>
      </c>
    </row>
    <row r="639" spans="1:19" x14ac:dyDescent="0.25">
      <c r="A639" s="2">
        <v>2413</v>
      </c>
      <c r="B639" s="2" t="s">
        <v>19</v>
      </c>
      <c r="C639" s="2" t="s">
        <v>2290</v>
      </c>
      <c r="D639" s="2" t="s">
        <v>2290</v>
      </c>
      <c r="E639" s="2" t="s">
        <v>2344</v>
      </c>
      <c r="F639" s="2" t="s">
        <v>2345</v>
      </c>
      <c r="G639" s="2" t="s">
        <v>2318</v>
      </c>
      <c r="H639" s="2" t="s">
        <v>2344</v>
      </c>
      <c r="I639" s="2">
        <v>27</v>
      </c>
      <c r="J639" s="2" t="s">
        <v>24</v>
      </c>
      <c r="K639" s="2">
        <v>-17.700800000000001</v>
      </c>
      <c r="L639" s="2">
        <v>-66.593000000000004</v>
      </c>
      <c r="M639" s="2" t="s">
        <v>776</v>
      </c>
      <c r="N639" s="2">
        <v>2413</v>
      </c>
      <c r="O639" s="2" t="s">
        <v>2346</v>
      </c>
      <c r="P639" s="2"/>
      <c r="Q639" s="2"/>
      <c r="R639" s="2">
        <f>IFERROR(VLOOKUP(A639,'[1]Recintos Cochabamba'!A$1:R$838,17,FALSE),0)</f>
        <v>3</v>
      </c>
      <c r="S639" s="3">
        <f>IFERROR(VLOOKUP(A639,'[1]Recintos Cochabamba'!A$1:T$838,18,FALSE),0)</f>
        <v>0.94879374127619009</v>
      </c>
    </row>
    <row r="640" spans="1:19" x14ac:dyDescent="0.25">
      <c r="A640" s="2">
        <v>2414</v>
      </c>
      <c r="B640" s="2" t="s">
        <v>19</v>
      </c>
      <c r="C640" s="2" t="s">
        <v>2290</v>
      </c>
      <c r="D640" s="2" t="s">
        <v>2290</v>
      </c>
      <c r="E640" s="2" t="s">
        <v>2347</v>
      </c>
      <c r="F640" s="2" t="s">
        <v>2348</v>
      </c>
      <c r="G640" s="2" t="s">
        <v>2318</v>
      </c>
      <c r="H640" s="2" t="s">
        <v>2347</v>
      </c>
      <c r="I640" s="2">
        <v>27</v>
      </c>
      <c r="J640" s="2" t="s">
        <v>24</v>
      </c>
      <c r="K640" s="2">
        <v>-17.706099999999999</v>
      </c>
      <c r="L640" s="2">
        <v>-66.642499999999998</v>
      </c>
      <c r="M640" s="2" t="s">
        <v>776</v>
      </c>
      <c r="N640" s="2">
        <v>2414</v>
      </c>
      <c r="O640" s="2" t="s">
        <v>2349</v>
      </c>
      <c r="P640" s="2"/>
      <c r="Q640" s="2"/>
      <c r="R640" s="2">
        <f>IFERROR(VLOOKUP(A640,'[1]Recintos Cochabamba'!A$1:R$838,17,FALSE),0)</f>
        <v>2</v>
      </c>
      <c r="S640" s="3">
        <f>IFERROR(VLOOKUP(A640,'[1]Recintos Cochabamba'!A$1:T$838,18,FALSE),0)</f>
        <v>0.93034803480348027</v>
      </c>
    </row>
    <row r="641" spans="1:19" x14ac:dyDescent="0.25">
      <c r="A641" s="2">
        <v>2415</v>
      </c>
      <c r="B641" s="2" t="s">
        <v>19</v>
      </c>
      <c r="C641" s="2" t="s">
        <v>2290</v>
      </c>
      <c r="D641" s="2" t="s">
        <v>2290</v>
      </c>
      <c r="E641" s="2" t="s">
        <v>2350</v>
      </c>
      <c r="F641" s="2" t="s">
        <v>2351</v>
      </c>
      <c r="G641" s="2" t="s">
        <v>2297</v>
      </c>
      <c r="H641" s="2" t="s">
        <v>2350</v>
      </c>
      <c r="I641" s="2">
        <v>27</v>
      </c>
      <c r="J641" s="2" t="s">
        <v>24</v>
      </c>
      <c r="K641" s="2">
        <v>-17.610700000000001</v>
      </c>
      <c r="L641" s="2">
        <v>-66.56</v>
      </c>
      <c r="M641" s="2" t="s">
        <v>776</v>
      </c>
      <c r="N641" s="2">
        <v>2415</v>
      </c>
      <c r="O641" s="2" t="s">
        <v>2352</v>
      </c>
      <c r="P641" s="2"/>
      <c r="Q641" s="2"/>
      <c r="R641" s="2">
        <f>IFERROR(VLOOKUP(A641,'[1]Recintos Cochabamba'!A$1:R$838,17,FALSE),0)</f>
        <v>3</v>
      </c>
      <c r="S641" s="3">
        <f>IFERROR(VLOOKUP(A641,'[1]Recintos Cochabamba'!A$1:T$838,18,FALSE),0)</f>
        <v>0.9237457492374691</v>
      </c>
    </row>
    <row r="642" spans="1:19" x14ac:dyDescent="0.25">
      <c r="A642" s="2">
        <v>2416</v>
      </c>
      <c r="B642" s="2" t="s">
        <v>19</v>
      </c>
      <c r="C642" s="2" t="s">
        <v>2290</v>
      </c>
      <c r="D642" s="2" t="s">
        <v>2290</v>
      </c>
      <c r="E642" s="2" t="s">
        <v>2353</v>
      </c>
      <c r="F642" s="2" t="s">
        <v>2354</v>
      </c>
      <c r="G642" s="2" t="s">
        <v>2297</v>
      </c>
      <c r="H642" s="2" t="s">
        <v>2353</v>
      </c>
      <c r="I642" s="2">
        <v>27</v>
      </c>
      <c r="J642" s="2" t="s">
        <v>24</v>
      </c>
      <c r="K642" s="2">
        <v>-17.633600000000001</v>
      </c>
      <c r="L642" s="2">
        <v>-66.513199999999998</v>
      </c>
      <c r="M642" s="2" t="s">
        <v>25</v>
      </c>
      <c r="N642" s="2">
        <v>2416</v>
      </c>
      <c r="O642" s="2" t="s">
        <v>2355</v>
      </c>
      <c r="P642" s="2"/>
      <c r="Q642" s="2"/>
      <c r="R642" s="2">
        <f>IFERROR(VLOOKUP(A642,'[1]Recintos Cochabamba'!A$1:R$838,17,FALSE),0)</f>
        <v>3</v>
      </c>
      <c r="S642" s="3">
        <f>IFERROR(VLOOKUP(A642,'[1]Recintos Cochabamba'!A$1:T$838,18,FALSE),0)</f>
        <v>0.97343691780311492</v>
      </c>
    </row>
    <row r="643" spans="1:19" x14ac:dyDescent="0.25">
      <c r="A643" s="2">
        <v>2417</v>
      </c>
      <c r="B643" s="2" t="s">
        <v>19</v>
      </c>
      <c r="C643" s="2" t="s">
        <v>2290</v>
      </c>
      <c r="D643" s="2" t="s">
        <v>2290</v>
      </c>
      <c r="E643" s="2" t="s">
        <v>2356</v>
      </c>
      <c r="F643" s="2" t="s">
        <v>2357</v>
      </c>
      <c r="G643" s="2" t="s">
        <v>2297</v>
      </c>
      <c r="H643" s="2" t="s">
        <v>2356</v>
      </c>
      <c r="I643" s="2">
        <v>27</v>
      </c>
      <c r="J643" s="2" t="s">
        <v>24</v>
      </c>
      <c r="K643" s="2">
        <v>-17.698399999999999</v>
      </c>
      <c r="L643" s="2">
        <v>-66.523499999999999</v>
      </c>
      <c r="M643" s="2" t="s">
        <v>776</v>
      </c>
      <c r="N643" s="2">
        <v>2417</v>
      </c>
      <c r="O643" s="2" t="s">
        <v>2358</v>
      </c>
      <c r="P643" s="2"/>
      <c r="Q643" s="2"/>
      <c r="R643" s="2">
        <f>IFERROR(VLOOKUP(A643,'[1]Recintos Cochabamba'!A$1:R$838,17,FALSE),0)</f>
        <v>2</v>
      </c>
      <c r="S643" s="3">
        <f>IFERROR(VLOOKUP(A643,'[1]Recintos Cochabamba'!A$1:T$838,18,FALSE),0)</f>
        <v>0.93905930470347654</v>
      </c>
    </row>
    <row r="644" spans="1:19" x14ac:dyDescent="0.25">
      <c r="A644" s="2">
        <v>2418</v>
      </c>
      <c r="B644" s="2" t="s">
        <v>19</v>
      </c>
      <c r="C644" s="2" t="s">
        <v>2290</v>
      </c>
      <c r="D644" s="2" t="s">
        <v>2290</v>
      </c>
      <c r="E644" s="2" t="s">
        <v>2359</v>
      </c>
      <c r="F644" s="2" t="s">
        <v>2360</v>
      </c>
      <c r="G644" s="2" t="s">
        <v>2318</v>
      </c>
      <c r="H644" s="2" t="s">
        <v>2359</v>
      </c>
      <c r="I644" s="2">
        <v>27</v>
      </c>
      <c r="J644" s="2" t="s">
        <v>24</v>
      </c>
      <c r="K644" s="2">
        <v>-17.659400000000002</v>
      </c>
      <c r="L644" s="2">
        <v>-66.830399999999997</v>
      </c>
      <c r="M644" s="2" t="s">
        <v>776</v>
      </c>
      <c r="N644" s="2">
        <v>2418</v>
      </c>
      <c r="O644" s="2" t="s">
        <v>2361</v>
      </c>
      <c r="P644" s="2"/>
      <c r="Q644" s="2"/>
      <c r="R644" s="2">
        <f>IFERROR(VLOOKUP(A644,'[1]Recintos Cochabamba'!A$1:R$838,17,FALSE),0)</f>
        <v>2</v>
      </c>
      <c r="S644" s="3">
        <f>IFERROR(VLOOKUP(A644,'[1]Recintos Cochabamba'!A$1:T$838,18,FALSE),0)</f>
        <v>0.95890985324947597</v>
      </c>
    </row>
    <row r="645" spans="1:19" x14ac:dyDescent="0.25">
      <c r="A645" s="2">
        <v>2419</v>
      </c>
      <c r="B645" s="2" t="s">
        <v>19</v>
      </c>
      <c r="C645" s="2" t="s">
        <v>2290</v>
      </c>
      <c r="D645" s="2" t="s">
        <v>2290</v>
      </c>
      <c r="E645" s="2" t="s">
        <v>2362</v>
      </c>
      <c r="F645" s="2" t="s">
        <v>2363</v>
      </c>
      <c r="G645" s="2" t="s">
        <v>2297</v>
      </c>
      <c r="H645" s="2" t="s">
        <v>2362</v>
      </c>
      <c r="I645" s="2">
        <v>27</v>
      </c>
      <c r="J645" s="2" t="s">
        <v>24</v>
      </c>
      <c r="K645" s="2">
        <v>-17.595800000000001</v>
      </c>
      <c r="L645" s="2">
        <v>-66.630300000000005</v>
      </c>
      <c r="M645" s="2" t="s">
        <v>776</v>
      </c>
      <c r="N645" s="2">
        <v>2419</v>
      </c>
      <c r="O645" s="2" t="s">
        <v>2364</v>
      </c>
      <c r="P645" s="2"/>
      <c r="Q645" s="2"/>
      <c r="R645" s="2">
        <f>IFERROR(VLOOKUP(A645,'[1]Recintos Cochabamba'!A$1:R$838,17,FALSE),0)</f>
        <v>1</v>
      </c>
      <c r="S645" s="3">
        <f>IFERROR(VLOOKUP(A645,'[1]Recintos Cochabamba'!A$1:T$838,18,FALSE),0)</f>
        <v>0.97115384615384615</v>
      </c>
    </row>
    <row r="646" spans="1:19" x14ac:dyDescent="0.25">
      <c r="A646" s="2">
        <v>2420</v>
      </c>
      <c r="B646" s="2" t="s">
        <v>19</v>
      </c>
      <c r="C646" s="2" t="s">
        <v>2290</v>
      </c>
      <c r="D646" s="2" t="s">
        <v>2290</v>
      </c>
      <c r="E646" s="2" t="s">
        <v>2365</v>
      </c>
      <c r="F646" s="2" t="s">
        <v>2366</v>
      </c>
      <c r="G646" s="2" t="s">
        <v>2297</v>
      </c>
      <c r="H646" s="2" t="s">
        <v>2365</v>
      </c>
      <c r="I646" s="2">
        <v>27</v>
      </c>
      <c r="J646" s="2" t="s">
        <v>24</v>
      </c>
      <c r="K646" s="2">
        <v>-17.436599999999999</v>
      </c>
      <c r="L646" s="2">
        <v>-66.597300000000004</v>
      </c>
      <c r="M646" s="2" t="s">
        <v>776</v>
      </c>
      <c r="N646" s="2">
        <v>2420</v>
      </c>
      <c r="O646" s="2" t="s">
        <v>2367</v>
      </c>
      <c r="P646" s="2"/>
      <c r="Q646" s="2"/>
      <c r="R646" s="2">
        <f>IFERROR(VLOOKUP(A646,'[1]Recintos Cochabamba'!A$1:R$838,17,FALSE),0)</f>
        <v>2</v>
      </c>
      <c r="S646" s="3">
        <f>IFERROR(VLOOKUP(A646,'[1]Recintos Cochabamba'!A$1:T$838,18,FALSE),0)</f>
        <v>0.93665138423558458</v>
      </c>
    </row>
    <row r="647" spans="1:19" x14ac:dyDescent="0.25">
      <c r="A647" s="2">
        <v>2421</v>
      </c>
      <c r="B647" s="2" t="s">
        <v>19</v>
      </c>
      <c r="C647" s="2" t="s">
        <v>2290</v>
      </c>
      <c r="D647" s="2" t="s">
        <v>2290</v>
      </c>
      <c r="E647" s="2" t="s">
        <v>2368</v>
      </c>
      <c r="F647" s="2" t="s">
        <v>2369</v>
      </c>
      <c r="G647" s="2" t="s">
        <v>2297</v>
      </c>
      <c r="H647" s="2" t="s">
        <v>2368</v>
      </c>
      <c r="I647" s="2">
        <v>27</v>
      </c>
      <c r="J647" s="2" t="s">
        <v>24</v>
      </c>
      <c r="K647" s="2">
        <v>-17.530435000000001</v>
      </c>
      <c r="L647" s="2">
        <v>-66.521469999999994</v>
      </c>
      <c r="M647" s="2" t="s">
        <v>776</v>
      </c>
      <c r="N647" s="2">
        <v>2421</v>
      </c>
      <c r="O647" s="2" t="s">
        <v>2370</v>
      </c>
      <c r="P647" s="2"/>
      <c r="Q647" s="2"/>
      <c r="R647" s="2">
        <f>IFERROR(VLOOKUP(A647,'[1]Recintos Cochabamba'!A$1:R$838,17,FALSE),0)</f>
        <v>1</v>
      </c>
      <c r="S647" s="3">
        <v>0</v>
      </c>
    </row>
    <row r="648" spans="1:19" x14ac:dyDescent="0.25">
      <c r="A648" s="2">
        <v>2422</v>
      </c>
      <c r="B648" s="2" t="s">
        <v>19</v>
      </c>
      <c r="C648" s="2" t="s">
        <v>2290</v>
      </c>
      <c r="D648" s="2" t="s">
        <v>2290</v>
      </c>
      <c r="E648" s="2" t="s">
        <v>2371</v>
      </c>
      <c r="F648" s="2" t="s">
        <v>2372</v>
      </c>
      <c r="G648" s="2" t="s">
        <v>2373</v>
      </c>
      <c r="H648" s="2" t="s">
        <v>2371</v>
      </c>
      <c r="I648" s="2">
        <v>27</v>
      </c>
      <c r="J648" s="2" t="s">
        <v>24</v>
      </c>
      <c r="K648" s="2">
        <v>-17.564817000000001</v>
      </c>
      <c r="L648" s="2">
        <v>-66.359037000000001</v>
      </c>
      <c r="M648" s="2" t="s">
        <v>776</v>
      </c>
      <c r="N648" s="2">
        <v>2422</v>
      </c>
      <c r="O648" s="2" t="s">
        <v>2374</v>
      </c>
      <c r="P648" s="2">
        <v>36</v>
      </c>
      <c r="Q648" s="2">
        <v>0</v>
      </c>
      <c r="R648" s="2">
        <f>IFERROR(VLOOKUP(A648,'[1]Recintos Cochabamba'!A$1:R$838,17,FALSE),0)</f>
        <v>1</v>
      </c>
      <c r="S648" s="3">
        <v>0</v>
      </c>
    </row>
    <row r="649" spans="1:19" x14ac:dyDescent="0.25">
      <c r="A649" s="2">
        <v>2423</v>
      </c>
      <c r="B649" s="2" t="s">
        <v>19</v>
      </c>
      <c r="C649" s="2" t="s">
        <v>2290</v>
      </c>
      <c r="D649" s="2" t="s">
        <v>2290</v>
      </c>
      <c r="E649" s="2" t="s">
        <v>2375</v>
      </c>
      <c r="F649" s="2" t="s">
        <v>2376</v>
      </c>
      <c r="G649" s="2" t="s">
        <v>2297</v>
      </c>
      <c r="H649" s="2" t="s">
        <v>2377</v>
      </c>
      <c r="I649" s="2">
        <v>27</v>
      </c>
      <c r="J649" s="2" t="s">
        <v>24</v>
      </c>
      <c r="K649" s="2">
        <v>-17.576159000000001</v>
      </c>
      <c r="L649" s="2">
        <v>-66.534250999999998</v>
      </c>
      <c r="M649" s="2" t="s">
        <v>776</v>
      </c>
      <c r="N649" s="2">
        <v>2423</v>
      </c>
      <c r="O649" s="2" t="s">
        <v>2378</v>
      </c>
      <c r="P649" s="2"/>
      <c r="Q649" s="2"/>
      <c r="R649" s="2">
        <f>IFERROR(VLOOKUP(A649,'[1]Recintos Cochabamba'!A$1:R$838,17,FALSE),0)</f>
        <v>1</v>
      </c>
      <c r="S649" s="3">
        <v>0</v>
      </c>
    </row>
    <row r="650" spans="1:19" x14ac:dyDescent="0.25">
      <c r="A650" s="2">
        <v>2424</v>
      </c>
      <c r="B650" s="2" t="s">
        <v>19</v>
      </c>
      <c r="C650" s="2" t="s">
        <v>2290</v>
      </c>
      <c r="D650" s="2" t="s">
        <v>2290</v>
      </c>
      <c r="E650" s="2" t="s">
        <v>2379</v>
      </c>
      <c r="F650" s="2" t="s">
        <v>2380</v>
      </c>
      <c r="G650" s="2" t="s">
        <v>2306</v>
      </c>
      <c r="H650" s="2" t="s">
        <v>2381</v>
      </c>
      <c r="I650" s="2">
        <v>27</v>
      </c>
      <c r="J650" s="2" t="s">
        <v>24</v>
      </c>
      <c r="K650" s="2">
        <v>-17.445888</v>
      </c>
      <c r="L650" s="2">
        <v>-66.518805</v>
      </c>
      <c r="M650" s="2" t="s">
        <v>776</v>
      </c>
      <c r="N650" s="2">
        <v>2424</v>
      </c>
      <c r="O650" s="2" t="s">
        <v>2382</v>
      </c>
      <c r="P650" s="2"/>
      <c r="Q650" s="2"/>
      <c r="R650" s="2">
        <f>IFERROR(VLOOKUP(A650,'[1]Recintos Cochabamba'!A$1:R$838,17,FALSE),0)</f>
        <v>1</v>
      </c>
      <c r="S650" s="3">
        <v>0</v>
      </c>
    </row>
    <row r="651" spans="1:19" x14ac:dyDescent="0.25">
      <c r="A651" s="2">
        <v>2425</v>
      </c>
      <c r="B651" s="2" t="s">
        <v>19</v>
      </c>
      <c r="C651" s="2" t="s">
        <v>2383</v>
      </c>
      <c r="D651" s="2" t="s">
        <v>2384</v>
      </c>
      <c r="E651" s="2" t="s">
        <v>2384</v>
      </c>
      <c r="F651" s="2" t="s">
        <v>2385</v>
      </c>
      <c r="G651" s="2" t="s">
        <v>2386</v>
      </c>
      <c r="H651" s="2" t="s">
        <v>2387</v>
      </c>
      <c r="I651" s="2">
        <v>25</v>
      </c>
      <c r="J651" s="2" t="s">
        <v>24</v>
      </c>
      <c r="K651" s="2">
        <v>-17.740815000000001</v>
      </c>
      <c r="L651" s="2">
        <v>-65.191188999999994</v>
      </c>
      <c r="M651" s="2" t="s">
        <v>776</v>
      </c>
      <c r="N651" s="2">
        <v>2425</v>
      </c>
      <c r="O651" s="2" t="s">
        <v>2388</v>
      </c>
      <c r="P651" s="2"/>
      <c r="Q651" s="2"/>
      <c r="R651" s="2">
        <f>IFERROR(VLOOKUP(A651,'[1]Recintos Cochabamba'!A$1:R$838,17,FALSE),0)</f>
        <v>15</v>
      </c>
      <c r="S651" s="3">
        <f>IFERROR(VLOOKUP(A651,'[1]Recintos Cochabamba'!A$1:T$838,18,FALSE),0)</f>
        <v>0.88833065512278142</v>
      </c>
    </row>
    <row r="652" spans="1:19" x14ac:dyDescent="0.25">
      <c r="A652" s="2">
        <v>2426</v>
      </c>
      <c r="B652" s="2" t="s">
        <v>19</v>
      </c>
      <c r="C652" s="2" t="s">
        <v>2383</v>
      </c>
      <c r="D652" s="2" t="s">
        <v>2384</v>
      </c>
      <c r="E652" s="2" t="s">
        <v>2389</v>
      </c>
      <c r="F652" s="2" t="s">
        <v>2390</v>
      </c>
      <c r="G652" s="2" t="s">
        <v>2391</v>
      </c>
      <c r="H652" s="2" t="s">
        <v>2392</v>
      </c>
      <c r="I652" s="2">
        <v>25</v>
      </c>
      <c r="J652" s="2" t="s">
        <v>24</v>
      </c>
      <c r="K652" s="2">
        <v>-17.6372</v>
      </c>
      <c r="L652" s="2">
        <v>-65.228999999999999</v>
      </c>
      <c r="M652" s="2" t="s">
        <v>776</v>
      </c>
      <c r="N652" s="2">
        <v>2426</v>
      </c>
      <c r="O652" s="2" t="s">
        <v>2393</v>
      </c>
      <c r="P652" s="2"/>
      <c r="Q652" s="2"/>
      <c r="R652" s="2">
        <f>IFERROR(VLOOKUP(A652,'[1]Recintos Cochabamba'!A$1:R$838,17,FALSE),0)</f>
        <v>5</v>
      </c>
      <c r="S652" s="3">
        <f>IFERROR(VLOOKUP(A652,'[1]Recintos Cochabamba'!A$1:T$838,18,FALSE),0)</f>
        <v>0.94220105376856067</v>
      </c>
    </row>
    <row r="653" spans="1:19" x14ac:dyDescent="0.25">
      <c r="A653" s="2">
        <v>2427</v>
      </c>
      <c r="B653" s="2" t="s">
        <v>19</v>
      </c>
      <c r="C653" s="2" t="s">
        <v>2383</v>
      </c>
      <c r="D653" s="2" t="s">
        <v>2384</v>
      </c>
      <c r="E653" s="2" t="s">
        <v>2394</v>
      </c>
      <c r="F653" s="2" t="s">
        <v>2395</v>
      </c>
      <c r="G653" s="2" t="s">
        <v>2396</v>
      </c>
      <c r="H653" s="2" t="s">
        <v>2397</v>
      </c>
      <c r="I653" s="2">
        <v>25</v>
      </c>
      <c r="J653" s="2" t="s">
        <v>24</v>
      </c>
      <c r="K653" s="2">
        <v>-17.670400000000001</v>
      </c>
      <c r="L653" s="2">
        <v>-65.095500000000001</v>
      </c>
      <c r="M653" s="2" t="s">
        <v>776</v>
      </c>
      <c r="N653" s="2">
        <v>2427</v>
      </c>
      <c r="O653" s="2" t="s">
        <v>2398</v>
      </c>
      <c r="P653" s="2"/>
      <c r="Q653" s="2"/>
      <c r="R653" s="2">
        <f>IFERROR(VLOOKUP(A653,'[1]Recintos Cochabamba'!A$1:R$838,17,FALSE),0)</f>
        <v>2</v>
      </c>
      <c r="S653" s="3">
        <f>IFERROR(VLOOKUP(A653,'[1]Recintos Cochabamba'!A$1:T$838,18,FALSE),0)</f>
        <v>0.96171503525168056</v>
      </c>
    </row>
    <row r="654" spans="1:19" x14ac:dyDescent="0.25">
      <c r="A654" s="2">
        <v>2428</v>
      </c>
      <c r="B654" s="2" t="s">
        <v>19</v>
      </c>
      <c r="C654" s="2" t="s">
        <v>2383</v>
      </c>
      <c r="D654" s="2" t="s">
        <v>2384</v>
      </c>
      <c r="E654" s="2" t="s">
        <v>2399</v>
      </c>
      <c r="F654" s="2" t="s">
        <v>2400</v>
      </c>
      <c r="G654" s="2" t="s">
        <v>2396</v>
      </c>
      <c r="H654" s="2" t="s">
        <v>2401</v>
      </c>
      <c r="I654" s="2">
        <v>25</v>
      </c>
      <c r="J654" s="2" t="s">
        <v>24</v>
      </c>
      <c r="K654" s="2">
        <v>-17.667211000000002</v>
      </c>
      <c r="L654" s="2">
        <v>-65.059753999999998</v>
      </c>
      <c r="M654" s="2" t="s">
        <v>776</v>
      </c>
      <c r="N654" s="2">
        <v>2428</v>
      </c>
      <c r="O654" s="2" t="s">
        <v>2402</v>
      </c>
      <c r="P654" s="2"/>
      <c r="Q654" s="2"/>
      <c r="R654" s="2">
        <f>IFERROR(VLOOKUP(A654,'[1]Recintos Cochabamba'!A$1:R$838,17,FALSE),0)</f>
        <v>4</v>
      </c>
      <c r="S654" s="3">
        <f>IFERROR(VLOOKUP(A654,'[1]Recintos Cochabamba'!A$1:T$838,18,FALSE),0)</f>
        <v>0.98750872552261282</v>
      </c>
    </row>
    <row r="655" spans="1:19" x14ac:dyDescent="0.25">
      <c r="A655" s="2">
        <v>2429</v>
      </c>
      <c r="B655" s="2" t="s">
        <v>19</v>
      </c>
      <c r="C655" s="2" t="s">
        <v>2383</v>
      </c>
      <c r="D655" s="2" t="s">
        <v>2384</v>
      </c>
      <c r="E655" s="2" t="s">
        <v>2403</v>
      </c>
      <c r="F655" s="2" t="s">
        <v>2404</v>
      </c>
      <c r="G655" s="2" t="s">
        <v>2396</v>
      </c>
      <c r="H655" s="2" t="s">
        <v>2403</v>
      </c>
      <c r="I655" s="2">
        <v>25</v>
      </c>
      <c r="J655" s="2" t="s">
        <v>24</v>
      </c>
      <c r="K655" s="2">
        <v>-17.661100000000001</v>
      </c>
      <c r="L655" s="2">
        <v>-65.131299999999996</v>
      </c>
      <c r="M655" s="2" t="s">
        <v>776</v>
      </c>
      <c r="N655" s="2">
        <v>2429</v>
      </c>
      <c r="O655" s="2" t="s">
        <v>2405</v>
      </c>
      <c r="P655" s="2"/>
      <c r="Q655" s="2"/>
      <c r="R655" s="2">
        <f>IFERROR(VLOOKUP(A655,'[1]Recintos Cochabamba'!A$1:R$838,17,FALSE),0)</f>
        <v>5</v>
      </c>
      <c r="S655" s="3">
        <f>IFERROR(VLOOKUP(A655,'[1]Recintos Cochabamba'!A$1:T$838,18,FALSE),0)</f>
        <v>0.98220903765540901</v>
      </c>
    </row>
    <row r="656" spans="1:19" x14ac:dyDescent="0.25">
      <c r="A656" s="2">
        <v>2430</v>
      </c>
      <c r="B656" s="2" t="s">
        <v>19</v>
      </c>
      <c r="C656" s="2" t="s">
        <v>2383</v>
      </c>
      <c r="D656" s="2" t="s">
        <v>2384</v>
      </c>
      <c r="E656" s="2" t="s">
        <v>2406</v>
      </c>
      <c r="F656" s="2" t="s">
        <v>2407</v>
      </c>
      <c r="G656" s="2" t="s">
        <v>2408</v>
      </c>
      <c r="H656" s="2" t="s">
        <v>2406</v>
      </c>
      <c r="I656" s="2">
        <v>25</v>
      </c>
      <c r="J656" s="2" t="s">
        <v>24</v>
      </c>
      <c r="K656" s="2">
        <v>-17.718</v>
      </c>
      <c r="L656" s="2">
        <v>-65.087100000000007</v>
      </c>
      <c r="M656" s="2" t="s">
        <v>776</v>
      </c>
      <c r="N656" s="2">
        <v>2430</v>
      </c>
      <c r="O656" s="2" t="s">
        <v>2409</v>
      </c>
      <c r="P656" s="2"/>
      <c r="Q656" s="2"/>
      <c r="R656" s="2">
        <f>IFERROR(VLOOKUP(A656,'[1]Recintos Cochabamba'!A$1:R$838,17,FALSE),0)</f>
        <v>4</v>
      </c>
      <c r="S656" s="3">
        <f>IFERROR(VLOOKUP(A656,'[1]Recintos Cochabamba'!A$1:T$838,18,FALSE),0)</f>
        <v>0.964837752027497</v>
      </c>
    </row>
    <row r="657" spans="1:19" x14ac:dyDescent="0.25">
      <c r="A657" s="2">
        <v>2431</v>
      </c>
      <c r="B657" s="2" t="s">
        <v>19</v>
      </c>
      <c r="C657" s="2" t="s">
        <v>2383</v>
      </c>
      <c r="D657" s="2" t="s">
        <v>2384</v>
      </c>
      <c r="E657" s="2" t="s">
        <v>2410</v>
      </c>
      <c r="F657" s="2" t="s">
        <v>2411</v>
      </c>
      <c r="G657" s="2" t="s">
        <v>2412</v>
      </c>
      <c r="H657" s="2" t="s">
        <v>2410</v>
      </c>
      <c r="I657" s="2">
        <v>25</v>
      </c>
      <c r="J657" s="2" t="s">
        <v>24</v>
      </c>
      <c r="K657" s="2">
        <v>-17.426100000000002</v>
      </c>
      <c r="L657" s="2">
        <v>-65.235799999999998</v>
      </c>
      <c r="M657" s="2" t="s">
        <v>776</v>
      </c>
      <c r="N657" s="2">
        <v>2431</v>
      </c>
      <c r="O657" s="2" t="s">
        <v>2413</v>
      </c>
      <c r="P657" s="2"/>
      <c r="Q657" s="2"/>
      <c r="R657" s="2">
        <f>IFERROR(VLOOKUP(A657,'[1]Recintos Cochabamba'!A$1:R$838,17,FALSE),0)</f>
        <v>3</v>
      </c>
      <c r="S657" s="3">
        <f>IFERROR(VLOOKUP(A657,'[1]Recintos Cochabamba'!A$1:T$838,18,FALSE),0)</f>
        <v>0.94331790782033498</v>
      </c>
    </row>
    <row r="658" spans="1:19" x14ac:dyDescent="0.25">
      <c r="A658" s="2">
        <v>2432</v>
      </c>
      <c r="B658" s="2" t="s">
        <v>19</v>
      </c>
      <c r="C658" s="2" t="s">
        <v>2383</v>
      </c>
      <c r="D658" s="2" t="s">
        <v>2384</v>
      </c>
      <c r="E658" s="2" t="s">
        <v>2414</v>
      </c>
      <c r="F658" s="2" t="s">
        <v>2415</v>
      </c>
      <c r="G658" s="2" t="s">
        <v>2416</v>
      </c>
      <c r="H658" s="2" t="s">
        <v>2414</v>
      </c>
      <c r="I658" s="2">
        <v>25</v>
      </c>
      <c r="J658" s="2" t="s">
        <v>24</v>
      </c>
      <c r="K658" s="2">
        <v>-17.783300000000001</v>
      </c>
      <c r="L658" s="2">
        <v>-65.256799999999998</v>
      </c>
      <c r="M658" s="2" t="s">
        <v>776</v>
      </c>
      <c r="N658" s="2">
        <v>2432</v>
      </c>
      <c r="O658" s="2" t="s">
        <v>2417</v>
      </c>
      <c r="P658" s="2"/>
      <c r="Q658" s="2"/>
      <c r="R658" s="2">
        <f>IFERROR(VLOOKUP(A658,'[1]Recintos Cochabamba'!A$1:R$838,17,FALSE),0)</f>
        <v>1</v>
      </c>
      <c r="S658" s="3">
        <f>IFERROR(VLOOKUP(A658,'[1]Recintos Cochabamba'!A$1:T$838,18,FALSE),0)</f>
        <v>0.96799999999999997</v>
      </c>
    </row>
    <row r="659" spans="1:19" x14ac:dyDescent="0.25">
      <c r="A659" s="2">
        <v>2433</v>
      </c>
      <c r="B659" s="2" t="s">
        <v>19</v>
      </c>
      <c r="C659" s="2" t="s">
        <v>2383</v>
      </c>
      <c r="D659" s="2" t="s">
        <v>2384</v>
      </c>
      <c r="E659" s="2" t="s">
        <v>2418</v>
      </c>
      <c r="F659" s="2" t="s">
        <v>2419</v>
      </c>
      <c r="G659" s="2" t="s">
        <v>2420</v>
      </c>
      <c r="H659" s="2" t="s">
        <v>2418</v>
      </c>
      <c r="I659" s="2">
        <v>25</v>
      </c>
      <c r="J659" s="2" t="s">
        <v>24</v>
      </c>
      <c r="K659" s="2">
        <v>-17.873100000000001</v>
      </c>
      <c r="L659" s="2">
        <v>-65.138000000000005</v>
      </c>
      <c r="M659" s="2" t="s">
        <v>776</v>
      </c>
      <c r="N659" s="2">
        <v>2433</v>
      </c>
      <c r="O659" s="2" t="s">
        <v>2421</v>
      </c>
      <c r="P659" s="2"/>
      <c r="Q659" s="2"/>
      <c r="R659" s="2">
        <f>IFERROR(VLOOKUP(A659,'[1]Recintos Cochabamba'!A$1:R$838,17,FALSE),0)</f>
        <v>1</v>
      </c>
      <c r="S659" s="3">
        <f>IFERROR(VLOOKUP(A659,'[1]Recintos Cochabamba'!A$1:T$838,18,FALSE),0)</f>
        <v>0.95918367346938771</v>
      </c>
    </row>
    <row r="660" spans="1:19" x14ac:dyDescent="0.25">
      <c r="A660" s="2">
        <v>2434</v>
      </c>
      <c r="B660" s="2" t="s">
        <v>19</v>
      </c>
      <c r="C660" s="2" t="s">
        <v>2383</v>
      </c>
      <c r="D660" s="2" t="s">
        <v>2384</v>
      </c>
      <c r="E660" s="2" t="s">
        <v>1651</v>
      </c>
      <c r="F660" s="2" t="s">
        <v>2422</v>
      </c>
      <c r="G660" s="2" t="s">
        <v>2420</v>
      </c>
      <c r="H660" s="2" t="s">
        <v>1651</v>
      </c>
      <c r="I660" s="2">
        <v>25</v>
      </c>
      <c r="J660" s="2" t="s">
        <v>24</v>
      </c>
      <c r="K660" s="2">
        <v>-17.889199999999999</v>
      </c>
      <c r="L660" s="2">
        <v>-65.041399999999996</v>
      </c>
      <c r="M660" s="2" t="s">
        <v>776</v>
      </c>
      <c r="N660" s="2">
        <v>2434</v>
      </c>
      <c r="O660" s="2" t="s">
        <v>2423</v>
      </c>
      <c r="P660" s="2"/>
      <c r="Q660" s="2"/>
      <c r="R660" s="2">
        <f>IFERROR(VLOOKUP(A660,'[1]Recintos Cochabamba'!A$1:R$838,17,FALSE),0)</f>
        <v>1</v>
      </c>
      <c r="S660" s="3">
        <f>IFERROR(VLOOKUP(A660,'[1]Recintos Cochabamba'!A$1:T$838,18,FALSE),0)</f>
        <v>0.94117647058823528</v>
      </c>
    </row>
    <row r="661" spans="1:19" x14ac:dyDescent="0.25">
      <c r="A661" s="2">
        <v>2435</v>
      </c>
      <c r="B661" s="2" t="s">
        <v>19</v>
      </c>
      <c r="C661" s="2" t="s">
        <v>2383</v>
      </c>
      <c r="D661" s="2" t="s">
        <v>2384</v>
      </c>
      <c r="E661" s="2" t="s">
        <v>2424</v>
      </c>
      <c r="F661" s="2" t="s">
        <v>2425</v>
      </c>
      <c r="G661" s="2" t="s">
        <v>2426</v>
      </c>
      <c r="H661" s="2" t="s">
        <v>2427</v>
      </c>
      <c r="I661" s="2">
        <v>25</v>
      </c>
      <c r="J661" s="2" t="s">
        <v>24</v>
      </c>
      <c r="K661" s="2">
        <v>-17.383073</v>
      </c>
      <c r="L661" s="2">
        <v>-65.149677999999994</v>
      </c>
      <c r="M661" s="2" t="s">
        <v>776</v>
      </c>
      <c r="N661" s="2">
        <v>2435</v>
      </c>
      <c r="O661" s="2" t="s">
        <v>2428</v>
      </c>
      <c r="P661" s="2"/>
      <c r="Q661" s="2"/>
      <c r="R661" s="2">
        <f>IFERROR(VLOOKUP(A661,'[1]Recintos Cochabamba'!A$1:R$838,17,FALSE),0)</f>
        <v>1</v>
      </c>
      <c r="S661" s="3">
        <v>0</v>
      </c>
    </row>
    <row r="662" spans="1:19" x14ac:dyDescent="0.25">
      <c r="A662" s="2">
        <v>2436</v>
      </c>
      <c r="B662" s="2" t="s">
        <v>19</v>
      </c>
      <c r="C662" s="2" t="s">
        <v>2383</v>
      </c>
      <c r="D662" s="2" t="s">
        <v>2384</v>
      </c>
      <c r="E662" s="2" t="s">
        <v>2429</v>
      </c>
      <c r="F662" s="2" t="s">
        <v>2430</v>
      </c>
      <c r="G662" s="2" t="s">
        <v>2426</v>
      </c>
      <c r="H662" s="2" t="s">
        <v>2431</v>
      </c>
      <c r="I662" s="2">
        <v>25</v>
      </c>
      <c r="J662" s="2" t="s">
        <v>24</v>
      </c>
      <c r="K662" s="2">
        <v>-17.373538</v>
      </c>
      <c r="L662" s="2">
        <v>-65.091542000000004</v>
      </c>
      <c r="M662" s="2" t="s">
        <v>776</v>
      </c>
      <c r="N662" s="2">
        <v>2436</v>
      </c>
      <c r="O662" s="2" t="s">
        <v>2432</v>
      </c>
      <c r="P662" s="2"/>
      <c r="Q662" s="2"/>
      <c r="R662" s="2">
        <f>IFERROR(VLOOKUP(A662,'[1]Recintos Cochabamba'!A$1:R$838,17,FALSE),0)</f>
        <v>2</v>
      </c>
      <c r="S662" s="3">
        <v>0</v>
      </c>
    </row>
    <row r="663" spans="1:19" x14ac:dyDescent="0.25">
      <c r="A663" s="2">
        <v>2437</v>
      </c>
      <c r="B663" s="2" t="s">
        <v>19</v>
      </c>
      <c r="C663" s="2" t="s">
        <v>2383</v>
      </c>
      <c r="D663" s="2" t="s">
        <v>2384</v>
      </c>
      <c r="E663" s="2" t="s">
        <v>2433</v>
      </c>
      <c r="F663" s="2" t="s">
        <v>2434</v>
      </c>
      <c r="G663" s="2" t="s">
        <v>2420</v>
      </c>
      <c r="H663" s="2" t="s">
        <v>2435</v>
      </c>
      <c r="I663" s="2">
        <v>25</v>
      </c>
      <c r="J663" s="2" t="s">
        <v>24</v>
      </c>
      <c r="K663" s="2">
        <v>-17.684649</v>
      </c>
      <c r="L663" s="2">
        <v>-65.213407000000004</v>
      </c>
      <c r="M663" s="2" t="s">
        <v>776</v>
      </c>
      <c r="N663" s="2">
        <v>2437</v>
      </c>
      <c r="O663" s="2" t="s">
        <v>2436</v>
      </c>
      <c r="P663" s="2"/>
      <c r="Q663" s="2"/>
      <c r="R663" s="2">
        <f>IFERROR(VLOOKUP(A663,'[1]Recintos Cochabamba'!A$1:R$838,17,FALSE),0)</f>
        <v>0</v>
      </c>
      <c r="S663" s="3">
        <v>0</v>
      </c>
    </row>
    <row r="664" spans="1:19" x14ac:dyDescent="0.25">
      <c r="A664" s="2">
        <v>2438</v>
      </c>
      <c r="B664" s="2" t="s">
        <v>19</v>
      </c>
      <c r="C664" s="2" t="s">
        <v>2383</v>
      </c>
      <c r="D664" s="2" t="s">
        <v>2384</v>
      </c>
      <c r="E664" s="2" t="s">
        <v>2437</v>
      </c>
      <c r="F664" s="2" t="s">
        <v>2438</v>
      </c>
      <c r="G664" s="2" t="s">
        <v>2420</v>
      </c>
      <c r="H664" s="2" t="s">
        <v>2439</v>
      </c>
      <c r="I664" s="2">
        <v>25</v>
      </c>
      <c r="J664" s="2" t="s">
        <v>24</v>
      </c>
      <c r="K664" s="2">
        <v>-17.650970999999998</v>
      </c>
      <c r="L664" s="2">
        <v>-65.180366000000006</v>
      </c>
      <c r="M664" s="2" t="s">
        <v>776</v>
      </c>
      <c r="N664" s="2">
        <v>2438</v>
      </c>
      <c r="O664" s="2" t="s">
        <v>2440</v>
      </c>
      <c r="P664" s="2"/>
      <c r="Q664" s="2"/>
      <c r="R664" s="2">
        <f>IFERROR(VLOOKUP(A664,'[1]Recintos Cochabamba'!A$1:R$838,17,FALSE),0)</f>
        <v>0</v>
      </c>
      <c r="S664" s="3">
        <v>0</v>
      </c>
    </row>
    <row r="665" spans="1:19" x14ac:dyDescent="0.25">
      <c r="A665" s="2">
        <v>2439</v>
      </c>
      <c r="B665" s="2" t="s">
        <v>19</v>
      </c>
      <c r="C665" s="2" t="s">
        <v>2383</v>
      </c>
      <c r="D665" s="2" t="s">
        <v>2441</v>
      </c>
      <c r="E665" s="2" t="s">
        <v>2441</v>
      </c>
      <c r="F665" s="2" t="s">
        <v>2442</v>
      </c>
      <c r="G665" s="2" t="s">
        <v>2443</v>
      </c>
      <c r="H665" s="2" t="s">
        <v>2441</v>
      </c>
      <c r="I665" s="2">
        <v>25</v>
      </c>
      <c r="J665" s="2" t="s">
        <v>24</v>
      </c>
      <c r="K665" s="2">
        <v>-17.754899999999999</v>
      </c>
      <c r="L665" s="2">
        <v>-64.866299999999995</v>
      </c>
      <c r="M665" s="2" t="s">
        <v>776</v>
      </c>
      <c r="N665" s="2">
        <v>2439</v>
      </c>
      <c r="O665" s="2" t="s">
        <v>2444</v>
      </c>
      <c r="P665" s="2"/>
      <c r="Q665" s="2"/>
      <c r="R665" s="2">
        <f>IFERROR(VLOOKUP(A665,'[1]Recintos Cochabamba'!A$1:R$838,17,FALSE),0)</f>
        <v>9</v>
      </c>
      <c r="S665" s="3">
        <f>IFERROR(VLOOKUP(A665,'[1]Recintos Cochabamba'!A$1:T$838,18,FALSE),0)</f>
        <v>0.905899170696009</v>
      </c>
    </row>
    <row r="666" spans="1:19" x14ac:dyDescent="0.25">
      <c r="A666" s="2">
        <v>2440</v>
      </c>
      <c r="B666" s="2" t="s">
        <v>19</v>
      </c>
      <c r="C666" s="2" t="s">
        <v>2383</v>
      </c>
      <c r="D666" s="2" t="s">
        <v>2441</v>
      </c>
      <c r="E666" s="2" t="s">
        <v>2445</v>
      </c>
      <c r="F666" s="2" t="s">
        <v>2446</v>
      </c>
      <c r="G666" s="2" t="s">
        <v>2443</v>
      </c>
      <c r="H666" s="2" t="s">
        <v>2445</v>
      </c>
      <c r="I666" s="2">
        <v>25</v>
      </c>
      <c r="J666" s="2" t="s">
        <v>24</v>
      </c>
      <c r="K666" s="2">
        <v>-17.738600000000002</v>
      </c>
      <c r="L666" s="2">
        <v>-64.743300000000005</v>
      </c>
      <c r="M666" s="2" t="s">
        <v>776</v>
      </c>
      <c r="N666" s="2">
        <v>2440</v>
      </c>
      <c r="O666" s="2" t="s">
        <v>2447</v>
      </c>
      <c r="P666" s="2"/>
      <c r="Q666" s="2"/>
      <c r="R666" s="2">
        <f>IFERROR(VLOOKUP(A666,'[1]Recintos Cochabamba'!A$1:R$838,17,FALSE),0)</f>
        <v>2</v>
      </c>
      <c r="S666" s="3">
        <v>0</v>
      </c>
    </row>
    <row r="667" spans="1:19" x14ac:dyDescent="0.25">
      <c r="A667" s="2">
        <v>2441</v>
      </c>
      <c r="B667" s="2" t="s">
        <v>19</v>
      </c>
      <c r="C667" s="2" t="s">
        <v>2383</v>
      </c>
      <c r="D667" s="2" t="s">
        <v>2441</v>
      </c>
      <c r="E667" s="2" t="s">
        <v>2448</v>
      </c>
      <c r="F667" s="2" t="s">
        <v>2449</v>
      </c>
      <c r="G667" s="2" t="s">
        <v>2443</v>
      </c>
      <c r="H667" s="2" t="s">
        <v>2448</v>
      </c>
      <c r="I667" s="2">
        <v>25</v>
      </c>
      <c r="J667" s="2" t="s">
        <v>24</v>
      </c>
      <c r="K667" s="2">
        <v>-17.8445</v>
      </c>
      <c r="L667" s="2">
        <v>-64.895300000000006</v>
      </c>
      <c r="M667" s="2" t="s">
        <v>776</v>
      </c>
      <c r="N667" s="2">
        <v>2441</v>
      </c>
      <c r="O667" s="2" t="s">
        <v>2450</v>
      </c>
      <c r="P667" s="2"/>
      <c r="Q667" s="2"/>
      <c r="R667" s="2">
        <f>IFERROR(VLOOKUP(A667,'[1]Recintos Cochabamba'!A$1:R$838,17,FALSE),0)</f>
        <v>4</v>
      </c>
      <c r="S667" s="3">
        <f>IFERROR(VLOOKUP(A667,'[1]Recintos Cochabamba'!A$1:T$838,18,FALSE),0)</f>
        <v>0.97526190622494546</v>
      </c>
    </row>
    <row r="668" spans="1:19" x14ac:dyDescent="0.25">
      <c r="A668" s="2">
        <v>2442</v>
      </c>
      <c r="B668" s="2" t="s">
        <v>19</v>
      </c>
      <c r="C668" s="2" t="s">
        <v>2383</v>
      </c>
      <c r="D668" s="2" t="s">
        <v>2441</v>
      </c>
      <c r="E668" s="2" t="s">
        <v>2451</v>
      </c>
      <c r="F668" s="2" t="s">
        <v>2452</v>
      </c>
      <c r="G668" s="2" t="s">
        <v>2453</v>
      </c>
      <c r="H668" s="2" t="s">
        <v>2451</v>
      </c>
      <c r="I668" s="2">
        <v>25</v>
      </c>
      <c r="J668" s="2" t="s">
        <v>24</v>
      </c>
      <c r="K668" s="2">
        <v>-17.787299999999998</v>
      </c>
      <c r="L668" s="2">
        <v>-65.019400000000005</v>
      </c>
      <c r="M668" s="2" t="s">
        <v>776</v>
      </c>
      <c r="N668" s="2">
        <v>2442</v>
      </c>
      <c r="O668" s="2" t="s">
        <v>2454</v>
      </c>
      <c r="P668" s="2"/>
      <c r="Q668" s="2"/>
      <c r="R668" s="2">
        <f>IFERROR(VLOOKUP(A668,'[1]Recintos Cochabamba'!A$1:R$838,17,FALSE),0)</f>
        <v>1</v>
      </c>
      <c r="S668" s="3">
        <f>IFERROR(VLOOKUP(A668,'[1]Recintos Cochabamba'!A$1:T$838,18,FALSE),0)</f>
        <v>0.98192771084337349</v>
      </c>
    </row>
    <row r="669" spans="1:19" x14ac:dyDescent="0.25">
      <c r="A669" s="2">
        <v>2443</v>
      </c>
      <c r="B669" s="2" t="s">
        <v>19</v>
      </c>
      <c r="C669" s="2" t="s">
        <v>2383</v>
      </c>
      <c r="D669" s="2" t="s">
        <v>2441</v>
      </c>
      <c r="E669" s="2" t="s">
        <v>2455</v>
      </c>
      <c r="F669" s="2" t="s">
        <v>2456</v>
      </c>
      <c r="G669" s="2" t="s">
        <v>2443</v>
      </c>
      <c r="H669" s="2" t="s">
        <v>2455</v>
      </c>
      <c r="I669" s="2">
        <v>25</v>
      </c>
      <c r="J669" s="2" t="s">
        <v>24</v>
      </c>
      <c r="K669" s="2">
        <v>-17.745999999999999</v>
      </c>
      <c r="L669" s="2">
        <v>-64.993499999999997</v>
      </c>
      <c r="M669" s="2" t="s">
        <v>776</v>
      </c>
      <c r="N669" s="2">
        <v>2443</v>
      </c>
      <c r="O669" s="2" t="s">
        <v>2457</v>
      </c>
      <c r="P669" s="2"/>
      <c r="Q669" s="2"/>
      <c r="R669" s="2">
        <f>IFERROR(VLOOKUP(A669,'[1]Recintos Cochabamba'!A$1:R$838,17,FALSE),0)</f>
        <v>3</v>
      </c>
      <c r="S669" s="3">
        <f>IFERROR(VLOOKUP(A669,'[1]Recintos Cochabamba'!A$1:T$838,18,FALSE),0)</f>
        <v>0.98339305999909443</v>
      </c>
    </row>
    <row r="670" spans="1:19" x14ac:dyDescent="0.25">
      <c r="A670" s="2">
        <v>2444</v>
      </c>
      <c r="B670" s="2" t="s">
        <v>19</v>
      </c>
      <c r="C670" s="2" t="s">
        <v>2383</v>
      </c>
      <c r="D670" s="2" t="s">
        <v>2441</v>
      </c>
      <c r="E670" s="2" t="s">
        <v>2458</v>
      </c>
      <c r="F670" s="2" t="s">
        <v>2459</v>
      </c>
      <c r="G670" s="2" t="s">
        <v>2460</v>
      </c>
      <c r="H670" s="2" t="s">
        <v>2461</v>
      </c>
      <c r="I670" s="2">
        <v>25</v>
      </c>
      <c r="J670" s="2" t="s">
        <v>24</v>
      </c>
      <c r="K670" s="2">
        <v>-17.703900000000001</v>
      </c>
      <c r="L670" s="2">
        <v>-64.976100000000002</v>
      </c>
      <c r="M670" s="2" t="s">
        <v>776</v>
      </c>
      <c r="N670" s="2">
        <v>2444</v>
      </c>
      <c r="O670" s="2" t="s">
        <v>2462</v>
      </c>
      <c r="P670" s="2"/>
      <c r="Q670" s="2"/>
      <c r="R670" s="2">
        <f>IFERROR(VLOOKUP(A670,'[1]Recintos Cochabamba'!A$1:R$838,17,FALSE),0)</f>
        <v>3</v>
      </c>
      <c r="S670" s="3">
        <f>IFERROR(VLOOKUP(A670,'[1]Recintos Cochabamba'!A$1:T$838,18,FALSE),0)</f>
        <v>0.99468223898982766</v>
      </c>
    </row>
    <row r="671" spans="1:19" x14ac:dyDescent="0.25">
      <c r="A671" s="2">
        <v>2445</v>
      </c>
      <c r="B671" s="2" t="s">
        <v>19</v>
      </c>
      <c r="C671" s="2" t="s">
        <v>2383</v>
      </c>
      <c r="D671" s="2" t="s">
        <v>2441</v>
      </c>
      <c r="E671" s="2" t="s">
        <v>2463</v>
      </c>
      <c r="F671" s="2" t="s">
        <v>2464</v>
      </c>
      <c r="G671" s="2" t="s">
        <v>2465</v>
      </c>
      <c r="H671" s="2" t="s">
        <v>2466</v>
      </c>
      <c r="I671" s="2">
        <v>25</v>
      </c>
      <c r="J671" s="2" t="s">
        <v>24</v>
      </c>
      <c r="K671" s="2">
        <v>-17.835999999999999</v>
      </c>
      <c r="L671" s="2">
        <v>-64.783000000000001</v>
      </c>
      <c r="M671" s="2" t="s">
        <v>776</v>
      </c>
      <c r="N671" s="2">
        <v>2445</v>
      </c>
      <c r="O671" s="2" t="s">
        <v>2467</v>
      </c>
      <c r="P671" s="2"/>
      <c r="Q671" s="2"/>
      <c r="R671" s="2">
        <f>IFERROR(VLOOKUP(A671,'[1]Recintos Cochabamba'!A$1:R$838,17,FALSE),0)</f>
        <v>2</v>
      </c>
      <c r="S671" s="3">
        <f>IFERROR(VLOOKUP(A671,'[1]Recintos Cochabamba'!A$1:T$838,18,FALSE),0)</f>
        <v>0.98034101337970347</v>
      </c>
    </row>
    <row r="672" spans="1:19" x14ac:dyDescent="0.25">
      <c r="A672" s="2">
        <v>2446</v>
      </c>
      <c r="B672" s="2" t="s">
        <v>19</v>
      </c>
      <c r="C672" s="2" t="s">
        <v>2383</v>
      </c>
      <c r="D672" s="2" t="s">
        <v>2441</v>
      </c>
      <c r="E672" s="2" t="s">
        <v>2468</v>
      </c>
      <c r="F672" s="2" t="s">
        <v>2469</v>
      </c>
      <c r="G672" s="2" t="s">
        <v>2443</v>
      </c>
      <c r="H672" s="2" t="s">
        <v>2468</v>
      </c>
      <c r="I672" s="2">
        <v>25</v>
      </c>
      <c r="J672" s="2" t="s">
        <v>24</v>
      </c>
      <c r="K672" s="2">
        <v>-17.7044</v>
      </c>
      <c r="L672" s="2">
        <v>-64.704099999999997</v>
      </c>
      <c r="M672" s="2" t="s">
        <v>776</v>
      </c>
      <c r="N672" s="2">
        <v>2446</v>
      </c>
      <c r="O672" s="2" t="s">
        <v>2470</v>
      </c>
      <c r="P672" s="2"/>
      <c r="Q672" s="2"/>
      <c r="R672" s="2">
        <f>IFERROR(VLOOKUP(A672,'[1]Recintos Cochabamba'!A$1:R$838,17,FALSE),0)</f>
        <v>2</v>
      </c>
      <c r="S672" s="3">
        <f>IFERROR(VLOOKUP(A672,'[1]Recintos Cochabamba'!A$1:T$838,18,FALSE),0)</f>
        <v>0.95491034806047104</v>
      </c>
    </row>
    <row r="673" spans="1:19" x14ac:dyDescent="0.25">
      <c r="A673" s="2">
        <v>2447</v>
      </c>
      <c r="B673" s="2" t="s">
        <v>19</v>
      </c>
      <c r="C673" s="2" t="s">
        <v>2383</v>
      </c>
      <c r="D673" s="2" t="s">
        <v>2441</v>
      </c>
      <c r="E673" s="2" t="s">
        <v>2471</v>
      </c>
      <c r="F673" s="2" t="s">
        <v>2472</v>
      </c>
      <c r="G673" s="2" t="s">
        <v>2443</v>
      </c>
      <c r="H673" s="2" t="s">
        <v>2471</v>
      </c>
      <c r="I673" s="2">
        <v>25</v>
      </c>
      <c r="J673" s="2" t="s">
        <v>24</v>
      </c>
      <c r="K673" s="2">
        <v>-17.735499999999998</v>
      </c>
      <c r="L673" s="2">
        <v>-64.927400000000006</v>
      </c>
      <c r="M673" s="2" t="s">
        <v>776</v>
      </c>
      <c r="N673" s="2">
        <v>2447</v>
      </c>
      <c r="O673" s="2" t="s">
        <v>2473</v>
      </c>
      <c r="P673" s="2"/>
      <c r="Q673" s="2"/>
      <c r="R673" s="2">
        <f>IFERROR(VLOOKUP(A673,'[1]Recintos Cochabamba'!A$1:R$838,17,FALSE),0)</f>
        <v>2</v>
      </c>
      <c r="S673" s="3">
        <f>IFERROR(VLOOKUP(A673,'[1]Recintos Cochabamba'!A$1:T$838,18,FALSE),0)</f>
        <v>0.96969911755324811</v>
      </c>
    </row>
    <row r="674" spans="1:19" x14ac:dyDescent="0.25">
      <c r="A674" s="2">
        <v>2448</v>
      </c>
      <c r="B674" s="2" t="s">
        <v>19</v>
      </c>
      <c r="C674" s="2" t="s">
        <v>2383</v>
      </c>
      <c r="D674" s="2" t="s">
        <v>2441</v>
      </c>
      <c r="E674" s="2" t="s">
        <v>2474</v>
      </c>
      <c r="F674" s="2" t="s">
        <v>2475</v>
      </c>
      <c r="G674" s="2" t="s">
        <v>2476</v>
      </c>
      <c r="H674" s="2" t="s">
        <v>2474</v>
      </c>
      <c r="I674" s="2">
        <v>25</v>
      </c>
      <c r="J674" s="2" t="s">
        <v>24</v>
      </c>
      <c r="K674" s="2">
        <v>-17.953099999999999</v>
      </c>
      <c r="L674" s="2">
        <v>-64.861400000000003</v>
      </c>
      <c r="M674" s="2" t="s">
        <v>776</v>
      </c>
      <c r="N674" s="2">
        <v>2448</v>
      </c>
      <c r="O674" s="2" t="s">
        <v>2477</v>
      </c>
      <c r="P674" s="2"/>
      <c r="Q674" s="2"/>
      <c r="R674" s="2">
        <f>IFERROR(VLOOKUP(A674,'[1]Recintos Cochabamba'!A$1:R$838,17,FALSE),0)</f>
        <v>1</v>
      </c>
      <c r="S674" s="3">
        <f>IFERROR(VLOOKUP(A674,'[1]Recintos Cochabamba'!A$1:T$838,18,FALSE),0)</f>
        <v>1</v>
      </c>
    </row>
    <row r="675" spans="1:19" x14ac:dyDescent="0.25">
      <c r="A675" s="2">
        <v>2449</v>
      </c>
      <c r="B675" s="2" t="s">
        <v>19</v>
      </c>
      <c r="C675" s="2" t="s">
        <v>2383</v>
      </c>
      <c r="D675" s="2" t="s">
        <v>2441</v>
      </c>
      <c r="E675" s="2" t="s">
        <v>2478</v>
      </c>
      <c r="F675" s="2" t="s">
        <v>2479</v>
      </c>
      <c r="G675" s="2" t="s">
        <v>2480</v>
      </c>
      <c r="H675" s="2" t="s">
        <v>2478</v>
      </c>
      <c r="I675" s="2">
        <v>25</v>
      </c>
      <c r="J675" s="2" t="s">
        <v>24</v>
      </c>
      <c r="K675" s="2">
        <v>-17.845800000000001</v>
      </c>
      <c r="L675" s="2">
        <v>-64.980099999999993</v>
      </c>
      <c r="M675" s="2" t="s">
        <v>776</v>
      </c>
      <c r="N675" s="2">
        <v>2449</v>
      </c>
      <c r="O675" s="2" t="s">
        <v>2481</v>
      </c>
      <c r="P675" s="2"/>
      <c r="Q675" s="2"/>
      <c r="R675" s="2">
        <f>IFERROR(VLOOKUP(A675,'[1]Recintos Cochabamba'!A$1:R$838,17,FALSE),0)</f>
        <v>1</v>
      </c>
      <c r="S675" s="3">
        <f>IFERROR(VLOOKUP(A675,'[1]Recintos Cochabamba'!A$1:T$838,18,FALSE),0)</f>
        <v>0.99099099099099097</v>
      </c>
    </row>
    <row r="676" spans="1:19" x14ac:dyDescent="0.25">
      <c r="A676" s="2">
        <v>2450</v>
      </c>
      <c r="B676" s="2" t="s">
        <v>19</v>
      </c>
      <c r="C676" s="2" t="s">
        <v>2383</v>
      </c>
      <c r="D676" s="2" t="s">
        <v>2441</v>
      </c>
      <c r="E676" s="2" t="s">
        <v>2482</v>
      </c>
      <c r="F676" s="2" t="s">
        <v>2483</v>
      </c>
      <c r="G676" s="2" t="s">
        <v>2484</v>
      </c>
      <c r="H676" s="2" t="s">
        <v>2485</v>
      </c>
      <c r="I676" s="2">
        <v>25</v>
      </c>
      <c r="J676" s="2" t="s">
        <v>24</v>
      </c>
      <c r="K676" s="2">
        <v>-17.729006999999999</v>
      </c>
      <c r="L676" s="2">
        <v>-64.874350000000007</v>
      </c>
      <c r="M676" s="2" t="s">
        <v>776</v>
      </c>
      <c r="N676" s="2">
        <v>2450</v>
      </c>
      <c r="O676" s="2" t="s">
        <v>2486</v>
      </c>
      <c r="P676" s="2"/>
      <c r="Q676" s="2"/>
      <c r="R676" s="2">
        <f>IFERROR(VLOOKUP(A676,'[1]Recintos Cochabamba'!A$1:R$838,17,FALSE),0)</f>
        <v>2</v>
      </c>
      <c r="S676" s="3">
        <v>0</v>
      </c>
    </row>
    <row r="677" spans="1:19" x14ac:dyDescent="0.25">
      <c r="A677" s="2">
        <v>2451</v>
      </c>
      <c r="B677" s="2" t="s">
        <v>19</v>
      </c>
      <c r="C677" s="2" t="s">
        <v>2383</v>
      </c>
      <c r="D677" s="2" t="s">
        <v>2441</v>
      </c>
      <c r="E677" s="2" t="s">
        <v>2487</v>
      </c>
      <c r="F677" s="2" t="s">
        <v>2488</v>
      </c>
      <c r="G677" s="2" t="s">
        <v>2489</v>
      </c>
      <c r="H677" s="2" t="s">
        <v>2490</v>
      </c>
      <c r="I677" s="2">
        <v>25</v>
      </c>
      <c r="J677" s="2" t="s">
        <v>24</v>
      </c>
      <c r="K677" s="2">
        <v>-17.886873999999999</v>
      </c>
      <c r="L677" s="2">
        <v>-64.858622999999994</v>
      </c>
      <c r="M677" s="2" t="s">
        <v>25</v>
      </c>
      <c r="N677" s="2">
        <v>2451</v>
      </c>
      <c r="O677" s="2" t="s">
        <v>2491</v>
      </c>
      <c r="P677" s="2"/>
      <c r="Q677" s="2"/>
      <c r="R677" s="2">
        <f>IFERROR(VLOOKUP(A677,'[1]Recintos Cochabamba'!A$1:R$838,17,FALSE),0)</f>
        <v>1</v>
      </c>
      <c r="S677" s="3">
        <v>0</v>
      </c>
    </row>
    <row r="678" spans="1:19" x14ac:dyDescent="0.25">
      <c r="A678" s="2">
        <v>2452</v>
      </c>
      <c r="B678" s="2" t="s">
        <v>19</v>
      </c>
      <c r="C678" s="2" t="s">
        <v>2383</v>
      </c>
      <c r="D678" s="2" t="s">
        <v>2441</v>
      </c>
      <c r="E678" s="2" t="s">
        <v>2492</v>
      </c>
      <c r="F678" s="2" t="s">
        <v>2493</v>
      </c>
      <c r="G678" s="2" t="s">
        <v>2443</v>
      </c>
      <c r="H678" s="2" t="s">
        <v>2494</v>
      </c>
      <c r="I678" s="2">
        <v>25</v>
      </c>
      <c r="J678" s="2" t="s">
        <v>24</v>
      </c>
      <c r="K678" s="2">
        <v>-17.712446</v>
      </c>
      <c r="L678" s="2">
        <v>-64.682109999999994</v>
      </c>
      <c r="M678" s="2" t="s">
        <v>25</v>
      </c>
      <c r="N678" s="2">
        <v>2452</v>
      </c>
      <c r="O678" s="2" t="s">
        <v>2495</v>
      </c>
      <c r="P678" s="2"/>
      <c r="Q678" s="2"/>
      <c r="R678" s="2">
        <f>IFERROR(VLOOKUP(A678,'[1]Recintos Cochabamba'!A$1:R$838,17,FALSE),0)</f>
        <v>1</v>
      </c>
      <c r="S678" s="3">
        <v>0</v>
      </c>
    </row>
    <row r="679" spans="1:19" x14ac:dyDescent="0.25">
      <c r="A679" s="2">
        <v>2453</v>
      </c>
      <c r="B679" s="2" t="s">
        <v>19</v>
      </c>
      <c r="C679" s="2" t="s">
        <v>2383</v>
      </c>
      <c r="D679" s="2" t="s">
        <v>2441</v>
      </c>
      <c r="E679" s="2" t="s">
        <v>2496</v>
      </c>
      <c r="F679" s="2" t="s">
        <v>1527</v>
      </c>
      <c r="G679" s="2" t="s">
        <v>2460</v>
      </c>
      <c r="H679" s="2" t="s">
        <v>2497</v>
      </c>
      <c r="I679" s="2">
        <v>25</v>
      </c>
      <c r="J679" s="2" t="s">
        <v>24</v>
      </c>
      <c r="K679" s="2">
        <v>-17.702658</v>
      </c>
      <c r="L679" s="2">
        <v>-65.016546000000005</v>
      </c>
      <c r="M679" s="2" t="s">
        <v>25</v>
      </c>
      <c r="N679" s="2">
        <v>2453</v>
      </c>
      <c r="O679" s="2" t="s">
        <v>2498</v>
      </c>
      <c r="P679" s="2"/>
      <c r="Q679" s="2"/>
      <c r="R679" s="2">
        <f>IFERROR(VLOOKUP(A679,'[1]Recintos Cochabamba'!A$1:R$838,17,FALSE),0)</f>
        <v>1</v>
      </c>
      <c r="S679" s="3">
        <v>0</v>
      </c>
    </row>
    <row r="680" spans="1:19" x14ac:dyDescent="0.25">
      <c r="A680" s="2">
        <v>2454</v>
      </c>
      <c r="B680" s="2" t="s">
        <v>19</v>
      </c>
      <c r="C680" s="2" t="s">
        <v>2383</v>
      </c>
      <c r="D680" s="2" t="s">
        <v>2441</v>
      </c>
      <c r="E680" s="2" t="s">
        <v>2499</v>
      </c>
      <c r="F680" s="2" t="s">
        <v>2500</v>
      </c>
      <c r="G680" s="2" t="s">
        <v>2443</v>
      </c>
      <c r="H680" s="2" t="s">
        <v>2501</v>
      </c>
      <c r="I680" s="2">
        <v>25</v>
      </c>
      <c r="J680" s="2" t="s">
        <v>24</v>
      </c>
      <c r="K680" s="2">
        <v>-17.746984999999999</v>
      </c>
      <c r="L680" s="2">
        <v>-64.848581999999993</v>
      </c>
      <c r="M680" s="2" t="s">
        <v>25</v>
      </c>
      <c r="N680" s="2">
        <v>2454</v>
      </c>
      <c r="O680" s="2" t="s">
        <v>2502</v>
      </c>
      <c r="P680" s="2"/>
      <c r="Q680" s="2"/>
      <c r="R680" s="2">
        <f>IFERROR(VLOOKUP(A680,'[1]Recintos Cochabamba'!A$1:R$838,17,FALSE),0)</f>
        <v>2</v>
      </c>
      <c r="S680" s="3">
        <v>0</v>
      </c>
    </row>
    <row r="681" spans="1:19" x14ac:dyDescent="0.25">
      <c r="A681" s="2">
        <v>2455</v>
      </c>
      <c r="B681" s="2" t="s">
        <v>19</v>
      </c>
      <c r="C681" s="2" t="s">
        <v>2383</v>
      </c>
      <c r="D681" s="2" t="s">
        <v>2503</v>
      </c>
      <c r="E681" s="2" t="s">
        <v>2503</v>
      </c>
      <c r="F681" s="2" t="s">
        <v>2504</v>
      </c>
      <c r="G681" s="2" t="s">
        <v>2505</v>
      </c>
      <c r="H681" s="2" t="s">
        <v>2503</v>
      </c>
      <c r="I681" s="2">
        <v>25</v>
      </c>
      <c r="J681" s="2" t="s">
        <v>24</v>
      </c>
      <c r="K681" s="2">
        <v>-17.676048000000002</v>
      </c>
      <c r="L681" s="2">
        <v>-65.415510999999995</v>
      </c>
      <c r="M681" s="2" t="s">
        <v>25</v>
      </c>
      <c r="N681" s="2">
        <v>2455</v>
      </c>
      <c r="O681" s="2" t="s">
        <v>2506</v>
      </c>
      <c r="P681" s="2"/>
      <c r="Q681" s="2"/>
      <c r="R681" s="2">
        <f>IFERROR(VLOOKUP(A681,'[1]Recintos Cochabamba'!A$1:R$838,17,FALSE),0)</f>
        <v>2</v>
      </c>
      <c r="S681" s="3">
        <v>0</v>
      </c>
    </row>
    <row r="682" spans="1:19" x14ac:dyDescent="0.25">
      <c r="A682" s="2">
        <v>2456</v>
      </c>
      <c r="B682" s="2" t="s">
        <v>19</v>
      </c>
      <c r="C682" s="2" t="s">
        <v>2383</v>
      </c>
      <c r="D682" s="2" t="s">
        <v>2503</v>
      </c>
      <c r="E682" s="2" t="s">
        <v>2507</v>
      </c>
      <c r="F682" s="2" t="s">
        <v>2508</v>
      </c>
      <c r="G682" s="2" t="s">
        <v>2412</v>
      </c>
      <c r="H682" s="2" t="s">
        <v>2507</v>
      </c>
      <c r="I682" s="2">
        <v>25</v>
      </c>
      <c r="J682" s="2" t="s">
        <v>24</v>
      </c>
      <c r="K682" s="2">
        <v>-17.585000000000001</v>
      </c>
      <c r="L682" s="2">
        <v>-65.302999999999997</v>
      </c>
      <c r="M682" s="2" t="s">
        <v>25</v>
      </c>
      <c r="N682" s="2">
        <v>2456</v>
      </c>
      <c r="O682" s="2" t="s">
        <v>2509</v>
      </c>
      <c r="P682" s="2"/>
      <c r="Q682" s="2"/>
      <c r="R682" s="2">
        <f>IFERROR(VLOOKUP(A682,'[1]Recintos Cochabamba'!A$1:R$838,17,FALSE),0)</f>
        <v>0</v>
      </c>
      <c r="S682" s="3">
        <v>0</v>
      </c>
    </row>
    <row r="683" spans="1:19" x14ac:dyDescent="0.25">
      <c r="A683" s="2">
        <v>2457</v>
      </c>
      <c r="B683" s="2" t="s">
        <v>19</v>
      </c>
      <c r="C683" s="2" t="s">
        <v>2383</v>
      </c>
      <c r="D683" s="2" t="s">
        <v>2503</v>
      </c>
      <c r="E683" s="2" t="s">
        <v>2510</v>
      </c>
      <c r="F683" s="2" t="s">
        <v>2511</v>
      </c>
      <c r="G683" s="2" t="s">
        <v>2512</v>
      </c>
      <c r="H683" s="2" t="s">
        <v>2510</v>
      </c>
      <c r="I683" s="2">
        <v>25</v>
      </c>
      <c r="J683" s="2" t="s">
        <v>2193</v>
      </c>
      <c r="K683" s="2">
        <v>-17.668500000000002</v>
      </c>
      <c r="L683" s="2">
        <v>-65.342100000000002</v>
      </c>
      <c r="M683" s="2" t="s">
        <v>776</v>
      </c>
      <c r="N683" s="2">
        <v>2457</v>
      </c>
      <c r="O683" s="2" t="s">
        <v>2513</v>
      </c>
      <c r="P683" s="2"/>
      <c r="Q683" s="2"/>
      <c r="R683" s="2">
        <f>IFERROR(VLOOKUP(A683,'[1]Recintos Cochabamba'!A$1:R$838,17,FALSE),0)</f>
        <v>2</v>
      </c>
      <c r="S683" s="3">
        <v>0</v>
      </c>
    </row>
    <row r="684" spans="1:19" x14ac:dyDescent="0.25">
      <c r="A684" s="2">
        <v>2458</v>
      </c>
      <c r="B684" s="2" t="s">
        <v>19</v>
      </c>
      <c r="C684" s="2" t="s">
        <v>2383</v>
      </c>
      <c r="D684" s="2" t="s">
        <v>2503</v>
      </c>
      <c r="E684" s="2" t="s">
        <v>2514</v>
      </c>
      <c r="F684" s="2" t="s">
        <v>2515</v>
      </c>
      <c r="G684" s="2" t="s">
        <v>2516</v>
      </c>
      <c r="H684" s="2" t="s">
        <v>2514</v>
      </c>
      <c r="I684" s="2">
        <v>25</v>
      </c>
      <c r="J684" s="2" t="s">
        <v>2193</v>
      </c>
      <c r="K684" s="2">
        <v>-17.552647</v>
      </c>
      <c r="L684" s="2">
        <v>-65.408119999999997</v>
      </c>
      <c r="M684" s="2" t="s">
        <v>776</v>
      </c>
      <c r="N684" s="2">
        <v>2458</v>
      </c>
      <c r="O684" s="2" t="s">
        <v>2517</v>
      </c>
      <c r="P684" s="2"/>
      <c r="Q684" s="2"/>
      <c r="R684" s="2">
        <f>IFERROR(VLOOKUP(A684,'[1]Recintos Cochabamba'!A$1:R$838,17,FALSE),0)</f>
        <v>0</v>
      </c>
      <c r="S684" s="3">
        <v>0</v>
      </c>
    </row>
    <row r="685" spans="1:19" x14ac:dyDescent="0.25">
      <c r="A685" s="2">
        <v>2459</v>
      </c>
      <c r="B685" s="2" t="s">
        <v>19</v>
      </c>
      <c r="C685" s="2" t="s">
        <v>2383</v>
      </c>
      <c r="D685" s="2" t="s">
        <v>2503</v>
      </c>
      <c r="E685" s="2" t="s">
        <v>2518</v>
      </c>
      <c r="F685" s="2" t="s">
        <v>2519</v>
      </c>
      <c r="G685" s="2" t="s">
        <v>2516</v>
      </c>
      <c r="H685" s="2" t="s">
        <v>2518</v>
      </c>
      <c r="I685" s="2">
        <v>25</v>
      </c>
      <c r="J685" s="2" t="s">
        <v>2193</v>
      </c>
      <c r="K685" s="2">
        <v>-17.529699999999998</v>
      </c>
      <c r="L685" s="2">
        <v>-65.379599999999996</v>
      </c>
      <c r="M685" s="2" t="s">
        <v>776</v>
      </c>
      <c r="N685" s="2">
        <v>2459</v>
      </c>
      <c r="O685" s="2" t="s">
        <v>2520</v>
      </c>
      <c r="P685" s="2"/>
      <c r="Q685" s="2"/>
      <c r="R685" s="2">
        <f>IFERROR(VLOOKUP(A685,'[1]Recintos Cochabamba'!A$1:R$838,17,FALSE),0)</f>
        <v>6</v>
      </c>
      <c r="S685" s="3">
        <v>0</v>
      </c>
    </row>
    <row r="686" spans="1:19" x14ac:dyDescent="0.25">
      <c r="A686" s="2">
        <v>2460</v>
      </c>
      <c r="B686" s="2" t="s">
        <v>19</v>
      </c>
      <c r="C686" s="2" t="s">
        <v>2383</v>
      </c>
      <c r="D686" s="2" t="s">
        <v>2503</v>
      </c>
      <c r="E686" s="2" t="s">
        <v>2521</v>
      </c>
      <c r="F686" s="2" t="s">
        <v>2522</v>
      </c>
      <c r="G686" s="2" t="s">
        <v>2416</v>
      </c>
      <c r="H686" s="2" t="s">
        <v>2521</v>
      </c>
      <c r="I686" s="2">
        <v>25</v>
      </c>
      <c r="J686" s="2" t="s">
        <v>2193</v>
      </c>
      <c r="K686" s="2">
        <v>-17.723400000000002</v>
      </c>
      <c r="L686" s="2">
        <v>-65.383899999999997</v>
      </c>
      <c r="M686" s="2" t="s">
        <v>776</v>
      </c>
      <c r="N686" s="2">
        <v>2460</v>
      </c>
      <c r="O686" s="2" t="s">
        <v>2523</v>
      </c>
      <c r="P686" s="2"/>
      <c r="Q686" s="2"/>
      <c r="R686" s="2">
        <f>IFERROR(VLOOKUP(A686,'[1]Recintos Cochabamba'!A$1:R$838,17,FALSE),0)</f>
        <v>5</v>
      </c>
      <c r="S686" s="3">
        <v>0</v>
      </c>
    </row>
    <row r="687" spans="1:19" x14ac:dyDescent="0.25">
      <c r="A687" s="2">
        <v>2461</v>
      </c>
      <c r="B687" s="2" t="s">
        <v>19</v>
      </c>
      <c r="C687" s="2" t="s">
        <v>2383</v>
      </c>
      <c r="D687" s="2" t="s">
        <v>2503</v>
      </c>
      <c r="E687" s="2" t="s">
        <v>2524</v>
      </c>
      <c r="F687" s="2" t="s">
        <v>2525</v>
      </c>
      <c r="G687" s="2" t="s">
        <v>2526</v>
      </c>
      <c r="H687" s="2" t="s">
        <v>2524</v>
      </c>
      <c r="I687" s="2">
        <v>25</v>
      </c>
      <c r="J687" s="2" t="s">
        <v>2193</v>
      </c>
      <c r="K687" s="2">
        <v>-17.661173000000002</v>
      </c>
      <c r="L687" s="2">
        <v>-65.284447</v>
      </c>
      <c r="M687" s="2" t="s">
        <v>776</v>
      </c>
      <c r="N687" s="2">
        <v>2461</v>
      </c>
      <c r="O687" s="2" t="s">
        <v>2527</v>
      </c>
      <c r="P687" s="2"/>
      <c r="Q687" s="2"/>
      <c r="R687" s="2">
        <f>IFERROR(VLOOKUP(A687,'[1]Recintos Cochabamba'!A$1:R$838,17,FALSE),0)</f>
        <v>0</v>
      </c>
      <c r="S687" s="3">
        <v>0</v>
      </c>
    </row>
    <row r="688" spans="1:19" x14ac:dyDescent="0.25">
      <c r="A688" s="2">
        <v>2462</v>
      </c>
      <c r="B688" s="2" t="s">
        <v>19</v>
      </c>
      <c r="C688" s="2" t="s">
        <v>2383</v>
      </c>
      <c r="D688" s="2" t="s">
        <v>2503</v>
      </c>
      <c r="E688" s="2" t="s">
        <v>2528</v>
      </c>
      <c r="F688" s="2" t="s">
        <v>2529</v>
      </c>
      <c r="G688" s="2" t="s">
        <v>2505</v>
      </c>
      <c r="H688" s="2" t="s">
        <v>2530</v>
      </c>
      <c r="I688" s="2">
        <v>25</v>
      </c>
      <c r="J688" s="2" t="s">
        <v>2193</v>
      </c>
      <c r="K688" s="2">
        <v>-17.6144</v>
      </c>
      <c r="L688" s="2">
        <v>-65.504499999999993</v>
      </c>
      <c r="M688" s="2" t="s">
        <v>776</v>
      </c>
      <c r="N688" s="2">
        <v>2462</v>
      </c>
      <c r="O688" s="2" t="s">
        <v>2531</v>
      </c>
      <c r="P688" s="2"/>
      <c r="Q688" s="2"/>
      <c r="R688" s="2">
        <f>IFERROR(VLOOKUP(A688,'[1]Recintos Cochabamba'!A$1:R$838,17,FALSE),0)</f>
        <v>1</v>
      </c>
      <c r="S688" s="3">
        <v>0</v>
      </c>
    </row>
    <row r="689" spans="1:19" x14ac:dyDescent="0.25">
      <c r="A689" s="2">
        <v>2463</v>
      </c>
      <c r="B689" s="2" t="s">
        <v>19</v>
      </c>
      <c r="C689" s="2" t="s">
        <v>2383</v>
      </c>
      <c r="D689" s="2" t="s">
        <v>2503</v>
      </c>
      <c r="E689" s="2" t="s">
        <v>2532</v>
      </c>
      <c r="F689" s="2" t="s">
        <v>2533</v>
      </c>
      <c r="G689" s="2" t="s">
        <v>2505</v>
      </c>
      <c r="H689" s="2" t="s">
        <v>2532</v>
      </c>
      <c r="I689" s="2">
        <v>25</v>
      </c>
      <c r="J689" s="2" t="s">
        <v>24</v>
      </c>
      <c r="K689" s="2">
        <v>-17.607700000000001</v>
      </c>
      <c r="L689" s="2">
        <v>-65.414699999999996</v>
      </c>
      <c r="M689" s="2" t="s">
        <v>25</v>
      </c>
      <c r="N689" s="2">
        <v>2463</v>
      </c>
      <c r="O689" s="2" t="s">
        <v>2534</v>
      </c>
      <c r="P689" s="2"/>
      <c r="Q689" s="2"/>
      <c r="R689" s="2">
        <f>IFERROR(VLOOKUP(A689,'[1]Recintos Cochabamba'!A$1:R$838,17,FALSE),0)</f>
        <v>2</v>
      </c>
      <c r="S689" s="3">
        <f>IFERROR(VLOOKUP(A689,'[1]Recintos Cochabamba'!A$1:T$838,18,FALSE),0)</f>
        <v>0.9726950354609929</v>
      </c>
    </row>
    <row r="690" spans="1:19" x14ac:dyDescent="0.25">
      <c r="A690" s="2">
        <v>2464</v>
      </c>
      <c r="B690" s="2" t="s">
        <v>19</v>
      </c>
      <c r="C690" s="2" t="s">
        <v>2383</v>
      </c>
      <c r="D690" s="2" t="s">
        <v>2503</v>
      </c>
      <c r="E690" s="2" t="s">
        <v>2535</v>
      </c>
      <c r="F690" s="2" t="s">
        <v>2536</v>
      </c>
      <c r="G690" s="2" t="s">
        <v>2505</v>
      </c>
      <c r="H690" s="2" t="s">
        <v>2537</v>
      </c>
      <c r="I690" s="2">
        <v>25</v>
      </c>
      <c r="J690" s="2" t="s">
        <v>2193</v>
      </c>
      <c r="K690" s="2">
        <v>-17.651399999999999</v>
      </c>
      <c r="L690" s="2">
        <v>-65.368300000000005</v>
      </c>
      <c r="M690" s="2" t="s">
        <v>776</v>
      </c>
      <c r="N690" s="2">
        <v>2464</v>
      </c>
      <c r="O690" s="2" t="s">
        <v>2538</v>
      </c>
      <c r="P690" s="2"/>
      <c r="Q690" s="2"/>
      <c r="R690" s="2">
        <f>IFERROR(VLOOKUP(A690,'[1]Recintos Cochabamba'!A$1:R$838,17,FALSE),0)</f>
        <v>3</v>
      </c>
      <c r="S690" s="3">
        <v>0</v>
      </c>
    </row>
    <row r="691" spans="1:19" x14ac:dyDescent="0.25">
      <c r="A691" s="2">
        <v>2465</v>
      </c>
      <c r="B691" s="2" t="s">
        <v>19</v>
      </c>
      <c r="C691" s="2" t="s">
        <v>2383</v>
      </c>
      <c r="D691" s="2" t="s">
        <v>2503</v>
      </c>
      <c r="E691" s="2" t="s">
        <v>2539</v>
      </c>
      <c r="F691" s="2" t="s">
        <v>2540</v>
      </c>
      <c r="G691" s="2" t="s">
        <v>2516</v>
      </c>
      <c r="H691" s="2" t="s">
        <v>2539</v>
      </c>
      <c r="I691" s="2">
        <v>25</v>
      </c>
      <c r="J691" s="2" t="s">
        <v>2193</v>
      </c>
      <c r="K691" s="2">
        <v>-17.613213999999999</v>
      </c>
      <c r="L691" s="2">
        <v>-65.330243999999993</v>
      </c>
      <c r="M691" s="2" t="s">
        <v>776</v>
      </c>
      <c r="N691" s="2">
        <v>2465</v>
      </c>
      <c r="O691" s="2" t="s">
        <v>2541</v>
      </c>
      <c r="P691" s="2"/>
      <c r="Q691" s="2"/>
      <c r="R691" s="2">
        <f>IFERROR(VLOOKUP(A691,'[1]Recintos Cochabamba'!A$1:R$838,17,FALSE),0)</f>
        <v>1</v>
      </c>
      <c r="S691" s="3">
        <v>0</v>
      </c>
    </row>
    <row r="692" spans="1:19" x14ac:dyDescent="0.25">
      <c r="A692" s="2">
        <v>2466</v>
      </c>
      <c r="B692" s="2" t="s">
        <v>19</v>
      </c>
      <c r="C692" s="2" t="s">
        <v>2383</v>
      </c>
      <c r="D692" s="2" t="s">
        <v>2503</v>
      </c>
      <c r="E692" s="2" t="s">
        <v>2542</v>
      </c>
      <c r="F692" s="2" t="s">
        <v>2543</v>
      </c>
      <c r="G692" s="2" t="s">
        <v>2505</v>
      </c>
      <c r="H692" s="2" t="s">
        <v>2544</v>
      </c>
      <c r="I692" s="2">
        <v>25</v>
      </c>
      <c r="J692" s="2" t="s">
        <v>24</v>
      </c>
      <c r="K692" s="2">
        <v>-17.761886000000001</v>
      </c>
      <c r="L692" s="2">
        <v>-65.491669999999999</v>
      </c>
      <c r="M692" s="2" t="s">
        <v>25</v>
      </c>
      <c r="N692" s="2">
        <v>2466</v>
      </c>
      <c r="O692" s="2" t="s">
        <v>2545</v>
      </c>
      <c r="P692" s="2"/>
      <c r="Q692" s="2"/>
      <c r="R692" s="2">
        <f>IFERROR(VLOOKUP(A692,'[1]Recintos Cochabamba'!A$1:R$838,17,FALSE),0)</f>
        <v>1</v>
      </c>
      <c r="S692" s="3">
        <v>0</v>
      </c>
    </row>
    <row r="693" spans="1:19" x14ac:dyDescent="0.25">
      <c r="A693" s="2">
        <v>2467</v>
      </c>
      <c r="B693" s="2" t="s">
        <v>19</v>
      </c>
      <c r="C693" s="2" t="s">
        <v>2383</v>
      </c>
      <c r="D693" s="2" t="s">
        <v>2503</v>
      </c>
      <c r="E693" s="2" t="s">
        <v>2546</v>
      </c>
      <c r="F693" s="2" t="s">
        <v>2547</v>
      </c>
      <c r="G693" s="2" t="s">
        <v>2516</v>
      </c>
      <c r="H693" s="2" t="s">
        <v>2546</v>
      </c>
      <c r="I693" s="2">
        <v>25</v>
      </c>
      <c r="J693" s="2" t="s">
        <v>24</v>
      </c>
      <c r="K693" s="2">
        <v>-17.576647999999999</v>
      </c>
      <c r="L693" s="2">
        <v>-65.384810000000002</v>
      </c>
      <c r="M693" s="2" t="s">
        <v>25</v>
      </c>
      <c r="N693" s="2">
        <v>2467</v>
      </c>
      <c r="O693" s="2" t="s">
        <v>2548</v>
      </c>
      <c r="P693" s="2"/>
      <c r="Q693" s="2"/>
      <c r="R693" s="2">
        <f>IFERROR(VLOOKUP(A693,'[1]Recintos Cochabamba'!A$1:R$838,17,FALSE),0)</f>
        <v>0</v>
      </c>
      <c r="S693" s="3">
        <v>0</v>
      </c>
    </row>
    <row r="694" spans="1:19" x14ac:dyDescent="0.25">
      <c r="A694" s="2">
        <v>2468</v>
      </c>
      <c r="B694" s="2" t="s">
        <v>19</v>
      </c>
      <c r="C694" s="2" t="s">
        <v>2383</v>
      </c>
      <c r="D694" s="2" t="s">
        <v>2549</v>
      </c>
      <c r="E694" s="2" t="s">
        <v>2549</v>
      </c>
      <c r="F694" s="2" t="s">
        <v>2550</v>
      </c>
      <c r="G694" s="2" t="s">
        <v>2551</v>
      </c>
      <c r="H694" s="2" t="s">
        <v>2552</v>
      </c>
      <c r="I694" s="2">
        <v>24</v>
      </c>
      <c r="J694" s="2" t="s">
        <v>2193</v>
      </c>
      <c r="K694" s="2">
        <v>-16.9937</v>
      </c>
      <c r="L694" s="2">
        <v>-65.154899999999998</v>
      </c>
      <c r="M694" s="2" t="s">
        <v>776</v>
      </c>
      <c r="N694" s="2">
        <v>2468</v>
      </c>
      <c r="O694" s="2" t="s">
        <v>2553</v>
      </c>
      <c r="P694" s="2"/>
      <c r="Q694" s="2"/>
      <c r="R694" s="2">
        <f>IFERROR(VLOOKUP(A694,'[1]Recintos Cochabamba'!A$1:R$838,17,FALSE),0)</f>
        <v>25</v>
      </c>
      <c r="S694" s="3">
        <f>IFERROR(VLOOKUP(A694,'[1]Recintos Cochabamba'!A$1:T$838,18,FALSE),0)</f>
        <v>0.8863034886744714</v>
      </c>
    </row>
    <row r="695" spans="1:19" x14ac:dyDescent="0.25">
      <c r="A695" s="2">
        <v>2469</v>
      </c>
      <c r="B695" s="2" t="s">
        <v>19</v>
      </c>
      <c r="C695" s="2" t="s">
        <v>2383</v>
      </c>
      <c r="D695" s="2" t="s">
        <v>2549</v>
      </c>
      <c r="E695" s="2" t="s">
        <v>2549</v>
      </c>
      <c r="F695" s="2" t="s">
        <v>2554</v>
      </c>
      <c r="G695" s="2" t="s">
        <v>2551</v>
      </c>
      <c r="H695" s="2" t="s">
        <v>2555</v>
      </c>
      <c r="I695" s="2">
        <v>24</v>
      </c>
      <c r="J695" s="2" t="s">
        <v>2193</v>
      </c>
      <c r="K695" s="2">
        <v>-16.996686</v>
      </c>
      <c r="L695" s="2">
        <v>-65.157556</v>
      </c>
      <c r="M695" s="2" t="s">
        <v>776</v>
      </c>
      <c r="N695" s="2">
        <v>2469</v>
      </c>
      <c r="O695" s="2" t="s">
        <v>2556</v>
      </c>
      <c r="P695" s="2"/>
      <c r="Q695" s="2"/>
      <c r="R695" s="2">
        <f>IFERROR(VLOOKUP(A695,'[1]Recintos Cochabamba'!A$1:R$838,17,FALSE),0)</f>
        <v>13</v>
      </c>
      <c r="S695" s="3">
        <f>IFERROR(VLOOKUP(A695,'[1]Recintos Cochabamba'!A$1:T$838,18,FALSE),0)</f>
        <v>0.88527560219717194</v>
      </c>
    </row>
    <row r="696" spans="1:19" x14ac:dyDescent="0.25">
      <c r="A696" s="2">
        <v>2470</v>
      </c>
      <c r="B696" s="2" t="s">
        <v>19</v>
      </c>
      <c r="C696" s="2" t="s">
        <v>2383</v>
      </c>
      <c r="D696" s="2" t="s">
        <v>2549</v>
      </c>
      <c r="E696" s="2" t="s">
        <v>2549</v>
      </c>
      <c r="F696" s="2" t="s">
        <v>971</v>
      </c>
      <c r="G696" s="2" t="s">
        <v>2551</v>
      </c>
      <c r="H696" s="2" t="s">
        <v>2549</v>
      </c>
      <c r="I696" s="2">
        <v>24</v>
      </c>
      <c r="J696" s="2" t="s">
        <v>24</v>
      </c>
      <c r="K696" s="2">
        <v>-16.988859000000001</v>
      </c>
      <c r="L696" s="2">
        <v>-65.156098999999998</v>
      </c>
      <c r="M696" s="2" t="s">
        <v>776</v>
      </c>
      <c r="N696" s="2">
        <v>2470</v>
      </c>
      <c r="O696" s="2" t="s">
        <v>2557</v>
      </c>
      <c r="P696" s="2"/>
      <c r="Q696" s="2"/>
      <c r="R696" s="2">
        <f>IFERROR(VLOOKUP(A696,'[1]Recintos Cochabamba'!A$1:R$838,17,FALSE),0)</f>
        <v>10</v>
      </c>
      <c r="S696" s="3">
        <v>0</v>
      </c>
    </row>
    <row r="697" spans="1:19" x14ac:dyDescent="0.25">
      <c r="A697" s="2">
        <v>2471</v>
      </c>
      <c r="B697" s="2" t="s">
        <v>19</v>
      </c>
      <c r="C697" s="2" t="s">
        <v>2383</v>
      </c>
      <c r="D697" s="2" t="s">
        <v>2549</v>
      </c>
      <c r="E697" s="2" t="s">
        <v>2558</v>
      </c>
      <c r="F697" s="2" t="s">
        <v>2559</v>
      </c>
      <c r="G697" s="2" t="s">
        <v>2560</v>
      </c>
      <c r="H697" s="2" t="s">
        <v>2558</v>
      </c>
      <c r="I697" s="2">
        <v>24</v>
      </c>
      <c r="J697" s="2" t="s">
        <v>24</v>
      </c>
      <c r="K697" s="2">
        <v>-17.0809</v>
      </c>
      <c r="L697" s="2">
        <v>-65.207800000000006</v>
      </c>
      <c r="M697" s="2" t="s">
        <v>25</v>
      </c>
      <c r="N697" s="2">
        <v>2471</v>
      </c>
      <c r="O697" s="2" t="s">
        <v>2561</v>
      </c>
      <c r="P697" s="2"/>
      <c r="Q697" s="2"/>
      <c r="R697" s="2">
        <f>IFERROR(VLOOKUP(A697,'[1]Recintos Cochabamba'!A$1:R$838,17,FALSE),0)</f>
        <v>4</v>
      </c>
      <c r="S697" s="3">
        <f>IFERROR(VLOOKUP(A697,'[1]Recintos Cochabamba'!A$1:T$838,18,FALSE),0)</f>
        <v>0.99336999015773408</v>
      </c>
    </row>
    <row r="698" spans="1:19" x14ac:dyDescent="0.25">
      <c r="A698" s="2">
        <v>2472</v>
      </c>
      <c r="B698" s="2" t="s">
        <v>19</v>
      </c>
      <c r="C698" s="2" t="s">
        <v>2383</v>
      </c>
      <c r="D698" s="2" t="s">
        <v>2549</v>
      </c>
      <c r="E698" s="2" t="s">
        <v>2562</v>
      </c>
      <c r="F698" s="2" t="s">
        <v>2563</v>
      </c>
      <c r="G698" s="2" t="s">
        <v>2564</v>
      </c>
      <c r="H698" s="2" t="s">
        <v>2562</v>
      </c>
      <c r="I698" s="2">
        <v>24</v>
      </c>
      <c r="J698" s="2" t="s">
        <v>2193</v>
      </c>
      <c r="K698" s="2">
        <v>-16.847999999999999</v>
      </c>
      <c r="L698" s="2">
        <v>-65.186300000000003</v>
      </c>
      <c r="M698" s="2" t="s">
        <v>776</v>
      </c>
      <c r="N698" s="2">
        <v>2472</v>
      </c>
      <c r="O698" s="2" t="s">
        <v>2565</v>
      </c>
      <c r="P698" s="2"/>
      <c r="Q698" s="2"/>
      <c r="R698" s="2">
        <f>IFERROR(VLOOKUP(A698,'[1]Recintos Cochabamba'!A$1:R$838,17,FALSE),0)</f>
        <v>3</v>
      </c>
      <c r="S698" s="3">
        <f>IFERROR(VLOOKUP(A698,'[1]Recintos Cochabamba'!A$1:T$838,18,FALSE),0)</f>
        <v>0.95807094167569529</v>
      </c>
    </row>
    <row r="699" spans="1:19" x14ac:dyDescent="0.25">
      <c r="A699" s="2">
        <v>2473</v>
      </c>
      <c r="B699" s="2" t="s">
        <v>19</v>
      </c>
      <c r="C699" s="2" t="s">
        <v>2383</v>
      </c>
      <c r="D699" s="2" t="s">
        <v>2549</v>
      </c>
      <c r="E699" s="2" t="s">
        <v>2566</v>
      </c>
      <c r="F699" s="2" t="s">
        <v>2567</v>
      </c>
      <c r="G699" s="2" t="s">
        <v>2568</v>
      </c>
      <c r="H699" s="2" t="s">
        <v>2569</v>
      </c>
      <c r="I699" s="2">
        <v>24</v>
      </c>
      <c r="J699" s="2" t="s">
        <v>24</v>
      </c>
      <c r="K699" s="2">
        <v>-16.996276000000002</v>
      </c>
      <c r="L699" s="2">
        <v>-65.077918999999994</v>
      </c>
      <c r="M699" s="2" t="s">
        <v>25</v>
      </c>
      <c r="N699" s="2">
        <v>2473</v>
      </c>
      <c r="O699" s="2" t="s">
        <v>2570</v>
      </c>
      <c r="P699" s="2"/>
      <c r="Q699" s="2"/>
      <c r="R699" s="2">
        <f>IFERROR(VLOOKUP(A699,'[1]Recintos Cochabamba'!A$1:R$838,17,FALSE),0)</f>
        <v>11</v>
      </c>
      <c r="S699" s="3">
        <f>IFERROR(VLOOKUP(A699,'[1]Recintos Cochabamba'!A$1:T$838,18,FALSE),0)</f>
        <v>0.98541874609146518</v>
      </c>
    </row>
    <row r="700" spans="1:19" x14ac:dyDescent="0.25">
      <c r="A700" s="2">
        <v>2474</v>
      </c>
      <c r="B700" s="2" t="s">
        <v>19</v>
      </c>
      <c r="C700" s="2" t="s">
        <v>2383</v>
      </c>
      <c r="D700" s="2" t="s">
        <v>2549</v>
      </c>
      <c r="E700" s="2" t="s">
        <v>2571</v>
      </c>
      <c r="F700" s="2" t="s">
        <v>2572</v>
      </c>
      <c r="G700" s="2" t="s">
        <v>2573</v>
      </c>
      <c r="H700" s="2" t="s">
        <v>2571</v>
      </c>
      <c r="I700" s="2">
        <v>2</v>
      </c>
      <c r="J700" s="2" t="s">
        <v>24</v>
      </c>
      <c r="K700" s="2">
        <v>-16.714099999999998</v>
      </c>
      <c r="L700" s="2">
        <v>-65.148399999999995</v>
      </c>
      <c r="M700" s="2" t="s">
        <v>25</v>
      </c>
      <c r="N700" s="2">
        <v>2474</v>
      </c>
      <c r="O700" s="2" t="s">
        <v>2574</v>
      </c>
      <c r="P700" s="2"/>
      <c r="Q700" s="2"/>
      <c r="R700" s="2">
        <f>IFERROR(VLOOKUP(A700,'[1]Recintos Cochabamba'!A$1:R$838,17,FALSE),0)</f>
        <v>3</v>
      </c>
      <c r="S700" s="3">
        <f>IFERROR(VLOOKUP(A700,'[1]Recintos Cochabamba'!A$1:T$838,18,FALSE),0)</f>
        <v>0.92049370246257434</v>
      </c>
    </row>
    <row r="701" spans="1:19" x14ac:dyDescent="0.25">
      <c r="A701" s="2">
        <v>2475</v>
      </c>
      <c r="B701" s="2" t="s">
        <v>19</v>
      </c>
      <c r="C701" s="2" t="s">
        <v>2383</v>
      </c>
      <c r="D701" s="2" t="s">
        <v>2549</v>
      </c>
      <c r="E701" s="2" t="s">
        <v>2575</v>
      </c>
      <c r="F701" s="2" t="s">
        <v>2576</v>
      </c>
      <c r="G701" s="2" t="s">
        <v>2573</v>
      </c>
      <c r="H701" s="2" t="s">
        <v>2575</v>
      </c>
      <c r="I701" s="2">
        <v>2</v>
      </c>
      <c r="J701" s="2" t="s">
        <v>24</v>
      </c>
      <c r="K701" s="2">
        <v>-16.45</v>
      </c>
      <c r="L701" s="2">
        <v>-64.94</v>
      </c>
      <c r="M701" s="2" t="s">
        <v>25</v>
      </c>
      <c r="N701" s="2">
        <v>2475</v>
      </c>
      <c r="O701" s="2" t="s">
        <v>2577</v>
      </c>
      <c r="P701" s="2"/>
      <c r="Q701" s="2"/>
      <c r="R701" s="2">
        <f>IFERROR(VLOOKUP(A701,'[1]Recintos Cochabamba'!A$1:R$838,17,FALSE),0)</f>
        <v>1</v>
      </c>
      <c r="S701" s="3">
        <f>IFERROR(VLOOKUP(A701,'[1]Recintos Cochabamba'!A$1:T$838,18,FALSE),0)</f>
        <v>0.810126582278481</v>
      </c>
    </row>
    <row r="702" spans="1:19" x14ac:dyDescent="0.25">
      <c r="A702" s="2">
        <v>2476</v>
      </c>
      <c r="B702" s="2" t="s">
        <v>19</v>
      </c>
      <c r="C702" s="2" t="s">
        <v>2383</v>
      </c>
      <c r="D702" s="2" t="s">
        <v>2549</v>
      </c>
      <c r="E702" s="2" t="s">
        <v>22</v>
      </c>
      <c r="F702" s="2" t="s">
        <v>2578</v>
      </c>
      <c r="G702" s="2" t="s">
        <v>2573</v>
      </c>
      <c r="H702" s="2" t="s">
        <v>22</v>
      </c>
      <c r="I702" s="2">
        <v>2</v>
      </c>
      <c r="J702" s="2" t="s">
        <v>24</v>
      </c>
      <c r="K702" s="2">
        <v>-16.170400000000001</v>
      </c>
      <c r="L702" s="2">
        <v>-64.905299999999997</v>
      </c>
      <c r="M702" s="2" t="s">
        <v>25</v>
      </c>
      <c r="N702" s="2">
        <v>2476</v>
      </c>
      <c r="O702" s="2" t="s">
        <v>2579</v>
      </c>
      <c r="P702" s="2"/>
      <c r="Q702" s="2"/>
      <c r="R702" s="2">
        <f>IFERROR(VLOOKUP(A702,'[1]Recintos Cochabamba'!A$1:R$838,17,FALSE),0)</f>
        <v>1</v>
      </c>
      <c r="S702" s="3">
        <f>IFERROR(VLOOKUP(A702,'[1]Recintos Cochabamba'!A$1:T$838,18,FALSE),0)</f>
        <v>0.84496124031007747</v>
      </c>
    </row>
    <row r="703" spans="1:19" x14ac:dyDescent="0.25">
      <c r="A703" s="2">
        <v>2477</v>
      </c>
      <c r="B703" s="2" t="s">
        <v>19</v>
      </c>
      <c r="C703" s="2" t="s">
        <v>2383</v>
      </c>
      <c r="D703" s="2" t="s">
        <v>2549</v>
      </c>
      <c r="E703" s="2" t="s">
        <v>2580</v>
      </c>
      <c r="F703" s="2" t="s">
        <v>2581</v>
      </c>
      <c r="G703" s="2" t="s">
        <v>2573</v>
      </c>
      <c r="H703" s="2" t="s">
        <v>2580</v>
      </c>
      <c r="I703" s="2">
        <v>2</v>
      </c>
      <c r="J703" s="2" t="s">
        <v>24</v>
      </c>
      <c r="K703" s="2">
        <v>-16.116199999999999</v>
      </c>
      <c r="L703" s="2">
        <v>-64.826999999999998</v>
      </c>
      <c r="M703" s="2" t="s">
        <v>25</v>
      </c>
      <c r="N703" s="2">
        <v>2477</v>
      </c>
      <c r="O703" s="2" t="s">
        <v>2582</v>
      </c>
      <c r="P703" s="2"/>
      <c r="Q703" s="2"/>
      <c r="R703" s="2">
        <f>IFERROR(VLOOKUP(A703,'[1]Recintos Cochabamba'!A$1:R$838,17,FALSE),0)</f>
        <v>1</v>
      </c>
      <c r="S703" s="3">
        <f>IFERROR(VLOOKUP(A703,'[1]Recintos Cochabamba'!A$1:T$838,18,FALSE),0)</f>
        <v>0.82978723404255317</v>
      </c>
    </row>
    <row r="704" spans="1:19" x14ac:dyDescent="0.25">
      <c r="A704" s="2">
        <v>2478</v>
      </c>
      <c r="B704" s="2" t="s">
        <v>19</v>
      </c>
      <c r="C704" s="2" t="s">
        <v>2383</v>
      </c>
      <c r="D704" s="2" t="s">
        <v>2549</v>
      </c>
      <c r="E704" s="2" t="s">
        <v>2583</v>
      </c>
      <c r="F704" s="2" t="s">
        <v>2584</v>
      </c>
      <c r="G704" s="2" t="s">
        <v>2573</v>
      </c>
      <c r="H704" s="2" t="s">
        <v>2583</v>
      </c>
      <c r="I704" s="2">
        <v>2</v>
      </c>
      <c r="J704" s="2" t="s">
        <v>24</v>
      </c>
      <c r="K704" s="2">
        <v>-16.406199999999998</v>
      </c>
      <c r="L704" s="2">
        <v>-64.682000000000002</v>
      </c>
      <c r="M704" s="2" t="s">
        <v>25</v>
      </c>
      <c r="N704" s="2">
        <v>2478</v>
      </c>
      <c r="O704" s="2" t="s">
        <v>2585</v>
      </c>
      <c r="P704" s="2"/>
      <c r="Q704" s="2"/>
      <c r="R704" s="2">
        <f>IFERROR(VLOOKUP(A704,'[1]Recintos Cochabamba'!A$1:R$838,17,FALSE),0)</f>
        <v>1</v>
      </c>
      <c r="S704" s="3">
        <f>IFERROR(VLOOKUP(A704,'[1]Recintos Cochabamba'!A$1:T$838,18,FALSE),0)</f>
        <v>0.93023255813953487</v>
      </c>
    </row>
    <row r="705" spans="1:19" x14ac:dyDescent="0.25">
      <c r="A705" s="2">
        <v>2479</v>
      </c>
      <c r="B705" s="2" t="s">
        <v>19</v>
      </c>
      <c r="C705" s="2" t="s">
        <v>2383</v>
      </c>
      <c r="D705" s="2" t="s">
        <v>2549</v>
      </c>
      <c r="E705" s="2" t="s">
        <v>2586</v>
      </c>
      <c r="F705" s="2" t="s">
        <v>2587</v>
      </c>
      <c r="G705" s="2" t="s">
        <v>2573</v>
      </c>
      <c r="H705" s="2" t="s">
        <v>2586</v>
      </c>
      <c r="I705" s="2">
        <v>2</v>
      </c>
      <c r="J705" s="2" t="s">
        <v>24</v>
      </c>
      <c r="K705" s="2">
        <v>-16.503699999999998</v>
      </c>
      <c r="L705" s="2">
        <v>-64.729600000000005</v>
      </c>
      <c r="M705" s="2" t="s">
        <v>25</v>
      </c>
      <c r="N705" s="2">
        <v>2479</v>
      </c>
      <c r="O705" s="2" t="s">
        <v>2588</v>
      </c>
      <c r="P705" s="2"/>
      <c r="Q705" s="2"/>
      <c r="R705" s="2">
        <f>IFERROR(VLOOKUP(A705,'[1]Recintos Cochabamba'!A$1:R$838,17,FALSE),0)</f>
        <v>1</v>
      </c>
      <c r="S705" s="3">
        <f>IFERROR(VLOOKUP(A705,'[1]Recintos Cochabamba'!A$1:T$838,18,FALSE),0)</f>
        <v>0.72</v>
      </c>
    </row>
    <row r="706" spans="1:19" x14ac:dyDescent="0.25">
      <c r="A706" s="2">
        <v>2480</v>
      </c>
      <c r="B706" s="2" t="s">
        <v>19</v>
      </c>
      <c r="C706" s="2" t="s">
        <v>2383</v>
      </c>
      <c r="D706" s="2" t="s">
        <v>2549</v>
      </c>
      <c r="E706" s="2" t="s">
        <v>2589</v>
      </c>
      <c r="F706" s="2" t="s">
        <v>2590</v>
      </c>
      <c r="G706" s="2" t="s">
        <v>2591</v>
      </c>
      <c r="H706" s="2" t="s">
        <v>2589</v>
      </c>
      <c r="I706" s="2">
        <v>24</v>
      </c>
      <c r="J706" s="2" t="s">
        <v>24</v>
      </c>
      <c r="K706" s="2">
        <v>-17.0901</v>
      </c>
      <c r="L706" s="2">
        <v>-65.1036</v>
      </c>
      <c r="M706" s="2" t="s">
        <v>25</v>
      </c>
      <c r="N706" s="2">
        <v>2480</v>
      </c>
      <c r="O706" s="2" t="s">
        <v>2592</v>
      </c>
      <c r="P706" s="2"/>
      <c r="Q706" s="2"/>
      <c r="R706" s="2">
        <f>IFERROR(VLOOKUP(A706,'[1]Recintos Cochabamba'!A$1:R$838,17,FALSE),0)</f>
        <v>3</v>
      </c>
      <c r="S706" s="3">
        <f>IFERROR(VLOOKUP(A706,'[1]Recintos Cochabamba'!A$1:T$838,18,FALSE),0)</f>
        <v>0.99478660874009706</v>
      </c>
    </row>
    <row r="707" spans="1:19" x14ac:dyDescent="0.25">
      <c r="A707" s="2">
        <v>2481</v>
      </c>
      <c r="B707" s="2" t="s">
        <v>19</v>
      </c>
      <c r="C707" s="2" t="s">
        <v>2383</v>
      </c>
      <c r="D707" s="2" t="s">
        <v>2549</v>
      </c>
      <c r="E707" s="2" t="s">
        <v>2593</v>
      </c>
      <c r="F707" s="2" t="s">
        <v>2594</v>
      </c>
      <c r="G707" s="2" t="s">
        <v>2573</v>
      </c>
      <c r="H707" s="2" t="s">
        <v>2593</v>
      </c>
      <c r="I707" s="2">
        <v>2</v>
      </c>
      <c r="J707" s="2" t="s">
        <v>24</v>
      </c>
      <c r="K707" s="2">
        <v>-16.690168</v>
      </c>
      <c r="L707" s="2">
        <v>-64.915751</v>
      </c>
      <c r="M707" s="2" t="s">
        <v>25</v>
      </c>
      <c r="N707" s="2">
        <v>2481</v>
      </c>
      <c r="O707" s="2" t="s">
        <v>2595</v>
      </c>
      <c r="P707" s="2"/>
      <c r="Q707" s="2"/>
      <c r="R707" s="2">
        <f>IFERROR(VLOOKUP(A707,'[1]Recintos Cochabamba'!A$1:R$838,17,FALSE),0)</f>
        <v>1</v>
      </c>
      <c r="S707" s="3">
        <f>IFERROR(VLOOKUP(A707,'[1]Recintos Cochabamba'!A$1:T$838,18,FALSE),0)</f>
        <v>0.76878612716763006</v>
      </c>
    </row>
    <row r="708" spans="1:19" x14ac:dyDescent="0.25">
      <c r="A708" s="2">
        <v>2482</v>
      </c>
      <c r="B708" s="2" t="s">
        <v>19</v>
      </c>
      <c r="C708" s="2" t="s">
        <v>2383</v>
      </c>
      <c r="D708" s="2" t="s">
        <v>2549</v>
      </c>
      <c r="E708" s="2" t="s">
        <v>2596</v>
      </c>
      <c r="F708" s="2" t="s">
        <v>2597</v>
      </c>
      <c r="G708" s="2" t="s">
        <v>2573</v>
      </c>
      <c r="H708" s="2" t="s">
        <v>2596</v>
      </c>
      <c r="I708" s="2">
        <v>2</v>
      </c>
      <c r="J708" s="2" t="s">
        <v>24</v>
      </c>
      <c r="K708" s="2">
        <v>-16.757300000000001</v>
      </c>
      <c r="L708" s="2">
        <v>-64.978300000000004</v>
      </c>
      <c r="M708" s="2" t="s">
        <v>25</v>
      </c>
      <c r="N708" s="2">
        <v>2482</v>
      </c>
      <c r="O708" s="2" t="s">
        <v>2598</v>
      </c>
      <c r="P708" s="2"/>
      <c r="Q708" s="2"/>
      <c r="R708" s="2">
        <f>IFERROR(VLOOKUP(A708,'[1]Recintos Cochabamba'!A$1:R$838,17,FALSE),0)</f>
        <v>1</v>
      </c>
      <c r="S708" s="3">
        <f>IFERROR(VLOOKUP(A708,'[1]Recintos Cochabamba'!A$1:T$838,18,FALSE),0)</f>
        <v>0.77142857142857146</v>
      </c>
    </row>
    <row r="709" spans="1:19" x14ac:dyDescent="0.25">
      <c r="A709" s="2">
        <v>2483</v>
      </c>
      <c r="B709" s="2" t="s">
        <v>19</v>
      </c>
      <c r="C709" s="2" t="s">
        <v>2383</v>
      </c>
      <c r="D709" s="2" t="s">
        <v>2549</v>
      </c>
      <c r="E709" s="2" t="s">
        <v>2599</v>
      </c>
      <c r="F709" s="2" t="s">
        <v>2600</v>
      </c>
      <c r="G709" s="2" t="s">
        <v>2601</v>
      </c>
      <c r="H709" s="2" t="s">
        <v>2602</v>
      </c>
      <c r="I709" s="2">
        <v>24</v>
      </c>
      <c r="J709" s="2" t="s">
        <v>24</v>
      </c>
      <c r="K709" s="2">
        <v>-16.874859000000001</v>
      </c>
      <c r="L709" s="2">
        <v>-65.131844000000001</v>
      </c>
      <c r="M709" s="2" t="s">
        <v>25</v>
      </c>
      <c r="N709" s="2">
        <v>2483</v>
      </c>
      <c r="O709" s="2" t="s">
        <v>2603</v>
      </c>
      <c r="P709" s="2"/>
      <c r="Q709" s="2"/>
      <c r="R709" s="2">
        <f>IFERROR(VLOOKUP(A709,'[1]Recintos Cochabamba'!A$1:R$838,17,FALSE),0)</f>
        <v>2</v>
      </c>
      <c r="S709" s="3">
        <f>IFERROR(VLOOKUP(A709,'[1]Recintos Cochabamba'!A$1:T$838,18,FALSE),0)</f>
        <v>0.96226160792506232</v>
      </c>
    </row>
    <row r="710" spans="1:19" x14ac:dyDescent="0.25">
      <c r="A710" s="2">
        <v>2484</v>
      </c>
      <c r="B710" s="2" t="s">
        <v>19</v>
      </c>
      <c r="C710" s="2" t="s">
        <v>2383</v>
      </c>
      <c r="D710" s="2" t="s">
        <v>2549</v>
      </c>
      <c r="E710" s="2" t="s">
        <v>2604</v>
      </c>
      <c r="F710" s="2" t="s">
        <v>2605</v>
      </c>
      <c r="G710" s="2" t="s">
        <v>2551</v>
      </c>
      <c r="H710" s="2" t="s">
        <v>2606</v>
      </c>
      <c r="I710" s="2">
        <v>24</v>
      </c>
      <c r="J710" s="2" t="s">
        <v>24</v>
      </c>
      <c r="K710" s="2">
        <v>-16.994297</v>
      </c>
      <c r="L710" s="2">
        <v>-65.182587999999996</v>
      </c>
      <c r="M710" s="2" t="s">
        <v>776</v>
      </c>
      <c r="N710" s="2">
        <v>2484</v>
      </c>
      <c r="O710" s="2" t="s">
        <v>2607</v>
      </c>
      <c r="P710" s="2"/>
      <c r="Q710" s="2"/>
      <c r="R710" s="2">
        <f>IFERROR(VLOOKUP(A710,'[1]Recintos Cochabamba'!A$1:R$838,17,FALSE),0)</f>
        <v>4</v>
      </c>
      <c r="S710" s="3">
        <f>IFERROR(VLOOKUP(A710,'[1]Recintos Cochabamba'!A$1:T$838,18,FALSE),0)</f>
        <v>0.93302595511155795</v>
      </c>
    </row>
    <row r="711" spans="1:19" x14ac:dyDescent="0.25">
      <c r="A711" s="2">
        <v>2485</v>
      </c>
      <c r="B711" s="2" t="s">
        <v>19</v>
      </c>
      <c r="C711" s="2" t="s">
        <v>2383</v>
      </c>
      <c r="D711" s="2" t="s">
        <v>2549</v>
      </c>
      <c r="E711" s="2" t="s">
        <v>2608</v>
      </c>
      <c r="F711" s="2" t="s">
        <v>2609</v>
      </c>
      <c r="G711" s="2" t="s">
        <v>2573</v>
      </c>
      <c r="H711" s="2" t="s">
        <v>2608</v>
      </c>
      <c r="I711" s="2">
        <v>2</v>
      </c>
      <c r="J711" s="2" t="s">
        <v>24</v>
      </c>
      <c r="K711" s="2">
        <v>-16.799240000000001</v>
      </c>
      <c r="L711" s="2">
        <v>-65.136088000000001</v>
      </c>
      <c r="M711" s="2" t="s">
        <v>776</v>
      </c>
      <c r="N711" s="2">
        <v>2485</v>
      </c>
      <c r="O711" s="2" t="s">
        <v>2610</v>
      </c>
      <c r="P711" s="2"/>
      <c r="Q711" s="2"/>
      <c r="R711" s="2">
        <f>IFERROR(VLOOKUP(A711,'[1]Recintos Cochabamba'!A$1:R$838,17,FALSE),0)</f>
        <v>1</v>
      </c>
      <c r="S711" s="3">
        <f>IFERROR(VLOOKUP(A711,'[1]Recintos Cochabamba'!A$1:T$838,18,FALSE),0)</f>
        <v>0.86821705426356588</v>
      </c>
    </row>
    <row r="712" spans="1:19" x14ac:dyDescent="0.25">
      <c r="A712" s="2">
        <v>2486</v>
      </c>
      <c r="B712" s="2" t="s">
        <v>19</v>
      </c>
      <c r="C712" s="2" t="s">
        <v>2383</v>
      </c>
      <c r="D712" s="2" t="s">
        <v>2549</v>
      </c>
      <c r="E712" s="2" t="s">
        <v>2611</v>
      </c>
      <c r="F712" s="2" t="s">
        <v>2612</v>
      </c>
      <c r="G712" s="2" t="s">
        <v>2573</v>
      </c>
      <c r="H712" s="2" t="s">
        <v>2613</v>
      </c>
      <c r="I712" s="2">
        <v>2</v>
      </c>
      <c r="J712" s="2" t="s">
        <v>24</v>
      </c>
      <c r="K712" s="2">
        <v>-16.768042999999999</v>
      </c>
      <c r="L712" s="2">
        <v>-64.930064000000002</v>
      </c>
      <c r="M712" s="2" t="s">
        <v>25</v>
      </c>
      <c r="N712" s="2">
        <v>2486</v>
      </c>
      <c r="O712" s="2" t="s">
        <v>2614</v>
      </c>
      <c r="P712" s="2"/>
      <c r="Q712" s="2"/>
      <c r="R712" s="2">
        <f>IFERROR(VLOOKUP(A712,'[1]Recintos Cochabamba'!A$1:R$838,17,FALSE),0)</f>
        <v>1</v>
      </c>
      <c r="S712" s="3">
        <v>0</v>
      </c>
    </row>
    <row r="713" spans="1:19" x14ac:dyDescent="0.25">
      <c r="A713" s="2">
        <v>2487</v>
      </c>
      <c r="B713" s="2" t="s">
        <v>19</v>
      </c>
      <c r="C713" s="2" t="s">
        <v>2383</v>
      </c>
      <c r="D713" s="2" t="s">
        <v>2549</v>
      </c>
      <c r="E713" s="2" t="s">
        <v>2615</v>
      </c>
      <c r="F713" s="2" t="s">
        <v>2616</v>
      </c>
      <c r="G713" s="2" t="s">
        <v>2573</v>
      </c>
      <c r="H713" s="2" t="s">
        <v>2617</v>
      </c>
      <c r="I713" s="2">
        <v>24</v>
      </c>
      <c r="J713" s="2" t="s">
        <v>24</v>
      </c>
      <c r="K713" s="2">
        <v>-16.788978</v>
      </c>
      <c r="L713" s="2">
        <v>-65.019499999999994</v>
      </c>
      <c r="M713" s="2" t="s">
        <v>25</v>
      </c>
      <c r="N713" s="2">
        <v>2487</v>
      </c>
      <c r="O713" s="2" t="s">
        <v>2618</v>
      </c>
      <c r="P713" s="2"/>
      <c r="Q713" s="2"/>
      <c r="R713" s="2">
        <f>IFERROR(VLOOKUP(A713,'[1]Recintos Cochabamba'!A$1:R$838,17,FALSE),0)</f>
        <v>2</v>
      </c>
      <c r="S713" s="3">
        <v>0</v>
      </c>
    </row>
    <row r="714" spans="1:19" x14ac:dyDescent="0.25">
      <c r="A714" s="2">
        <v>2488</v>
      </c>
      <c r="B714" s="2" t="s">
        <v>19</v>
      </c>
      <c r="C714" s="2" t="s">
        <v>2383</v>
      </c>
      <c r="D714" s="2" t="s">
        <v>2549</v>
      </c>
      <c r="E714" s="2" t="s">
        <v>2619</v>
      </c>
      <c r="F714" s="2" t="s">
        <v>2620</v>
      </c>
      <c r="G714" s="2" t="s">
        <v>2551</v>
      </c>
      <c r="H714" s="2" t="s">
        <v>2621</v>
      </c>
      <c r="I714" s="2">
        <v>24</v>
      </c>
      <c r="J714" s="2" t="s">
        <v>24</v>
      </c>
      <c r="K714" s="2">
        <v>-16.957090000000001</v>
      </c>
      <c r="L714" s="2">
        <v>-65.144750000000002</v>
      </c>
      <c r="M714" s="2" t="s">
        <v>776</v>
      </c>
      <c r="N714" s="2">
        <v>2488</v>
      </c>
      <c r="O714" s="2" t="s">
        <v>2622</v>
      </c>
      <c r="P714" s="2"/>
      <c r="Q714" s="2"/>
      <c r="R714" s="2">
        <f>IFERROR(VLOOKUP(A714,'[1]Recintos Cochabamba'!A$1:R$838,17,FALSE),0)</f>
        <v>2</v>
      </c>
      <c r="S714" s="3">
        <v>0</v>
      </c>
    </row>
    <row r="715" spans="1:19" x14ac:dyDescent="0.25">
      <c r="A715" s="2">
        <v>2489</v>
      </c>
      <c r="B715" s="2" t="s">
        <v>19</v>
      </c>
      <c r="C715" s="2" t="s">
        <v>2383</v>
      </c>
      <c r="D715" s="2" t="s">
        <v>2549</v>
      </c>
      <c r="E715" s="2" t="s">
        <v>2623</v>
      </c>
      <c r="F715" s="2" t="s">
        <v>2624</v>
      </c>
      <c r="G715" s="2" t="s">
        <v>2573</v>
      </c>
      <c r="H715" s="2" t="s">
        <v>2625</v>
      </c>
      <c r="I715" s="2">
        <v>2</v>
      </c>
      <c r="J715" s="2" t="s">
        <v>24</v>
      </c>
      <c r="K715" s="2">
        <v>-16.723948</v>
      </c>
      <c r="L715" s="2">
        <v>-64.887200000000007</v>
      </c>
      <c r="M715" s="2" t="s">
        <v>776</v>
      </c>
      <c r="N715" s="2">
        <v>2489</v>
      </c>
      <c r="O715" s="2" t="s">
        <v>2626</v>
      </c>
      <c r="P715" s="2"/>
      <c r="Q715" s="2"/>
      <c r="R715" s="2">
        <f>IFERROR(VLOOKUP(A715,'[1]Recintos Cochabamba'!A$1:R$838,17,FALSE),0)</f>
        <v>1</v>
      </c>
      <c r="S715" s="3">
        <v>0</v>
      </c>
    </row>
    <row r="716" spans="1:19" x14ac:dyDescent="0.25">
      <c r="A716" s="2">
        <v>2490</v>
      </c>
      <c r="B716" s="2" t="s">
        <v>19</v>
      </c>
      <c r="C716" s="2" t="s">
        <v>2383</v>
      </c>
      <c r="D716" s="2" t="s">
        <v>2627</v>
      </c>
      <c r="E716" s="2" t="s">
        <v>2627</v>
      </c>
      <c r="F716" s="2" t="s">
        <v>2628</v>
      </c>
      <c r="G716" s="2" t="s">
        <v>2629</v>
      </c>
      <c r="H716" s="2" t="s">
        <v>2627</v>
      </c>
      <c r="I716" s="2">
        <v>24</v>
      </c>
      <c r="J716" s="2" t="s">
        <v>2193</v>
      </c>
      <c r="K716" s="2">
        <v>-16.839200000000002</v>
      </c>
      <c r="L716" s="2">
        <v>-64.794899999999998</v>
      </c>
      <c r="M716" s="2" t="s">
        <v>776</v>
      </c>
      <c r="N716" s="2">
        <v>2490</v>
      </c>
      <c r="O716" s="2" t="s">
        <v>2630</v>
      </c>
      <c r="P716" s="2"/>
      <c r="Q716" s="2"/>
      <c r="R716" s="2">
        <f>IFERROR(VLOOKUP(A716,'[1]Recintos Cochabamba'!A$1:R$838,17,FALSE),0)</f>
        <v>8</v>
      </c>
      <c r="S716" s="3">
        <f>IFERROR(VLOOKUP(A716,'[1]Recintos Cochabamba'!A$1:T$838,18,FALSE),0)</f>
        <v>0.73945571741217764</v>
      </c>
    </row>
    <row r="717" spans="1:19" x14ac:dyDescent="0.25">
      <c r="A717" s="2">
        <v>2491</v>
      </c>
      <c r="B717" s="2" t="s">
        <v>19</v>
      </c>
      <c r="C717" s="2" t="s">
        <v>2383</v>
      </c>
      <c r="D717" s="2" t="s">
        <v>2627</v>
      </c>
      <c r="E717" s="2" t="s">
        <v>2631</v>
      </c>
      <c r="F717" s="2" t="s">
        <v>2632</v>
      </c>
      <c r="G717" s="2" t="s">
        <v>2633</v>
      </c>
      <c r="H717" s="2" t="s">
        <v>2631</v>
      </c>
      <c r="I717" s="2">
        <v>24</v>
      </c>
      <c r="J717" s="2" t="s">
        <v>24</v>
      </c>
      <c r="K717" s="2">
        <v>-17.031700000000001</v>
      </c>
      <c r="L717" s="2">
        <v>-64.857100000000003</v>
      </c>
      <c r="M717" s="2" t="s">
        <v>25</v>
      </c>
      <c r="N717" s="2">
        <v>2491</v>
      </c>
      <c r="O717" s="2" t="s">
        <v>2634</v>
      </c>
      <c r="P717" s="2"/>
      <c r="Q717" s="2"/>
      <c r="R717" s="2">
        <f>IFERROR(VLOOKUP(A717,'[1]Recintos Cochabamba'!A$1:R$838,17,FALSE),0)</f>
        <v>37</v>
      </c>
      <c r="S717" s="3">
        <f>IFERROR(VLOOKUP(A717,'[1]Recintos Cochabamba'!A$1:T$838,18,FALSE),0)</f>
        <v>0.93447070813339761</v>
      </c>
    </row>
    <row r="718" spans="1:19" x14ac:dyDescent="0.25">
      <c r="A718" s="2">
        <v>2492</v>
      </c>
      <c r="B718" s="2" t="s">
        <v>19</v>
      </c>
      <c r="C718" s="2" t="s">
        <v>2383</v>
      </c>
      <c r="D718" s="2" t="s">
        <v>2627</v>
      </c>
      <c r="E718" s="2" t="s">
        <v>2631</v>
      </c>
      <c r="F718" s="2" t="s">
        <v>1316</v>
      </c>
      <c r="G718" s="2" t="s">
        <v>2633</v>
      </c>
      <c r="H718" s="2" t="s">
        <v>2635</v>
      </c>
      <c r="I718" s="2">
        <v>24</v>
      </c>
      <c r="J718" s="2" t="s">
        <v>24</v>
      </c>
      <c r="K718" s="2">
        <v>-17.0472</v>
      </c>
      <c r="L718" s="2">
        <v>-64.8553</v>
      </c>
      <c r="M718" s="2" t="s">
        <v>776</v>
      </c>
      <c r="N718" s="2">
        <v>2492</v>
      </c>
      <c r="O718" s="2" t="s">
        <v>2636</v>
      </c>
      <c r="P718" s="2"/>
      <c r="Q718" s="2"/>
      <c r="R718" s="2">
        <f>IFERROR(VLOOKUP(A718,'[1]Recintos Cochabamba'!A$1:R$838,17,FALSE),0)</f>
        <v>9</v>
      </c>
      <c r="S718" s="3">
        <f>IFERROR(VLOOKUP(A718,'[1]Recintos Cochabamba'!A$1:T$838,18,FALSE),0)</f>
        <v>0.95860829130188618</v>
      </c>
    </row>
    <row r="719" spans="1:19" x14ac:dyDescent="0.25">
      <c r="A719" s="2">
        <v>2493</v>
      </c>
      <c r="B719" s="2" t="s">
        <v>19</v>
      </c>
      <c r="C719" s="2" t="s">
        <v>2383</v>
      </c>
      <c r="D719" s="2" t="s">
        <v>2627</v>
      </c>
      <c r="E719" s="2" t="s">
        <v>2631</v>
      </c>
      <c r="F719" s="2" t="s">
        <v>2637</v>
      </c>
      <c r="G719" s="2" t="s">
        <v>2633</v>
      </c>
      <c r="H719" s="2" t="s">
        <v>2638</v>
      </c>
      <c r="I719" s="2">
        <v>24</v>
      </c>
      <c r="J719" s="2" t="s">
        <v>24</v>
      </c>
      <c r="K719" s="2">
        <v>-17.031818000000001</v>
      </c>
      <c r="L719" s="2">
        <v>-64.857890999999995</v>
      </c>
      <c r="M719" s="2" t="s">
        <v>776</v>
      </c>
      <c r="N719" s="2">
        <v>2493</v>
      </c>
      <c r="O719" s="2" t="s">
        <v>2639</v>
      </c>
      <c r="P719" s="2"/>
      <c r="Q719" s="2"/>
      <c r="R719" s="2">
        <f>IFERROR(VLOOKUP(A719,'[1]Recintos Cochabamba'!A$1:R$838,17,FALSE),0)</f>
        <v>17</v>
      </c>
      <c r="S719" s="3">
        <f>IFERROR(VLOOKUP(A719,'[1]Recintos Cochabamba'!A$1:T$838,18,FALSE),0)</f>
        <v>0.94020958593282811</v>
      </c>
    </row>
    <row r="720" spans="1:19" x14ac:dyDescent="0.25">
      <c r="A720" s="2">
        <v>2494</v>
      </c>
      <c r="B720" s="2" t="s">
        <v>19</v>
      </c>
      <c r="C720" s="2" t="s">
        <v>2383</v>
      </c>
      <c r="D720" s="2" t="s">
        <v>2627</v>
      </c>
      <c r="E720" s="2" t="s">
        <v>2631</v>
      </c>
      <c r="F720" s="2" t="s">
        <v>2640</v>
      </c>
      <c r="G720" s="2" t="s">
        <v>2633</v>
      </c>
      <c r="H720" s="2" t="s">
        <v>2631</v>
      </c>
      <c r="I720" s="2">
        <v>24</v>
      </c>
      <c r="J720" s="2" t="s">
        <v>24</v>
      </c>
      <c r="K720" s="2">
        <v>-17.030289</v>
      </c>
      <c r="L720" s="2">
        <v>-64.857853000000006</v>
      </c>
      <c r="M720" s="2" t="s">
        <v>25</v>
      </c>
      <c r="N720" s="2">
        <v>2494</v>
      </c>
      <c r="O720" s="2" t="s">
        <v>2641</v>
      </c>
      <c r="P720" s="2"/>
      <c r="Q720" s="2"/>
      <c r="R720" s="2">
        <f>IFERROR(VLOOKUP(A720,'[1]Recintos Cochabamba'!A$1:R$838,17,FALSE),0)</f>
        <v>7</v>
      </c>
      <c r="S720" s="3">
        <v>0</v>
      </c>
    </row>
    <row r="721" spans="1:19" x14ac:dyDescent="0.25">
      <c r="A721" s="2">
        <v>2495</v>
      </c>
      <c r="B721" s="2" t="s">
        <v>19</v>
      </c>
      <c r="C721" s="2" t="s">
        <v>2383</v>
      </c>
      <c r="D721" s="2" t="s">
        <v>2627</v>
      </c>
      <c r="E721" s="2" t="s">
        <v>2631</v>
      </c>
      <c r="F721" s="2" t="s">
        <v>2642</v>
      </c>
      <c r="G721" s="2" t="s">
        <v>2633</v>
      </c>
      <c r="H721" s="2" t="s">
        <v>2643</v>
      </c>
      <c r="I721" s="2">
        <v>24</v>
      </c>
      <c r="J721" s="2" t="s">
        <v>24</v>
      </c>
      <c r="K721" s="2">
        <v>-17.056750999999998</v>
      </c>
      <c r="L721" s="2">
        <v>-64.862686999999994</v>
      </c>
      <c r="M721" s="2" t="s">
        <v>25</v>
      </c>
      <c r="N721" s="2">
        <v>2495</v>
      </c>
      <c r="O721" s="2" t="s">
        <v>2644</v>
      </c>
      <c r="P721" s="2"/>
      <c r="Q721" s="2"/>
      <c r="R721" s="2">
        <f>IFERROR(VLOOKUP(A721,'[1]Recintos Cochabamba'!A$1:R$838,17,FALSE),0)</f>
        <v>1</v>
      </c>
      <c r="S721" s="3">
        <v>0</v>
      </c>
    </row>
    <row r="722" spans="1:19" x14ac:dyDescent="0.25">
      <c r="A722" s="2">
        <v>2496</v>
      </c>
      <c r="B722" s="2" t="s">
        <v>19</v>
      </c>
      <c r="C722" s="2" t="s">
        <v>2383</v>
      </c>
      <c r="D722" s="2" t="s">
        <v>2627</v>
      </c>
      <c r="E722" s="2" t="s">
        <v>2645</v>
      </c>
      <c r="F722" s="2" t="s">
        <v>2646</v>
      </c>
      <c r="G722" s="2" t="s">
        <v>2633</v>
      </c>
      <c r="H722" s="2" t="s">
        <v>2645</v>
      </c>
      <c r="I722" s="2">
        <v>24</v>
      </c>
      <c r="J722" s="2" t="s">
        <v>24</v>
      </c>
      <c r="K722" s="2">
        <v>-17.073599999999999</v>
      </c>
      <c r="L722" s="2">
        <v>-64.845399999999998</v>
      </c>
      <c r="M722" s="2" t="s">
        <v>25</v>
      </c>
      <c r="N722" s="2">
        <v>2496</v>
      </c>
      <c r="O722" s="2" t="s">
        <v>2647</v>
      </c>
      <c r="P722" s="2"/>
      <c r="Q722" s="2"/>
      <c r="R722" s="2">
        <f>IFERROR(VLOOKUP(A722,'[1]Recintos Cochabamba'!A$1:R$838,17,FALSE),0)</f>
        <v>6</v>
      </c>
      <c r="S722" s="3">
        <f>IFERROR(VLOOKUP(A722,'[1]Recintos Cochabamba'!A$1:T$838,18,FALSE),0)</f>
        <v>0.97787546129678926</v>
      </c>
    </row>
    <row r="723" spans="1:19" x14ac:dyDescent="0.25">
      <c r="A723" s="2">
        <v>2497</v>
      </c>
      <c r="B723" s="2" t="s">
        <v>19</v>
      </c>
      <c r="C723" s="2" t="s">
        <v>2383</v>
      </c>
      <c r="D723" s="2" t="s">
        <v>2627</v>
      </c>
      <c r="E723" s="2" t="s">
        <v>2648</v>
      </c>
      <c r="F723" s="2" t="s">
        <v>2649</v>
      </c>
      <c r="G723" s="2" t="s">
        <v>2650</v>
      </c>
      <c r="H723" s="2" t="s">
        <v>2648</v>
      </c>
      <c r="I723" s="2">
        <v>24</v>
      </c>
      <c r="J723" s="2" t="s">
        <v>24</v>
      </c>
      <c r="K723" s="2">
        <v>-17.116599999999998</v>
      </c>
      <c r="L723" s="2">
        <v>-64.917900000000003</v>
      </c>
      <c r="M723" s="2" t="s">
        <v>25</v>
      </c>
      <c r="N723" s="2">
        <v>2497</v>
      </c>
      <c r="O723" s="2" t="s">
        <v>2651</v>
      </c>
      <c r="P723" s="2"/>
      <c r="Q723" s="2"/>
      <c r="R723" s="2">
        <f>IFERROR(VLOOKUP(A723,'[1]Recintos Cochabamba'!A$1:R$838,17,FALSE),0)</f>
        <v>9</v>
      </c>
      <c r="S723" s="3">
        <f>IFERROR(VLOOKUP(A723,'[1]Recintos Cochabamba'!A$1:T$838,18,FALSE),0)</f>
        <v>0.95910372723568438</v>
      </c>
    </row>
    <row r="724" spans="1:19" x14ac:dyDescent="0.25">
      <c r="A724" s="2">
        <v>2498</v>
      </c>
      <c r="B724" s="2" t="s">
        <v>19</v>
      </c>
      <c r="C724" s="2" t="s">
        <v>2383</v>
      </c>
      <c r="D724" s="2" t="s">
        <v>2627</v>
      </c>
      <c r="E724" s="2" t="s">
        <v>2652</v>
      </c>
      <c r="F724" s="2" t="s">
        <v>2653</v>
      </c>
      <c r="G724" s="2" t="s">
        <v>2654</v>
      </c>
      <c r="H724" s="2" t="s">
        <v>2652</v>
      </c>
      <c r="I724" s="2">
        <v>24</v>
      </c>
      <c r="J724" s="2" t="s">
        <v>24</v>
      </c>
      <c r="K724" s="2">
        <v>-17.119700000000002</v>
      </c>
      <c r="L724" s="2">
        <v>-64.769000000000005</v>
      </c>
      <c r="M724" s="2" t="s">
        <v>25</v>
      </c>
      <c r="N724" s="2">
        <v>2498</v>
      </c>
      <c r="O724" s="2" t="s">
        <v>2655</v>
      </c>
      <c r="P724" s="2"/>
      <c r="Q724" s="2"/>
      <c r="R724" s="2">
        <f>IFERROR(VLOOKUP(A724,'[1]Recintos Cochabamba'!A$1:R$838,17,FALSE),0)</f>
        <v>24</v>
      </c>
      <c r="S724" s="3">
        <f>IFERROR(VLOOKUP(A724,'[1]Recintos Cochabamba'!A$1:T$838,18,FALSE),0)</f>
        <v>0.98029554084920845</v>
      </c>
    </row>
    <row r="725" spans="1:19" x14ac:dyDescent="0.25">
      <c r="A725" s="2">
        <v>2499</v>
      </c>
      <c r="B725" s="2" t="s">
        <v>19</v>
      </c>
      <c r="C725" s="2" t="s">
        <v>2383</v>
      </c>
      <c r="D725" s="2" t="s">
        <v>2627</v>
      </c>
      <c r="E725" s="2" t="s">
        <v>2656</v>
      </c>
      <c r="F725" s="2" t="s">
        <v>2657</v>
      </c>
      <c r="G725" s="2" t="s">
        <v>2658</v>
      </c>
      <c r="H725" s="2" t="s">
        <v>2656</v>
      </c>
      <c r="I725" s="2">
        <v>24</v>
      </c>
      <c r="J725" s="2" t="s">
        <v>24</v>
      </c>
      <c r="K725" s="2">
        <v>-17.156099999999999</v>
      </c>
      <c r="L725" s="2">
        <v>-64.9666</v>
      </c>
      <c r="M725" s="2" t="s">
        <v>25</v>
      </c>
      <c r="N725" s="2">
        <v>2499</v>
      </c>
      <c r="O725" s="2" t="s">
        <v>2659</v>
      </c>
      <c r="P725" s="2"/>
      <c r="Q725" s="2"/>
      <c r="R725" s="2">
        <f>IFERROR(VLOOKUP(A725,'[1]Recintos Cochabamba'!A$1:R$838,17,FALSE),0)</f>
        <v>10</v>
      </c>
      <c r="S725" s="3">
        <f>IFERROR(VLOOKUP(A725,'[1]Recintos Cochabamba'!A$1:T$838,18,FALSE),0)</f>
        <v>0.98829478605765464</v>
      </c>
    </row>
    <row r="726" spans="1:19" x14ac:dyDescent="0.25">
      <c r="A726" s="2">
        <v>2500</v>
      </c>
      <c r="B726" s="2" t="s">
        <v>19</v>
      </c>
      <c r="C726" s="2" t="s">
        <v>2383</v>
      </c>
      <c r="D726" s="2" t="s">
        <v>2627</v>
      </c>
      <c r="E726" s="2" t="s">
        <v>2660</v>
      </c>
      <c r="F726" s="2" t="s">
        <v>2661</v>
      </c>
      <c r="G726" s="2" t="s">
        <v>2662</v>
      </c>
      <c r="H726" s="2" t="s">
        <v>2660</v>
      </c>
      <c r="I726" s="2">
        <v>24</v>
      </c>
      <c r="J726" s="2" t="s">
        <v>24</v>
      </c>
      <c r="K726" s="2">
        <v>-17.1142</v>
      </c>
      <c r="L726" s="2">
        <v>-65.002399999999994</v>
      </c>
      <c r="M726" s="2" t="s">
        <v>25</v>
      </c>
      <c r="N726" s="2">
        <v>2500</v>
      </c>
      <c r="O726" s="2" t="s">
        <v>2663</v>
      </c>
      <c r="P726" s="2"/>
      <c r="Q726" s="2"/>
      <c r="R726" s="2">
        <f>IFERROR(VLOOKUP(A726,'[1]Recintos Cochabamba'!A$1:R$838,17,FALSE),0)</f>
        <v>5</v>
      </c>
      <c r="S726" s="3">
        <f>IFERROR(VLOOKUP(A726,'[1]Recintos Cochabamba'!A$1:T$838,18,FALSE),0)</f>
        <v>0.99049111134009193</v>
      </c>
    </row>
    <row r="727" spans="1:19" x14ac:dyDescent="0.25">
      <c r="A727" s="2">
        <v>2501</v>
      </c>
      <c r="B727" s="2" t="s">
        <v>19</v>
      </c>
      <c r="C727" s="2" t="s">
        <v>2383</v>
      </c>
      <c r="D727" s="2" t="s">
        <v>2627</v>
      </c>
      <c r="E727" s="2" t="s">
        <v>2664</v>
      </c>
      <c r="F727" s="2" t="s">
        <v>2665</v>
      </c>
      <c r="G727" s="2" t="s">
        <v>2666</v>
      </c>
      <c r="H727" s="2" t="s">
        <v>2664</v>
      </c>
      <c r="I727" s="2">
        <v>24</v>
      </c>
      <c r="J727" s="2" t="s">
        <v>24</v>
      </c>
      <c r="K727" s="2">
        <v>-17.011500000000002</v>
      </c>
      <c r="L727" s="2">
        <v>-65.040999999999997</v>
      </c>
      <c r="M727" s="2" t="s">
        <v>25</v>
      </c>
      <c r="N727" s="2">
        <v>2501</v>
      </c>
      <c r="O727" s="2" t="s">
        <v>2667</v>
      </c>
      <c r="P727" s="2"/>
      <c r="Q727" s="2"/>
      <c r="R727" s="2">
        <f>IFERROR(VLOOKUP(A727,'[1]Recintos Cochabamba'!A$1:R$838,17,FALSE),0)</f>
        <v>14</v>
      </c>
      <c r="S727" s="3">
        <f>IFERROR(VLOOKUP(A727,'[1]Recintos Cochabamba'!A$1:T$838,18,FALSE),0)</f>
        <v>0.97516132778202003</v>
      </c>
    </row>
    <row r="728" spans="1:19" x14ac:dyDescent="0.25">
      <c r="A728" s="2">
        <v>2502</v>
      </c>
      <c r="B728" s="2" t="s">
        <v>19</v>
      </c>
      <c r="C728" s="2" t="s">
        <v>2383</v>
      </c>
      <c r="D728" s="2" t="s">
        <v>2627</v>
      </c>
      <c r="E728" s="2" t="s">
        <v>2668</v>
      </c>
      <c r="F728" s="2" t="s">
        <v>2669</v>
      </c>
      <c r="G728" s="2" t="s">
        <v>2670</v>
      </c>
      <c r="H728" s="2" t="s">
        <v>900</v>
      </c>
      <c r="I728" s="2">
        <v>24</v>
      </c>
      <c r="J728" s="2" t="s">
        <v>24</v>
      </c>
      <c r="K728" s="2">
        <v>-16.907499999999999</v>
      </c>
      <c r="L728" s="2">
        <v>-64.999300000000005</v>
      </c>
      <c r="M728" s="2" t="s">
        <v>776</v>
      </c>
      <c r="N728" s="2">
        <v>2502</v>
      </c>
      <c r="O728" s="2" t="s">
        <v>2671</v>
      </c>
      <c r="P728" s="2"/>
      <c r="Q728" s="2"/>
      <c r="R728" s="2">
        <f>IFERROR(VLOOKUP(A728,'[1]Recintos Cochabamba'!A$1:R$838,17,FALSE),0)</f>
        <v>6</v>
      </c>
      <c r="S728" s="3">
        <f>IFERROR(VLOOKUP(A728,'[1]Recintos Cochabamba'!A$1:T$838,18,FALSE),0)</f>
        <v>0.99187668278411945</v>
      </c>
    </row>
    <row r="729" spans="1:19" x14ac:dyDescent="0.25">
      <c r="A729" s="2">
        <v>2503</v>
      </c>
      <c r="B729" s="2" t="s">
        <v>19</v>
      </c>
      <c r="C729" s="2" t="s">
        <v>2383</v>
      </c>
      <c r="D729" s="2" t="s">
        <v>2627</v>
      </c>
      <c r="E729" s="2" t="s">
        <v>2672</v>
      </c>
      <c r="F729" s="2" t="s">
        <v>2673</v>
      </c>
      <c r="G729" s="2" t="s">
        <v>2568</v>
      </c>
      <c r="H729" s="2" t="s">
        <v>2674</v>
      </c>
      <c r="I729" s="2">
        <v>24</v>
      </c>
      <c r="J729" s="2" t="s">
        <v>24</v>
      </c>
      <c r="K729" s="2">
        <v>-16.998349999999999</v>
      </c>
      <c r="L729" s="2">
        <v>-65.074719000000002</v>
      </c>
      <c r="M729" s="2" t="s">
        <v>776</v>
      </c>
      <c r="N729" s="2">
        <v>2503</v>
      </c>
      <c r="O729" s="2" t="s">
        <v>2675</v>
      </c>
      <c r="P729" s="2"/>
      <c r="Q729" s="2"/>
      <c r="R729" s="2">
        <f>IFERROR(VLOOKUP(A729,'[1]Recintos Cochabamba'!A$1:R$838,17,FALSE),0)</f>
        <v>2</v>
      </c>
      <c r="S729" s="3">
        <f>IFERROR(VLOOKUP(A729,'[1]Recintos Cochabamba'!A$1:T$838,18,FALSE),0)</f>
        <v>0.97713811892916369</v>
      </c>
    </row>
    <row r="730" spans="1:19" x14ac:dyDescent="0.25">
      <c r="A730" s="2">
        <v>2504</v>
      </c>
      <c r="B730" s="2" t="s">
        <v>19</v>
      </c>
      <c r="C730" s="2" t="s">
        <v>2383</v>
      </c>
      <c r="D730" s="2" t="s">
        <v>2627</v>
      </c>
      <c r="E730" s="2" t="s">
        <v>2676</v>
      </c>
      <c r="F730" s="2" t="s">
        <v>2677</v>
      </c>
      <c r="G730" s="2" t="s">
        <v>2678</v>
      </c>
      <c r="H730" s="2" t="s">
        <v>2679</v>
      </c>
      <c r="I730" s="2">
        <v>24</v>
      </c>
      <c r="J730" s="2" t="s">
        <v>24</v>
      </c>
      <c r="K730" s="2">
        <v>-17.0184</v>
      </c>
      <c r="L730" s="2">
        <v>-64.950900000000004</v>
      </c>
      <c r="M730" s="2" t="s">
        <v>776</v>
      </c>
      <c r="N730" s="2">
        <v>2504</v>
      </c>
      <c r="O730" s="2" t="s">
        <v>2680</v>
      </c>
      <c r="P730" s="2"/>
      <c r="Q730" s="2"/>
      <c r="R730" s="2">
        <f>IFERROR(VLOOKUP(A730,'[1]Recintos Cochabamba'!A$1:R$838,17,FALSE),0)</f>
        <v>9</v>
      </c>
      <c r="S730" s="3">
        <f>IFERROR(VLOOKUP(A730,'[1]Recintos Cochabamba'!A$1:T$838,18,FALSE),0)</f>
        <v>0.98514872573700629</v>
      </c>
    </row>
    <row r="731" spans="1:19" x14ac:dyDescent="0.25">
      <c r="A731" s="2">
        <v>2505</v>
      </c>
      <c r="B731" s="2" t="s">
        <v>19</v>
      </c>
      <c r="C731" s="2" t="s">
        <v>2383</v>
      </c>
      <c r="D731" s="2" t="s">
        <v>2627</v>
      </c>
      <c r="E731" s="2" t="s">
        <v>2681</v>
      </c>
      <c r="F731" s="2" t="s">
        <v>2682</v>
      </c>
      <c r="G731" s="2" t="s">
        <v>2683</v>
      </c>
      <c r="H731" s="2" t="s">
        <v>2681</v>
      </c>
      <c r="I731" s="2">
        <v>24</v>
      </c>
      <c r="J731" s="2" t="s">
        <v>24</v>
      </c>
      <c r="K731" s="2">
        <v>-17.260100000000001</v>
      </c>
      <c r="L731" s="2">
        <v>-64.697800000000001</v>
      </c>
      <c r="M731" s="2" t="s">
        <v>776</v>
      </c>
      <c r="N731" s="2">
        <v>2505</v>
      </c>
      <c r="O731" s="2" t="s">
        <v>2684</v>
      </c>
      <c r="P731" s="2"/>
      <c r="Q731" s="2"/>
      <c r="R731" s="2">
        <f>IFERROR(VLOOKUP(A731,'[1]Recintos Cochabamba'!A$1:R$838,17,FALSE),0)</f>
        <v>10</v>
      </c>
      <c r="S731" s="3">
        <f>IFERROR(VLOOKUP(A731,'[1]Recintos Cochabamba'!A$1:T$838,18,FALSE),0)</f>
        <v>0.99517123107031513</v>
      </c>
    </row>
    <row r="732" spans="1:19" x14ac:dyDescent="0.25">
      <c r="A732" s="2">
        <v>2506</v>
      </c>
      <c r="B732" s="2" t="s">
        <v>19</v>
      </c>
      <c r="C732" s="2" t="s">
        <v>2383</v>
      </c>
      <c r="D732" s="2" t="s">
        <v>2627</v>
      </c>
      <c r="E732" s="2" t="s">
        <v>2685</v>
      </c>
      <c r="F732" s="2" t="s">
        <v>2686</v>
      </c>
      <c r="G732" s="2" t="s">
        <v>2654</v>
      </c>
      <c r="H732" s="2" t="s">
        <v>2685</v>
      </c>
      <c r="I732" s="2">
        <v>24</v>
      </c>
      <c r="J732" s="2" t="s">
        <v>24</v>
      </c>
      <c r="K732" s="2">
        <v>-17.2181</v>
      </c>
      <c r="L732" s="2">
        <v>-64.9221</v>
      </c>
      <c r="M732" s="2" t="s">
        <v>25</v>
      </c>
      <c r="N732" s="2">
        <v>2506</v>
      </c>
      <c r="O732" s="2" t="s">
        <v>2687</v>
      </c>
      <c r="P732" s="2"/>
      <c r="Q732" s="2"/>
      <c r="R732" s="2">
        <f>IFERROR(VLOOKUP(A732,'[1]Recintos Cochabamba'!A$1:R$838,17,FALSE),0)</f>
        <v>4</v>
      </c>
      <c r="S732" s="3">
        <f>IFERROR(VLOOKUP(A732,'[1]Recintos Cochabamba'!A$1:T$838,18,FALSE),0)</f>
        <v>0.99049590605656546</v>
      </c>
    </row>
    <row r="733" spans="1:19" x14ac:dyDescent="0.25">
      <c r="A733" s="2">
        <v>2507</v>
      </c>
      <c r="B733" s="2" t="s">
        <v>19</v>
      </c>
      <c r="C733" s="2" t="s">
        <v>2383</v>
      </c>
      <c r="D733" s="2" t="s">
        <v>2627</v>
      </c>
      <c r="E733" s="2" t="s">
        <v>2688</v>
      </c>
      <c r="F733" s="2" t="s">
        <v>2689</v>
      </c>
      <c r="G733" s="2" t="s">
        <v>2629</v>
      </c>
      <c r="H733" s="2" t="s">
        <v>2688</v>
      </c>
      <c r="I733" s="2">
        <v>2</v>
      </c>
      <c r="J733" s="2" t="s">
        <v>24</v>
      </c>
      <c r="K733" s="2">
        <v>-16.7852</v>
      </c>
      <c r="L733" s="2">
        <v>-64.943200000000004</v>
      </c>
      <c r="M733" s="2" t="s">
        <v>25</v>
      </c>
      <c r="N733" s="2">
        <v>2507</v>
      </c>
      <c r="O733" s="2" t="s">
        <v>2690</v>
      </c>
      <c r="P733" s="2"/>
      <c r="Q733" s="2"/>
      <c r="R733" s="2">
        <f>IFERROR(VLOOKUP(A733,'[1]Recintos Cochabamba'!A$1:R$838,17,FALSE),0)</f>
        <v>1</v>
      </c>
      <c r="S733" s="3">
        <f>IFERROR(VLOOKUP(A733,'[1]Recintos Cochabamba'!A$1:T$838,18,FALSE),0)</f>
        <v>0.88617886178861793</v>
      </c>
    </row>
    <row r="734" spans="1:19" x14ac:dyDescent="0.25">
      <c r="A734" s="2">
        <v>2508</v>
      </c>
      <c r="B734" s="2" t="s">
        <v>19</v>
      </c>
      <c r="C734" s="2" t="s">
        <v>2383</v>
      </c>
      <c r="D734" s="2" t="s">
        <v>2627</v>
      </c>
      <c r="E734" s="2" t="s">
        <v>2691</v>
      </c>
      <c r="F734" s="2" t="s">
        <v>2692</v>
      </c>
      <c r="G734" s="2" t="s">
        <v>2693</v>
      </c>
      <c r="H734" s="2" t="s">
        <v>2691</v>
      </c>
      <c r="I734" s="2">
        <v>24</v>
      </c>
      <c r="J734" s="2" t="s">
        <v>24</v>
      </c>
      <c r="K734" s="2">
        <v>-17.221900000000002</v>
      </c>
      <c r="L734" s="2">
        <v>-64.839600000000004</v>
      </c>
      <c r="M734" s="2" t="s">
        <v>776</v>
      </c>
      <c r="N734" s="2">
        <v>2508</v>
      </c>
      <c r="O734" s="2" t="s">
        <v>2694</v>
      </c>
      <c r="P734" s="2"/>
      <c r="Q734" s="2"/>
      <c r="R734" s="2">
        <f>IFERROR(VLOOKUP(A734,'[1]Recintos Cochabamba'!A$1:R$838,17,FALSE),0)</f>
        <v>4</v>
      </c>
      <c r="S734" s="3">
        <f>IFERROR(VLOOKUP(A734,'[1]Recintos Cochabamba'!A$1:T$838,18,FALSE),0)</f>
        <v>0.98404061811628052</v>
      </c>
    </row>
    <row r="735" spans="1:19" x14ac:dyDescent="0.25">
      <c r="A735" s="2">
        <v>2509</v>
      </c>
      <c r="B735" s="2" t="s">
        <v>19</v>
      </c>
      <c r="C735" s="2" t="s">
        <v>2383</v>
      </c>
      <c r="D735" s="2" t="s">
        <v>2627</v>
      </c>
      <c r="E735" s="2" t="s">
        <v>2695</v>
      </c>
      <c r="F735" s="2" t="s">
        <v>2696</v>
      </c>
      <c r="G735" s="2" t="s">
        <v>2654</v>
      </c>
      <c r="H735" s="2" t="s">
        <v>2697</v>
      </c>
      <c r="I735" s="2">
        <v>24</v>
      </c>
      <c r="J735" s="2" t="s">
        <v>24</v>
      </c>
      <c r="K735" s="2">
        <v>-17.173285</v>
      </c>
      <c r="L735" s="2">
        <v>-64.870779999999996</v>
      </c>
      <c r="M735" s="2" t="s">
        <v>776</v>
      </c>
      <c r="N735" s="2">
        <v>2509</v>
      </c>
      <c r="O735" s="2" t="s">
        <v>2698</v>
      </c>
      <c r="P735" s="2"/>
      <c r="Q735" s="2"/>
      <c r="R735" s="2">
        <f>IFERROR(VLOOKUP(A735,'[1]Recintos Cochabamba'!A$1:R$838,17,FALSE),0)</f>
        <v>2</v>
      </c>
      <c r="S735" s="3">
        <v>0</v>
      </c>
    </row>
    <row r="736" spans="1:19" x14ac:dyDescent="0.25">
      <c r="A736" s="2">
        <v>2510</v>
      </c>
      <c r="B736" s="2" t="s">
        <v>19</v>
      </c>
      <c r="C736" s="2" t="s">
        <v>2383</v>
      </c>
      <c r="D736" s="2" t="s">
        <v>2627</v>
      </c>
      <c r="E736" s="2" t="s">
        <v>2699</v>
      </c>
      <c r="F736" s="2" t="s">
        <v>2700</v>
      </c>
      <c r="G736" s="2" t="s">
        <v>2654</v>
      </c>
      <c r="H736" s="2" t="s">
        <v>2701</v>
      </c>
      <c r="I736" s="2">
        <v>24</v>
      </c>
      <c r="J736" s="2" t="s">
        <v>24</v>
      </c>
      <c r="K736" s="2">
        <v>-17.220492</v>
      </c>
      <c r="L736" s="2">
        <v>-64.747968999999998</v>
      </c>
      <c r="M736" s="2" t="s">
        <v>776</v>
      </c>
      <c r="N736" s="2">
        <v>2510</v>
      </c>
      <c r="O736" s="2" t="s">
        <v>2702</v>
      </c>
      <c r="P736" s="2"/>
      <c r="Q736" s="2"/>
      <c r="R736" s="2">
        <f>IFERROR(VLOOKUP(A736,'[1]Recintos Cochabamba'!A$1:R$838,17,FALSE),0)</f>
        <v>3</v>
      </c>
      <c r="S736" s="3">
        <v>0</v>
      </c>
    </row>
    <row r="737" spans="1:19" x14ac:dyDescent="0.25">
      <c r="A737" s="2">
        <v>2511</v>
      </c>
      <c r="B737" s="2" t="s">
        <v>19</v>
      </c>
      <c r="C737" s="2" t="s">
        <v>2383</v>
      </c>
      <c r="D737" s="2" t="s">
        <v>2703</v>
      </c>
      <c r="E737" s="2" t="s">
        <v>2704</v>
      </c>
      <c r="F737" s="2" t="s">
        <v>2705</v>
      </c>
      <c r="G737" s="2" t="s">
        <v>2706</v>
      </c>
      <c r="H737" s="2" t="s">
        <v>2704</v>
      </c>
      <c r="I737" s="2">
        <v>25</v>
      </c>
      <c r="J737" s="2" t="s">
        <v>24</v>
      </c>
      <c r="K737" s="2">
        <v>-17.2255</v>
      </c>
      <c r="L737" s="2">
        <v>-64.455600000000004</v>
      </c>
      <c r="M737" s="2" t="s">
        <v>776</v>
      </c>
      <c r="N737" s="2">
        <v>2511</v>
      </c>
      <c r="O737" s="2" t="s">
        <v>2707</v>
      </c>
      <c r="P737" s="2"/>
      <c r="Q737" s="2"/>
      <c r="R737" s="2">
        <f>IFERROR(VLOOKUP(A737,'[1]Recintos Cochabamba'!A$1:R$838,17,FALSE),0)</f>
        <v>11</v>
      </c>
      <c r="S737" s="3">
        <f>IFERROR(VLOOKUP(A737,'[1]Recintos Cochabamba'!A$1:T$838,18,FALSE),0)</f>
        <v>0.95167619494586653</v>
      </c>
    </row>
    <row r="738" spans="1:19" x14ac:dyDescent="0.25">
      <c r="A738" s="2">
        <v>2512</v>
      </c>
      <c r="B738" s="2" t="s">
        <v>19</v>
      </c>
      <c r="C738" s="2" t="s">
        <v>2383</v>
      </c>
      <c r="D738" s="2" t="s">
        <v>2703</v>
      </c>
      <c r="E738" s="2" t="s">
        <v>2708</v>
      </c>
      <c r="F738" s="2" t="s">
        <v>2709</v>
      </c>
      <c r="G738" s="2" t="s">
        <v>2710</v>
      </c>
      <c r="H738" s="2" t="s">
        <v>2711</v>
      </c>
      <c r="I738" s="2">
        <v>25</v>
      </c>
      <c r="J738" s="2" t="s">
        <v>24</v>
      </c>
      <c r="K738" s="2">
        <v>-17.259779000000002</v>
      </c>
      <c r="L738" s="2">
        <v>-64.357911000000001</v>
      </c>
      <c r="M738" s="2" t="s">
        <v>776</v>
      </c>
      <c r="N738" s="2">
        <v>2512</v>
      </c>
      <c r="O738" s="2" t="s">
        <v>2712</v>
      </c>
      <c r="P738" s="2"/>
      <c r="Q738" s="2"/>
      <c r="R738" s="2">
        <f>IFERROR(VLOOKUP(A738,'[1]Recintos Cochabamba'!A$1:R$838,17,FALSE),0)</f>
        <v>23</v>
      </c>
      <c r="S738" s="3">
        <f>IFERROR(VLOOKUP(A738,'[1]Recintos Cochabamba'!A$1:T$838,18,FALSE),0)</f>
        <v>0.95013684729437542</v>
      </c>
    </row>
    <row r="739" spans="1:19" x14ac:dyDescent="0.25">
      <c r="A739" s="2">
        <v>2513</v>
      </c>
      <c r="B739" s="2" t="s">
        <v>19</v>
      </c>
      <c r="C739" s="2" t="s">
        <v>2383</v>
      </c>
      <c r="D739" s="2" t="s">
        <v>2703</v>
      </c>
      <c r="E739" s="2" t="s">
        <v>2708</v>
      </c>
      <c r="F739" s="2" t="s">
        <v>2713</v>
      </c>
      <c r="G739" s="2" t="s">
        <v>2710</v>
      </c>
      <c r="H739" s="2" t="s">
        <v>2714</v>
      </c>
      <c r="I739" s="2">
        <v>25</v>
      </c>
      <c r="J739" s="2" t="s">
        <v>24</v>
      </c>
      <c r="K739" s="2">
        <v>-17.253727000000001</v>
      </c>
      <c r="L739" s="2">
        <v>-64.366759999999999</v>
      </c>
      <c r="M739" s="2" t="s">
        <v>776</v>
      </c>
      <c r="N739" s="2">
        <v>2513</v>
      </c>
      <c r="O739" s="2" t="s">
        <v>2715</v>
      </c>
      <c r="P739" s="2"/>
      <c r="Q739" s="2"/>
      <c r="R739" s="2">
        <f>IFERROR(VLOOKUP(A739,'[1]Recintos Cochabamba'!A$1:R$838,17,FALSE),0)</f>
        <v>2</v>
      </c>
      <c r="S739" s="3">
        <v>0</v>
      </c>
    </row>
    <row r="740" spans="1:19" x14ac:dyDescent="0.25">
      <c r="A740" s="2">
        <v>2514</v>
      </c>
      <c r="B740" s="2" t="s">
        <v>19</v>
      </c>
      <c r="C740" s="2" t="s">
        <v>2383</v>
      </c>
      <c r="D740" s="2" t="s">
        <v>2703</v>
      </c>
      <c r="E740" s="2" t="s">
        <v>2716</v>
      </c>
      <c r="F740" s="2" t="s">
        <v>2717</v>
      </c>
      <c r="G740" s="2" t="s">
        <v>2718</v>
      </c>
      <c r="H740" s="2" t="s">
        <v>2719</v>
      </c>
      <c r="I740" s="2">
        <v>25</v>
      </c>
      <c r="J740" s="2" t="s">
        <v>24</v>
      </c>
      <c r="K740" s="2">
        <v>-17.139299999999999</v>
      </c>
      <c r="L740" s="2">
        <v>-64.681200000000004</v>
      </c>
      <c r="M740" s="2" t="s">
        <v>776</v>
      </c>
      <c r="N740" s="2">
        <v>2514</v>
      </c>
      <c r="O740" s="2" t="s">
        <v>2720</v>
      </c>
      <c r="P740" s="2"/>
      <c r="Q740" s="2"/>
      <c r="R740" s="2">
        <f>IFERROR(VLOOKUP(A740,'[1]Recintos Cochabamba'!A$1:R$838,17,FALSE),0)</f>
        <v>12</v>
      </c>
      <c r="S740" s="3">
        <f>IFERROR(VLOOKUP(A740,'[1]Recintos Cochabamba'!A$1:T$838,18,FALSE),0)</f>
        <v>0.98916106478916965</v>
      </c>
    </row>
    <row r="741" spans="1:19" x14ac:dyDescent="0.25">
      <c r="A741" s="2">
        <v>2515</v>
      </c>
      <c r="B741" s="2" t="s">
        <v>19</v>
      </c>
      <c r="C741" s="2" t="s">
        <v>2383</v>
      </c>
      <c r="D741" s="2" t="s">
        <v>2703</v>
      </c>
      <c r="E741" s="2" t="s">
        <v>2721</v>
      </c>
      <c r="F741" s="2" t="s">
        <v>1461</v>
      </c>
      <c r="G741" s="2" t="s">
        <v>2722</v>
      </c>
      <c r="H741" s="2" t="s">
        <v>2721</v>
      </c>
      <c r="I741" s="2">
        <v>25</v>
      </c>
      <c r="J741" s="2" t="s">
        <v>24</v>
      </c>
      <c r="K741" s="2">
        <v>-17.199300000000001</v>
      </c>
      <c r="L741" s="2">
        <v>-64.535700000000006</v>
      </c>
      <c r="M741" s="2" t="s">
        <v>776</v>
      </c>
      <c r="N741" s="2">
        <v>2515</v>
      </c>
      <c r="O741" s="2" t="s">
        <v>2723</v>
      </c>
      <c r="P741" s="2"/>
      <c r="Q741" s="2"/>
      <c r="R741" s="2">
        <f>IFERROR(VLOOKUP(A741,'[1]Recintos Cochabamba'!A$1:R$838,17,FALSE),0)</f>
        <v>47</v>
      </c>
      <c r="S741" s="3">
        <f>IFERROR(VLOOKUP(A741,'[1]Recintos Cochabamba'!A$1:T$838,18,FALSE),0)</f>
        <v>0.96177154485673932</v>
      </c>
    </row>
    <row r="742" spans="1:19" x14ac:dyDescent="0.25">
      <c r="A742" s="2">
        <v>2516</v>
      </c>
      <c r="B742" s="2" t="s">
        <v>19</v>
      </c>
      <c r="C742" s="2" t="s">
        <v>2383</v>
      </c>
      <c r="D742" s="2" t="s">
        <v>2703</v>
      </c>
      <c r="E742" s="2" t="s">
        <v>2721</v>
      </c>
      <c r="F742" s="2" t="s">
        <v>2724</v>
      </c>
      <c r="G742" s="2" t="s">
        <v>2725</v>
      </c>
      <c r="H742" s="2" t="s">
        <v>2726</v>
      </c>
      <c r="I742" s="2">
        <v>25</v>
      </c>
      <c r="J742" s="2" t="s">
        <v>24</v>
      </c>
      <c r="K742" s="2">
        <v>-17.185300000000002</v>
      </c>
      <c r="L742" s="2">
        <v>-64.562200000000004</v>
      </c>
      <c r="M742" s="2" t="s">
        <v>776</v>
      </c>
      <c r="N742" s="2">
        <v>2516</v>
      </c>
      <c r="O742" s="2" t="s">
        <v>2727</v>
      </c>
      <c r="P742" s="2"/>
      <c r="Q742" s="2"/>
      <c r="R742" s="2">
        <f>IFERROR(VLOOKUP(A742,'[1]Recintos Cochabamba'!A$1:R$838,17,FALSE),0)</f>
        <v>20</v>
      </c>
      <c r="S742" s="3">
        <f>IFERROR(VLOOKUP(A742,'[1]Recintos Cochabamba'!A$1:T$838,18,FALSE),0)</f>
        <v>0.98043444051760642</v>
      </c>
    </row>
    <row r="743" spans="1:19" x14ac:dyDescent="0.25">
      <c r="A743" s="2">
        <v>2517</v>
      </c>
      <c r="B743" s="2" t="s">
        <v>19</v>
      </c>
      <c r="C743" s="2" t="s">
        <v>2383</v>
      </c>
      <c r="D743" s="2" t="s">
        <v>2703</v>
      </c>
      <c r="E743" s="2" t="s">
        <v>2721</v>
      </c>
      <c r="F743" s="2" t="s">
        <v>2728</v>
      </c>
      <c r="G743" s="2" t="s">
        <v>2722</v>
      </c>
      <c r="H743" s="2" t="s">
        <v>2721</v>
      </c>
      <c r="I743" s="2">
        <v>25</v>
      </c>
      <c r="J743" s="2" t="s">
        <v>24</v>
      </c>
      <c r="K743" s="2">
        <v>-17.200399999999998</v>
      </c>
      <c r="L743" s="2">
        <v>-64.542299999999997</v>
      </c>
      <c r="M743" s="2" t="s">
        <v>776</v>
      </c>
      <c r="N743" s="2">
        <v>2517</v>
      </c>
      <c r="O743" s="2" t="s">
        <v>2729</v>
      </c>
      <c r="P743" s="2"/>
      <c r="Q743" s="2"/>
      <c r="R743" s="2">
        <f>IFERROR(VLOOKUP(A743,'[1]Recintos Cochabamba'!A$1:R$838,17,FALSE),0)</f>
        <v>7</v>
      </c>
      <c r="S743" s="3">
        <f>IFERROR(VLOOKUP(A743,'[1]Recintos Cochabamba'!A$1:T$838,18,FALSE),0)</f>
        <v>0.94891954909016041</v>
      </c>
    </row>
    <row r="744" spans="1:19" x14ac:dyDescent="0.25">
      <c r="A744" s="2">
        <v>2518</v>
      </c>
      <c r="B744" s="2" t="s">
        <v>19</v>
      </c>
      <c r="C744" s="2" t="s">
        <v>2383</v>
      </c>
      <c r="D744" s="2" t="s">
        <v>2703</v>
      </c>
      <c r="E744" s="2" t="s">
        <v>2721</v>
      </c>
      <c r="F744" s="2" t="s">
        <v>2730</v>
      </c>
      <c r="G744" s="2" t="s">
        <v>2722</v>
      </c>
      <c r="H744" s="2" t="s">
        <v>2731</v>
      </c>
      <c r="I744" s="2">
        <v>25</v>
      </c>
      <c r="J744" s="2" t="s">
        <v>24</v>
      </c>
      <c r="K744" s="2">
        <v>-17.205258000000001</v>
      </c>
      <c r="L744" s="2">
        <v>-64.535290000000003</v>
      </c>
      <c r="M744" s="2" t="s">
        <v>776</v>
      </c>
      <c r="N744" s="2">
        <v>2518</v>
      </c>
      <c r="O744" s="2" t="s">
        <v>2732</v>
      </c>
      <c r="P744" s="2"/>
      <c r="Q744" s="2"/>
      <c r="R744" s="2">
        <f>IFERROR(VLOOKUP(A744,'[1]Recintos Cochabamba'!A$1:R$838,17,FALSE),0)</f>
        <v>3</v>
      </c>
      <c r="S744" s="3">
        <v>0</v>
      </c>
    </row>
    <row r="745" spans="1:19" x14ac:dyDescent="0.25">
      <c r="A745" s="2">
        <v>2519</v>
      </c>
      <c r="B745" s="2" t="s">
        <v>19</v>
      </c>
      <c r="C745" s="2" t="s">
        <v>2383</v>
      </c>
      <c r="D745" s="2" t="s">
        <v>2703</v>
      </c>
      <c r="E745" s="2" t="s">
        <v>2733</v>
      </c>
      <c r="F745" s="2" t="s">
        <v>2734</v>
      </c>
      <c r="G745" s="2" t="s">
        <v>2735</v>
      </c>
      <c r="H745" s="2" t="s">
        <v>2736</v>
      </c>
      <c r="I745" s="2">
        <v>25</v>
      </c>
      <c r="J745" s="2" t="s">
        <v>24</v>
      </c>
      <c r="K745" s="2">
        <v>-17.267399999999999</v>
      </c>
      <c r="L745" s="2">
        <v>-64.618899999999996</v>
      </c>
      <c r="M745" s="2" t="s">
        <v>776</v>
      </c>
      <c r="N745" s="2">
        <v>2519</v>
      </c>
      <c r="O745" s="2" t="s">
        <v>2737</v>
      </c>
      <c r="P745" s="2"/>
      <c r="Q745" s="2"/>
      <c r="R745" s="2">
        <f>IFERROR(VLOOKUP(A745,'[1]Recintos Cochabamba'!A$1:R$838,17,FALSE),0)</f>
        <v>2</v>
      </c>
      <c r="S745" s="3">
        <f>IFERROR(VLOOKUP(A745,'[1]Recintos Cochabamba'!A$1:T$838,18,FALSE),0)</f>
        <v>0.98369579863637591</v>
      </c>
    </row>
    <row r="746" spans="1:19" x14ac:dyDescent="0.25">
      <c r="A746" s="2">
        <v>2520</v>
      </c>
      <c r="B746" s="2" t="s">
        <v>19</v>
      </c>
      <c r="C746" s="2" t="s">
        <v>2383</v>
      </c>
      <c r="D746" s="2" t="s">
        <v>2703</v>
      </c>
      <c r="E746" s="2" t="s">
        <v>2738</v>
      </c>
      <c r="F746" s="2" t="s">
        <v>2739</v>
      </c>
      <c r="G746" s="2" t="s">
        <v>2735</v>
      </c>
      <c r="H746" s="2" t="s">
        <v>2740</v>
      </c>
      <c r="I746" s="2">
        <v>25</v>
      </c>
      <c r="J746" s="2" t="s">
        <v>24</v>
      </c>
      <c r="K746" s="2">
        <v>-17.188199999999998</v>
      </c>
      <c r="L746" s="2">
        <v>-64.657799999999995</v>
      </c>
      <c r="M746" s="2" t="s">
        <v>776</v>
      </c>
      <c r="N746" s="2">
        <v>2520</v>
      </c>
      <c r="O746" s="2" t="s">
        <v>2741</v>
      </c>
      <c r="P746" s="2"/>
      <c r="Q746" s="2"/>
      <c r="R746" s="2">
        <f>IFERROR(VLOOKUP(A746,'[1]Recintos Cochabamba'!A$1:R$838,17,FALSE),0)</f>
        <v>4</v>
      </c>
      <c r="S746" s="3">
        <f>IFERROR(VLOOKUP(A746,'[1]Recintos Cochabamba'!A$1:T$838,18,FALSE),0)</f>
        <v>0.97893762609655233</v>
      </c>
    </row>
    <row r="747" spans="1:19" x14ac:dyDescent="0.25">
      <c r="A747" s="2">
        <v>2521</v>
      </c>
      <c r="B747" s="2" t="s">
        <v>19</v>
      </c>
      <c r="C747" s="2" t="s">
        <v>2383</v>
      </c>
      <c r="D747" s="2" t="s">
        <v>2703</v>
      </c>
      <c r="E747" s="2" t="s">
        <v>2742</v>
      </c>
      <c r="F747" s="2" t="s">
        <v>2743</v>
      </c>
      <c r="G747" s="2" t="s">
        <v>2735</v>
      </c>
      <c r="H747" s="2" t="s">
        <v>2744</v>
      </c>
      <c r="I747" s="2">
        <v>25</v>
      </c>
      <c r="J747" s="2" t="s">
        <v>24</v>
      </c>
      <c r="K747" s="2">
        <v>-17.173870000000001</v>
      </c>
      <c r="L747" s="2">
        <v>-64.602033000000006</v>
      </c>
      <c r="M747" s="2" t="s">
        <v>776</v>
      </c>
      <c r="N747" s="2">
        <v>2521</v>
      </c>
      <c r="O747" s="2" t="s">
        <v>2745</v>
      </c>
      <c r="P747" s="2"/>
      <c r="Q747" s="2"/>
      <c r="R747" s="2">
        <f>IFERROR(VLOOKUP(A747,'[1]Recintos Cochabamba'!A$1:R$838,17,FALSE),0)</f>
        <v>3</v>
      </c>
      <c r="S747" s="3">
        <v>0</v>
      </c>
    </row>
    <row r="748" spans="1:19" x14ac:dyDescent="0.25">
      <c r="A748" s="2">
        <v>2522</v>
      </c>
      <c r="B748" s="2" t="s">
        <v>19</v>
      </c>
      <c r="C748" s="2" t="s">
        <v>2383</v>
      </c>
      <c r="D748" s="2" t="s">
        <v>2703</v>
      </c>
      <c r="E748" s="2" t="s">
        <v>1636</v>
      </c>
      <c r="F748" s="2" t="s">
        <v>2746</v>
      </c>
      <c r="G748" s="2" t="s">
        <v>2725</v>
      </c>
      <c r="H748" s="2" t="s">
        <v>2747</v>
      </c>
      <c r="I748" s="2">
        <v>25</v>
      </c>
      <c r="J748" s="2" t="s">
        <v>24</v>
      </c>
      <c r="K748" s="2">
        <v>-17.181177000000002</v>
      </c>
      <c r="L748" s="2">
        <v>-64.582808999999997</v>
      </c>
      <c r="M748" s="2" t="s">
        <v>776</v>
      </c>
      <c r="N748" s="2">
        <v>2522</v>
      </c>
      <c r="O748" s="2" t="s">
        <v>2748</v>
      </c>
      <c r="P748" s="2"/>
      <c r="Q748" s="2"/>
      <c r="R748" s="2">
        <f>IFERROR(VLOOKUP(A748,'[1]Recintos Cochabamba'!A$1:R$838,17,FALSE),0)</f>
        <v>2</v>
      </c>
      <c r="S748" s="3">
        <v>0</v>
      </c>
    </row>
    <row r="749" spans="1:19" x14ac:dyDescent="0.25">
      <c r="A749" s="2">
        <v>2523</v>
      </c>
      <c r="B749" s="2" t="s">
        <v>19</v>
      </c>
      <c r="C749" s="2" t="s">
        <v>2749</v>
      </c>
      <c r="D749" s="2" t="s">
        <v>2749</v>
      </c>
      <c r="E749" s="2" t="s">
        <v>2749</v>
      </c>
      <c r="F749" s="2" t="s">
        <v>2750</v>
      </c>
      <c r="G749" s="2" t="s">
        <v>2751</v>
      </c>
      <c r="H749" s="2" t="s">
        <v>2749</v>
      </c>
      <c r="I749" s="2">
        <v>25</v>
      </c>
      <c r="J749" s="2" t="s">
        <v>24</v>
      </c>
      <c r="K749" s="2">
        <v>-17.939800000000002</v>
      </c>
      <c r="L749" s="2">
        <v>-65.345799999999997</v>
      </c>
      <c r="M749" s="2" t="s">
        <v>776</v>
      </c>
      <c r="N749" s="2">
        <v>2523</v>
      </c>
      <c r="O749" s="2" t="s">
        <v>2752</v>
      </c>
      <c r="P749" s="2"/>
      <c r="Q749" s="2"/>
      <c r="R749" s="2">
        <f>IFERROR(VLOOKUP(A749,'[1]Recintos Cochabamba'!A$1:R$838,17,FALSE),0)</f>
        <v>26</v>
      </c>
      <c r="S749" s="3">
        <f>IFERROR(VLOOKUP(A749,'[1]Recintos Cochabamba'!A$1:T$838,18,FALSE),0)</f>
        <v>0.74926268862070011</v>
      </c>
    </row>
    <row r="750" spans="1:19" x14ac:dyDescent="0.25">
      <c r="A750" s="2">
        <v>2524</v>
      </c>
      <c r="B750" s="2" t="s">
        <v>19</v>
      </c>
      <c r="C750" s="2" t="s">
        <v>2749</v>
      </c>
      <c r="D750" s="2" t="s">
        <v>2749</v>
      </c>
      <c r="E750" s="2" t="s">
        <v>2749</v>
      </c>
      <c r="F750" s="2" t="s">
        <v>2753</v>
      </c>
      <c r="G750" s="2" t="s">
        <v>2751</v>
      </c>
      <c r="H750" s="2" t="s">
        <v>2754</v>
      </c>
      <c r="I750" s="2">
        <v>25</v>
      </c>
      <c r="J750" s="2" t="s">
        <v>24</v>
      </c>
      <c r="K750" s="2">
        <v>-17.939178999999999</v>
      </c>
      <c r="L750" s="2">
        <v>-65.345893000000004</v>
      </c>
      <c r="M750" s="2" t="s">
        <v>776</v>
      </c>
      <c r="N750" s="2">
        <v>2524</v>
      </c>
      <c r="O750" s="2" t="s">
        <v>2755</v>
      </c>
      <c r="P750" s="2"/>
      <c r="Q750" s="2"/>
      <c r="R750" s="2">
        <f>IFERROR(VLOOKUP(A750,'[1]Recintos Cochabamba'!A$1:R$838,17,FALSE),0)</f>
        <v>2</v>
      </c>
      <c r="S750" s="3">
        <v>0</v>
      </c>
    </row>
    <row r="751" spans="1:19" x14ac:dyDescent="0.25">
      <c r="A751" s="2">
        <v>2525</v>
      </c>
      <c r="B751" s="2" t="s">
        <v>19</v>
      </c>
      <c r="C751" s="2" t="s">
        <v>2749</v>
      </c>
      <c r="D751" s="2" t="s">
        <v>2749</v>
      </c>
      <c r="E751" s="2" t="s">
        <v>2756</v>
      </c>
      <c r="F751" s="2" t="s">
        <v>2757</v>
      </c>
      <c r="G751" s="2" t="s">
        <v>2758</v>
      </c>
      <c r="H751" s="2" t="s">
        <v>2756</v>
      </c>
      <c r="I751" s="2">
        <v>25</v>
      </c>
      <c r="J751" s="2" t="s">
        <v>24</v>
      </c>
      <c r="K751" s="2">
        <v>-18.0992</v>
      </c>
      <c r="L751" s="2">
        <v>-65.268799999999999</v>
      </c>
      <c r="M751" s="2" t="s">
        <v>776</v>
      </c>
      <c r="N751" s="2">
        <v>2525</v>
      </c>
      <c r="O751" s="2" t="s">
        <v>2759</v>
      </c>
      <c r="P751" s="2"/>
      <c r="Q751" s="2"/>
      <c r="R751" s="2">
        <f>IFERROR(VLOOKUP(A751,'[1]Recintos Cochabamba'!A$1:R$838,17,FALSE),0)</f>
        <v>3</v>
      </c>
      <c r="S751" s="3">
        <f>IFERROR(VLOOKUP(A751,'[1]Recintos Cochabamba'!A$1:T$838,18,FALSE),0)</f>
        <v>0.89197905304138836</v>
      </c>
    </row>
    <row r="752" spans="1:19" x14ac:dyDescent="0.25">
      <c r="A752" s="2">
        <v>2526</v>
      </c>
      <c r="B752" s="2" t="s">
        <v>19</v>
      </c>
      <c r="C752" s="2" t="s">
        <v>2749</v>
      </c>
      <c r="D752" s="2" t="s">
        <v>2749</v>
      </c>
      <c r="E752" s="2" t="s">
        <v>2760</v>
      </c>
      <c r="F752" s="2" t="s">
        <v>2761</v>
      </c>
      <c r="G752" s="2" t="s">
        <v>2762</v>
      </c>
      <c r="H752" s="2" t="s">
        <v>2760</v>
      </c>
      <c r="I752" s="2">
        <v>25</v>
      </c>
      <c r="J752" s="2" t="s">
        <v>24</v>
      </c>
      <c r="K752" s="2">
        <v>-18.221699999999998</v>
      </c>
      <c r="L752" s="2">
        <v>-65.542900000000003</v>
      </c>
      <c r="M752" s="2" t="s">
        <v>776</v>
      </c>
      <c r="N752" s="2">
        <v>2526</v>
      </c>
      <c r="O752" s="2" t="s">
        <v>2763</v>
      </c>
      <c r="P752" s="2"/>
      <c r="Q752" s="2"/>
      <c r="R752" s="2">
        <f>IFERROR(VLOOKUP(A752,'[1]Recintos Cochabamba'!A$1:R$838,17,FALSE),0)</f>
        <v>6</v>
      </c>
      <c r="S752" s="3">
        <f>IFERROR(VLOOKUP(A752,'[1]Recintos Cochabamba'!A$1:T$838,18,FALSE),0)</f>
        <v>0.92650117511042929</v>
      </c>
    </row>
    <row r="753" spans="1:19" x14ac:dyDescent="0.25">
      <c r="A753" s="2">
        <v>2527</v>
      </c>
      <c r="B753" s="2" t="s">
        <v>19</v>
      </c>
      <c r="C753" s="2" t="s">
        <v>2749</v>
      </c>
      <c r="D753" s="2" t="s">
        <v>2749</v>
      </c>
      <c r="E753" s="2" t="s">
        <v>2764</v>
      </c>
      <c r="F753" s="2" t="s">
        <v>2765</v>
      </c>
      <c r="G753" s="2" t="s">
        <v>2766</v>
      </c>
      <c r="H753" s="2" t="s">
        <v>2764</v>
      </c>
      <c r="I753" s="2">
        <v>25</v>
      </c>
      <c r="J753" s="2" t="s">
        <v>24</v>
      </c>
      <c r="K753" s="2">
        <v>-17.910299999999999</v>
      </c>
      <c r="L753" s="2">
        <v>-65.309799999999996</v>
      </c>
      <c r="M753" s="2" t="s">
        <v>776</v>
      </c>
      <c r="N753" s="2">
        <v>2527</v>
      </c>
      <c r="O753" s="2" t="s">
        <v>2767</v>
      </c>
      <c r="P753" s="2"/>
      <c r="Q753" s="2"/>
      <c r="R753" s="2">
        <f>IFERROR(VLOOKUP(A753,'[1]Recintos Cochabamba'!A$1:R$838,17,FALSE),0)</f>
        <v>3</v>
      </c>
      <c r="S753" s="3">
        <f>IFERROR(VLOOKUP(A753,'[1]Recintos Cochabamba'!A$1:T$838,18,FALSE),0)</f>
        <v>0.93028660153464748</v>
      </c>
    </row>
    <row r="754" spans="1:19" x14ac:dyDescent="0.25">
      <c r="A754" s="2">
        <v>2528</v>
      </c>
      <c r="B754" s="2" t="s">
        <v>19</v>
      </c>
      <c r="C754" s="2" t="s">
        <v>2749</v>
      </c>
      <c r="D754" s="2" t="s">
        <v>2749</v>
      </c>
      <c r="E754" s="2" t="s">
        <v>2768</v>
      </c>
      <c r="F754" s="2" t="s">
        <v>2769</v>
      </c>
      <c r="G754" s="2" t="s">
        <v>2770</v>
      </c>
      <c r="H754" s="2" t="s">
        <v>2768</v>
      </c>
      <c r="I754" s="2">
        <v>25</v>
      </c>
      <c r="J754" s="2" t="s">
        <v>24</v>
      </c>
      <c r="K754" s="2">
        <v>-18.031199999999998</v>
      </c>
      <c r="L754" s="2">
        <v>-65.453900000000004</v>
      </c>
      <c r="M754" s="2" t="s">
        <v>776</v>
      </c>
      <c r="N754" s="2">
        <v>2528</v>
      </c>
      <c r="O754" s="2" t="s">
        <v>2771</v>
      </c>
      <c r="P754" s="2"/>
      <c r="Q754" s="2"/>
      <c r="R754" s="2">
        <f>IFERROR(VLOOKUP(A754,'[1]Recintos Cochabamba'!A$1:R$838,17,FALSE),0)</f>
        <v>4</v>
      </c>
      <c r="S754" s="3">
        <f>IFERROR(VLOOKUP(A754,'[1]Recintos Cochabamba'!A$1:T$838,18,FALSE),0)</f>
        <v>0.79905921385967871</v>
      </c>
    </row>
    <row r="755" spans="1:19" x14ac:dyDescent="0.25">
      <c r="A755" s="2">
        <v>2529</v>
      </c>
      <c r="B755" s="2" t="s">
        <v>19</v>
      </c>
      <c r="C755" s="2" t="s">
        <v>2749</v>
      </c>
      <c r="D755" s="2" t="s">
        <v>2749</v>
      </c>
      <c r="E755" s="2" t="s">
        <v>2772</v>
      </c>
      <c r="F755" s="2" t="s">
        <v>2773</v>
      </c>
      <c r="G755" s="2" t="s">
        <v>2762</v>
      </c>
      <c r="H755" s="2" t="s">
        <v>2772</v>
      </c>
      <c r="I755" s="2">
        <v>25</v>
      </c>
      <c r="J755" s="2" t="s">
        <v>24</v>
      </c>
      <c r="K755" s="2">
        <v>-18.165199999999999</v>
      </c>
      <c r="L755" s="2">
        <v>-65.538899999999998</v>
      </c>
      <c r="M755" s="2" t="s">
        <v>776</v>
      </c>
      <c r="N755" s="2">
        <v>2529</v>
      </c>
      <c r="O755" s="2" t="s">
        <v>2774</v>
      </c>
      <c r="P755" s="2"/>
      <c r="Q755" s="2"/>
      <c r="R755" s="2">
        <f>IFERROR(VLOOKUP(A755,'[1]Recintos Cochabamba'!A$1:R$838,17,FALSE),0)</f>
        <v>2</v>
      </c>
      <c r="S755" s="3">
        <f>IFERROR(VLOOKUP(A755,'[1]Recintos Cochabamba'!A$1:T$838,18,FALSE),0)</f>
        <v>0.94141414141414148</v>
      </c>
    </row>
    <row r="756" spans="1:19" x14ac:dyDescent="0.25">
      <c r="A756" s="2">
        <v>2530</v>
      </c>
      <c r="B756" s="2" t="s">
        <v>19</v>
      </c>
      <c r="C756" s="2" t="s">
        <v>2749</v>
      </c>
      <c r="D756" s="2" t="s">
        <v>2749</v>
      </c>
      <c r="E756" s="2" t="s">
        <v>2775</v>
      </c>
      <c r="F756" s="2" t="s">
        <v>2776</v>
      </c>
      <c r="G756" s="2" t="s">
        <v>2758</v>
      </c>
      <c r="H756" s="2" t="s">
        <v>2775</v>
      </c>
      <c r="I756" s="2">
        <v>25</v>
      </c>
      <c r="J756" s="2" t="s">
        <v>24</v>
      </c>
      <c r="K756" s="2">
        <v>-18.002700000000001</v>
      </c>
      <c r="L756" s="2">
        <v>-65.306899999999999</v>
      </c>
      <c r="M756" s="2" t="s">
        <v>776</v>
      </c>
      <c r="N756" s="2">
        <v>2530</v>
      </c>
      <c r="O756" s="2" t="s">
        <v>2777</v>
      </c>
      <c r="P756" s="2"/>
      <c r="Q756" s="2"/>
      <c r="R756" s="2">
        <f>IFERROR(VLOOKUP(A756,'[1]Recintos Cochabamba'!A$1:R$838,17,FALSE),0)</f>
        <v>4</v>
      </c>
      <c r="S756" s="3">
        <f>IFERROR(VLOOKUP(A756,'[1]Recintos Cochabamba'!A$1:T$838,18,FALSE),0)</f>
        <v>0.93982694301789782</v>
      </c>
    </row>
    <row r="757" spans="1:19" x14ac:dyDescent="0.25">
      <c r="A757" s="2">
        <v>2531</v>
      </c>
      <c r="B757" s="2" t="s">
        <v>19</v>
      </c>
      <c r="C757" s="2" t="s">
        <v>2749</v>
      </c>
      <c r="D757" s="2" t="s">
        <v>2749</v>
      </c>
      <c r="E757" s="2" t="s">
        <v>2778</v>
      </c>
      <c r="F757" s="2" t="s">
        <v>2779</v>
      </c>
      <c r="G757" s="2" t="s">
        <v>2780</v>
      </c>
      <c r="H757" s="2" t="s">
        <v>2778</v>
      </c>
      <c r="I757" s="2">
        <v>25</v>
      </c>
      <c r="J757" s="2" t="s">
        <v>24</v>
      </c>
      <c r="K757" s="2">
        <v>-18.090399999999999</v>
      </c>
      <c r="L757" s="2">
        <v>-65.438199999999995</v>
      </c>
      <c r="M757" s="2" t="s">
        <v>776</v>
      </c>
      <c r="N757" s="2">
        <v>2531</v>
      </c>
      <c r="O757" s="2" t="s">
        <v>2781</v>
      </c>
      <c r="P757" s="2"/>
      <c r="Q757" s="2"/>
      <c r="R757" s="2">
        <f>IFERROR(VLOOKUP(A757,'[1]Recintos Cochabamba'!A$1:R$838,17,FALSE),0)</f>
        <v>1</v>
      </c>
      <c r="S757" s="3">
        <f>IFERROR(VLOOKUP(A757,'[1]Recintos Cochabamba'!A$1:T$838,18,FALSE),0)</f>
        <v>0.95930232558139539</v>
      </c>
    </row>
    <row r="758" spans="1:19" x14ac:dyDescent="0.25">
      <c r="A758" s="2">
        <v>2532</v>
      </c>
      <c r="B758" s="2" t="s">
        <v>19</v>
      </c>
      <c r="C758" s="2" t="s">
        <v>2749</v>
      </c>
      <c r="D758" s="2" t="s">
        <v>2749</v>
      </c>
      <c r="E758" s="2" t="s">
        <v>2782</v>
      </c>
      <c r="F758" s="2" t="s">
        <v>2783</v>
      </c>
      <c r="G758" s="2" t="s">
        <v>2766</v>
      </c>
      <c r="H758" s="2" t="s">
        <v>2784</v>
      </c>
      <c r="I758" s="2">
        <v>25</v>
      </c>
      <c r="J758" s="2" t="s">
        <v>24</v>
      </c>
      <c r="K758" s="2">
        <v>-17.830334000000001</v>
      </c>
      <c r="L758" s="2">
        <v>-65.461325000000002</v>
      </c>
      <c r="M758" s="2" t="s">
        <v>25</v>
      </c>
      <c r="N758" s="2">
        <v>2532</v>
      </c>
      <c r="O758" s="2" t="s">
        <v>2785</v>
      </c>
      <c r="P758" s="2"/>
      <c r="Q758" s="2"/>
      <c r="R758" s="2">
        <f>IFERROR(VLOOKUP(A758,'[1]Recintos Cochabamba'!A$1:R$838,17,FALSE),0)</f>
        <v>2</v>
      </c>
      <c r="S758" s="3">
        <v>0</v>
      </c>
    </row>
    <row r="759" spans="1:19" x14ac:dyDescent="0.25">
      <c r="A759" s="2">
        <v>2533</v>
      </c>
      <c r="B759" s="2" t="s">
        <v>19</v>
      </c>
      <c r="C759" s="2" t="s">
        <v>2749</v>
      </c>
      <c r="D759" s="2" t="s">
        <v>2749</v>
      </c>
      <c r="E759" s="2" t="s">
        <v>2786</v>
      </c>
      <c r="F759" s="2" t="s">
        <v>2787</v>
      </c>
      <c r="G759" s="2" t="s">
        <v>2766</v>
      </c>
      <c r="H759" s="2" t="s">
        <v>2786</v>
      </c>
      <c r="I759" s="2">
        <v>25</v>
      </c>
      <c r="J759" s="2" t="s">
        <v>24</v>
      </c>
      <c r="K759" s="2">
        <v>-17.980799999999999</v>
      </c>
      <c r="L759" s="2">
        <v>-65.367199999999997</v>
      </c>
      <c r="M759" s="2" t="s">
        <v>25</v>
      </c>
      <c r="N759" s="2">
        <v>2533</v>
      </c>
      <c r="O759" s="2" t="s">
        <v>2788</v>
      </c>
      <c r="P759" s="2"/>
      <c r="Q759" s="2"/>
      <c r="R759" s="2">
        <f>IFERROR(VLOOKUP(A759,'[1]Recintos Cochabamba'!A$1:R$838,17,FALSE),0)</f>
        <v>4</v>
      </c>
      <c r="S759" s="3">
        <f>IFERROR(VLOOKUP(A759,'[1]Recintos Cochabamba'!A$1:T$838,18,FALSE),0)</f>
        <v>0.92816552860236889</v>
      </c>
    </row>
    <row r="760" spans="1:19" x14ac:dyDescent="0.25">
      <c r="A760" s="2">
        <v>2534</v>
      </c>
      <c r="B760" s="2" t="s">
        <v>19</v>
      </c>
      <c r="C760" s="2" t="s">
        <v>2749</v>
      </c>
      <c r="D760" s="2" t="s">
        <v>2749</v>
      </c>
      <c r="E760" s="2" t="s">
        <v>2789</v>
      </c>
      <c r="F760" s="2" t="s">
        <v>2790</v>
      </c>
      <c r="G760" s="2" t="s">
        <v>2762</v>
      </c>
      <c r="H760" s="2" t="s">
        <v>2791</v>
      </c>
      <c r="I760" s="2">
        <v>25</v>
      </c>
      <c r="J760" s="2" t="s">
        <v>24</v>
      </c>
      <c r="K760" s="2">
        <v>-17.953299999999999</v>
      </c>
      <c r="L760" s="2">
        <v>-65.503699999999995</v>
      </c>
      <c r="M760" s="2" t="s">
        <v>25</v>
      </c>
      <c r="N760" s="2">
        <v>2534</v>
      </c>
      <c r="O760" s="2" t="s">
        <v>2792</v>
      </c>
      <c r="P760" s="2"/>
      <c r="Q760" s="2"/>
      <c r="R760" s="2">
        <f>IFERROR(VLOOKUP(A760,'[1]Recintos Cochabamba'!A$1:R$838,17,FALSE),0)</f>
        <v>1</v>
      </c>
      <c r="S760" s="3">
        <f>IFERROR(VLOOKUP(A760,'[1]Recintos Cochabamba'!A$1:T$838,18,FALSE),0)</f>
        <v>0.97350993377483441</v>
      </c>
    </row>
    <row r="761" spans="1:19" x14ac:dyDescent="0.25">
      <c r="A761" s="2">
        <v>2535</v>
      </c>
      <c r="B761" s="2" t="s">
        <v>19</v>
      </c>
      <c r="C761" s="2" t="s">
        <v>2749</v>
      </c>
      <c r="D761" s="2" t="s">
        <v>2749</v>
      </c>
      <c r="E761" s="2" t="s">
        <v>2793</v>
      </c>
      <c r="F761" s="2" t="s">
        <v>2794</v>
      </c>
      <c r="G761" s="2" t="s">
        <v>2762</v>
      </c>
      <c r="H761" s="2" t="s">
        <v>2795</v>
      </c>
      <c r="I761" s="2">
        <v>25</v>
      </c>
      <c r="J761" s="2" t="s">
        <v>24</v>
      </c>
      <c r="K761" s="2">
        <v>-18.059899999999999</v>
      </c>
      <c r="L761" s="2">
        <v>-65.523499999999999</v>
      </c>
      <c r="M761" s="2" t="s">
        <v>25</v>
      </c>
      <c r="N761" s="2">
        <v>2535</v>
      </c>
      <c r="O761" s="2" t="s">
        <v>2796</v>
      </c>
      <c r="P761" s="2"/>
      <c r="Q761" s="2"/>
      <c r="R761" s="2">
        <f>IFERROR(VLOOKUP(A761,'[1]Recintos Cochabamba'!A$1:R$838,17,FALSE),0)</f>
        <v>1</v>
      </c>
      <c r="S761" s="3">
        <f>IFERROR(VLOOKUP(A761,'[1]Recintos Cochabamba'!A$1:T$838,18,FALSE),0)</f>
        <v>0.93721973094170408</v>
      </c>
    </row>
    <row r="762" spans="1:19" x14ac:dyDescent="0.25">
      <c r="A762" s="2">
        <v>2536</v>
      </c>
      <c r="B762" s="2" t="s">
        <v>19</v>
      </c>
      <c r="C762" s="2" t="s">
        <v>2749</v>
      </c>
      <c r="D762" s="2" t="s">
        <v>2797</v>
      </c>
      <c r="E762" s="2" t="s">
        <v>2797</v>
      </c>
      <c r="F762" s="2" t="s">
        <v>2798</v>
      </c>
      <c r="G762" s="2" t="s">
        <v>2799</v>
      </c>
      <c r="H762" s="2" t="s">
        <v>2797</v>
      </c>
      <c r="I762" s="2">
        <v>25</v>
      </c>
      <c r="J762" s="2" t="s">
        <v>24</v>
      </c>
      <c r="K762" s="2">
        <v>-17.9863</v>
      </c>
      <c r="L762" s="2">
        <v>-65.628399999999999</v>
      </c>
      <c r="M762" s="2" t="s">
        <v>25</v>
      </c>
      <c r="N762" s="2">
        <v>2536</v>
      </c>
      <c r="O762" s="2" t="s">
        <v>2800</v>
      </c>
      <c r="P762" s="2"/>
      <c r="Q762" s="2"/>
      <c r="R762" s="2">
        <f>IFERROR(VLOOKUP(A762,'[1]Recintos Cochabamba'!A$1:R$838,17,FALSE),0)</f>
        <v>4</v>
      </c>
      <c r="S762" s="3">
        <f>IFERROR(VLOOKUP(A762,'[1]Recintos Cochabamba'!A$1:T$838,18,FALSE),0)</f>
        <v>0.92245139261124165</v>
      </c>
    </row>
    <row r="763" spans="1:19" x14ac:dyDescent="0.25">
      <c r="A763" s="2">
        <v>2537</v>
      </c>
      <c r="B763" s="2" t="s">
        <v>19</v>
      </c>
      <c r="C763" s="2" t="s">
        <v>2749</v>
      </c>
      <c r="D763" s="2" t="s">
        <v>2797</v>
      </c>
      <c r="E763" s="2" t="s">
        <v>2801</v>
      </c>
      <c r="F763" s="2" t="s">
        <v>2802</v>
      </c>
      <c r="G763" s="2" t="s">
        <v>2803</v>
      </c>
      <c r="H763" s="2" t="s">
        <v>2801</v>
      </c>
      <c r="I763" s="2">
        <v>25</v>
      </c>
      <c r="J763" s="2" t="s">
        <v>24</v>
      </c>
      <c r="K763" s="2">
        <v>-18.0184</v>
      </c>
      <c r="L763" s="2">
        <v>-65.733599999999996</v>
      </c>
      <c r="M763" s="2" t="s">
        <v>25</v>
      </c>
      <c r="N763" s="2">
        <v>2537</v>
      </c>
      <c r="O763" s="2" t="s">
        <v>2804</v>
      </c>
      <c r="P763" s="2"/>
      <c r="Q763" s="2"/>
      <c r="R763" s="2">
        <f>IFERROR(VLOOKUP(A763,'[1]Recintos Cochabamba'!A$1:R$838,17,FALSE),0)</f>
        <v>3</v>
      </c>
      <c r="S763" s="3">
        <f>IFERROR(VLOOKUP(A763,'[1]Recintos Cochabamba'!A$1:T$838,18,FALSE),0)</f>
        <v>0.98896177809729213</v>
      </c>
    </row>
    <row r="764" spans="1:19" x14ac:dyDescent="0.25">
      <c r="A764" s="2">
        <v>2538</v>
      </c>
      <c r="B764" s="2" t="s">
        <v>19</v>
      </c>
      <c r="C764" s="2" t="s">
        <v>2749</v>
      </c>
      <c r="D764" s="2" t="s">
        <v>2797</v>
      </c>
      <c r="E764" s="2" t="s">
        <v>2805</v>
      </c>
      <c r="F764" s="2" t="s">
        <v>2806</v>
      </c>
      <c r="G764" s="2" t="s">
        <v>2799</v>
      </c>
      <c r="H764" s="2" t="s">
        <v>2805</v>
      </c>
      <c r="I764" s="2">
        <v>25</v>
      </c>
      <c r="J764" s="2" t="s">
        <v>24</v>
      </c>
      <c r="K764" s="2">
        <v>-17.915099999999999</v>
      </c>
      <c r="L764" s="2">
        <v>-65.687200000000004</v>
      </c>
      <c r="M764" s="2" t="s">
        <v>25</v>
      </c>
      <c r="N764" s="2">
        <v>2538</v>
      </c>
      <c r="O764" s="2" t="s">
        <v>2807</v>
      </c>
      <c r="P764" s="2"/>
      <c r="Q764" s="2"/>
      <c r="R764" s="2">
        <f>IFERROR(VLOOKUP(A764,'[1]Recintos Cochabamba'!A$1:R$838,17,FALSE),0)</f>
        <v>2</v>
      </c>
      <c r="S764" s="3">
        <f>IFERROR(VLOOKUP(A764,'[1]Recintos Cochabamba'!A$1:T$838,18,FALSE),0)</f>
        <v>0.88777406168710515</v>
      </c>
    </row>
    <row r="765" spans="1:19" x14ac:dyDescent="0.25">
      <c r="A765" s="2">
        <v>2539</v>
      </c>
      <c r="B765" s="2" t="s">
        <v>19</v>
      </c>
      <c r="C765" s="2" t="s">
        <v>2749</v>
      </c>
      <c r="D765" s="2" t="s">
        <v>2797</v>
      </c>
      <c r="E765" s="2" t="s">
        <v>2808</v>
      </c>
      <c r="F765" s="2" t="s">
        <v>2809</v>
      </c>
      <c r="G765" s="2" t="s">
        <v>2799</v>
      </c>
      <c r="H765" s="2" t="s">
        <v>2810</v>
      </c>
      <c r="I765" s="2">
        <v>25</v>
      </c>
      <c r="J765" s="2" t="s">
        <v>24</v>
      </c>
      <c r="K765" s="2">
        <v>-17.9313</v>
      </c>
      <c r="L765" s="2">
        <v>-65.786699999999996</v>
      </c>
      <c r="M765" s="2" t="s">
        <v>25</v>
      </c>
      <c r="N765" s="2">
        <v>2539</v>
      </c>
      <c r="O765" s="2" t="s">
        <v>2811</v>
      </c>
      <c r="P765" s="2"/>
      <c r="Q765" s="2"/>
      <c r="R765" s="2">
        <f>IFERROR(VLOOKUP(A765,'[1]Recintos Cochabamba'!A$1:R$838,17,FALSE),0)</f>
        <v>1</v>
      </c>
      <c r="S765" s="3">
        <f>IFERROR(VLOOKUP(A765,'[1]Recintos Cochabamba'!A$1:T$838,18,FALSE),0)</f>
        <v>0.98765432098765427</v>
      </c>
    </row>
    <row r="766" spans="1:19" x14ac:dyDescent="0.25">
      <c r="A766" s="2">
        <v>2540</v>
      </c>
      <c r="B766" s="2" t="s">
        <v>19</v>
      </c>
      <c r="C766" s="2" t="s">
        <v>2749</v>
      </c>
      <c r="D766" s="2" t="s">
        <v>2812</v>
      </c>
      <c r="E766" s="2" t="s">
        <v>2812</v>
      </c>
      <c r="F766" s="2" t="s">
        <v>2813</v>
      </c>
      <c r="G766" s="2" t="s">
        <v>2814</v>
      </c>
      <c r="H766" s="2" t="s">
        <v>2812</v>
      </c>
      <c r="I766" s="2">
        <v>25</v>
      </c>
      <c r="J766" s="2" t="s">
        <v>24</v>
      </c>
      <c r="K766" s="2">
        <v>-17.720700000000001</v>
      </c>
      <c r="L766" s="2">
        <v>-65.691800000000001</v>
      </c>
      <c r="M766" s="2" t="s">
        <v>25</v>
      </c>
      <c r="N766" s="2">
        <v>2540</v>
      </c>
      <c r="O766" s="2" t="s">
        <v>2815</v>
      </c>
      <c r="P766" s="2"/>
      <c r="Q766" s="2"/>
      <c r="R766" s="2">
        <f>IFERROR(VLOOKUP(A766,'[1]Recintos Cochabamba'!A$1:R$838,17,FALSE),0)</f>
        <v>2</v>
      </c>
      <c r="S766" s="3">
        <f>IFERROR(VLOOKUP(A766,'[1]Recintos Cochabamba'!A$1:T$838,18,FALSE),0)</f>
        <v>0.93755635186683617</v>
      </c>
    </row>
    <row r="767" spans="1:19" x14ac:dyDescent="0.25">
      <c r="A767" s="2">
        <v>2541</v>
      </c>
      <c r="B767" s="2" t="s">
        <v>19</v>
      </c>
      <c r="C767" s="2" t="s">
        <v>2749</v>
      </c>
      <c r="D767" s="2" t="s">
        <v>2812</v>
      </c>
      <c r="E767" s="2" t="s">
        <v>2816</v>
      </c>
      <c r="F767" s="2" t="s">
        <v>2817</v>
      </c>
      <c r="G767" s="2" t="s">
        <v>2814</v>
      </c>
      <c r="H767" s="2" t="s">
        <v>2816</v>
      </c>
      <c r="I767" s="2">
        <v>25</v>
      </c>
      <c r="J767" s="2" t="s">
        <v>24</v>
      </c>
      <c r="K767" s="2">
        <v>-17.855399999999999</v>
      </c>
      <c r="L767" s="2">
        <v>-65.608800000000002</v>
      </c>
      <c r="M767" s="2" t="s">
        <v>25</v>
      </c>
      <c r="N767" s="2">
        <v>2541</v>
      </c>
      <c r="O767" s="2" t="s">
        <v>2818</v>
      </c>
      <c r="P767" s="2"/>
      <c r="Q767" s="2"/>
      <c r="R767" s="2">
        <f>IFERROR(VLOOKUP(A767,'[1]Recintos Cochabamba'!A$1:R$838,17,FALSE),0)</f>
        <v>2</v>
      </c>
      <c r="S767" s="3">
        <f>IFERROR(VLOOKUP(A767,'[1]Recintos Cochabamba'!A$1:T$838,18,FALSE),0)</f>
        <v>0.94165640394088668</v>
      </c>
    </row>
    <row r="768" spans="1:19" x14ac:dyDescent="0.25">
      <c r="A768" s="2">
        <v>2542</v>
      </c>
      <c r="B768" s="2" t="s">
        <v>19</v>
      </c>
      <c r="C768" s="2" t="s">
        <v>2749</v>
      </c>
      <c r="D768" s="2" t="s">
        <v>2812</v>
      </c>
      <c r="E768" s="2" t="s">
        <v>2819</v>
      </c>
      <c r="F768" s="2" t="s">
        <v>2820</v>
      </c>
      <c r="G768" s="2" t="s">
        <v>2814</v>
      </c>
      <c r="H768" s="2" t="s">
        <v>2819</v>
      </c>
      <c r="I768" s="2">
        <v>25</v>
      </c>
      <c r="J768" s="2" t="s">
        <v>24</v>
      </c>
      <c r="K768" s="2">
        <v>-17.766500000000001</v>
      </c>
      <c r="L768" s="2">
        <v>-65.608800000000002</v>
      </c>
      <c r="M768" s="2" t="s">
        <v>25</v>
      </c>
      <c r="N768" s="2">
        <v>2542</v>
      </c>
      <c r="O768" s="2" t="s">
        <v>2821</v>
      </c>
      <c r="P768" s="2"/>
      <c r="Q768" s="2"/>
      <c r="R768" s="2">
        <f>IFERROR(VLOOKUP(A768,'[1]Recintos Cochabamba'!A$1:R$838,17,FALSE),0)</f>
        <v>2</v>
      </c>
      <c r="S768" s="3">
        <f>IFERROR(VLOOKUP(A768,'[1]Recintos Cochabamba'!A$1:T$838,18,FALSE),0)</f>
        <v>0.89704106280193241</v>
      </c>
    </row>
    <row r="769" spans="1:19" x14ac:dyDescent="0.25">
      <c r="A769" s="2">
        <v>2543</v>
      </c>
      <c r="B769" s="2" t="s">
        <v>19</v>
      </c>
      <c r="C769" s="2" t="s">
        <v>2749</v>
      </c>
      <c r="D769" s="2" t="s">
        <v>2812</v>
      </c>
      <c r="E769" s="2" t="s">
        <v>2822</v>
      </c>
      <c r="F769" s="2" t="s">
        <v>2823</v>
      </c>
      <c r="G769" s="2" t="s">
        <v>2814</v>
      </c>
      <c r="H769" s="2" t="s">
        <v>2822</v>
      </c>
      <c r="I769" s="2">
        <v>25</v>
      </c>
      <c r="J769" s="2" t="s">
        <v>24</v>
      </c>
      <c r="K769" s="2">
        <v>-17.763100000000001</v>
      </c>
      <c r="L769" s="2">
        <v>-65.535700000000006</v>
      </c>
      <c r="M769" s="2" t="s">
        <v>776</v>
      </c>
      <c r="N769" s="2">
        <v>2543</v>
      </c>
      <c r="O769" s="2" t="s">
        <v>2824</v>
      </c>
      <c r="P769" s="2"/>
      <c r="Q769" s="2"/>
      <c r="R769" s="2">
        <f>IFERROR(VLOOKUP(A769,'[1]Recintos Cochabamba'!A$1:R$838,17,FALSE),0)</f>
        <v>1</v>
      </c>
      <c r="S769" s="3">
        <f>IFERROR(VLOOKUP(A769,'[1]Recintos Cochabamba'!A$1:T$838,18,FALSE),0)</f>
        <v>0.98536585365853657</v>
      </c>
    </row>
    <row r="770" spans="1:19" x14ac:dyDescent="0.25">
      <c r="A770" s="2">
        <v>2544</v>
      </c>
      <c r="B770" s="2" t="s">
        <v>19</v>
      </c>
      <c r="C770" s="2" t="s">
        <v>2749</v>
      </c>
      <c r="D770" s="2" t="s">
        <v>2825</v>
      </c>
      <c r="E770" s="2" t="s">
        <v>2826</v>
      </c>
      <c r="F770" s="2" t="s">
        <v>2827</v>
      </c>
      <c r="G770" s="2" t="s">
        <v>2828</v>
      </c>
      <c r="H770" s="2" t="s">
        <v>2826</v>
      </c>
      <c r="I770" s="2">
        <v>25</v>
      </c>
      <c r="J770" s="2" t="s">
        <v>24</v>
      </c>
      <c r="K770" s="2">
        <v>-18.2621</v>
      </c>
      <c r="L770" s="2">
        <v>-65.388099999999994</v>
      </c>
      <c r="M770" s="2" t="s">
        <v>776</v>
      </c>
      <c r="N770" s="2">
        <v>2544</v>
      </c>
      <c r="O770" s="2" t="s">
        <v>2829</v>
      </c>
      <c r="P770" s="2"/>
      <c r="Q770" s="2"/>
      <c r="R770" s="2">
        <f>IFERROR(VLOOKUP(A770,'[1]Recintos Cochabamba'!A$1:R$838,17,FALSE),0)</f>
        <v>2</v>
      </c>
      <c r="S770" s="3">
        <v>0</v>
      </c>
    </row>
    <row r="771" spans="1:19" x14ac:dyDescent="0.25">
      <c r="A771" s="2">
        <v>2545</v>
      </c>
      <c r="B771" s="2" t="s">
        <v>19</v>
      </c>
      <c r="C771" s="2" t="s">
        <v>2749</v>
      </c>
      <c r="D771" s="2" t="s">
        <v>2825</v>
      </c>
      <c r="E771" s="2" t="s">
        <v>2830</v>
      </c>
      <c r="F771" s="2" t="s">
        <v>2831</v>
      </c>
      <c r="G771" s="2" t="s">
        <v>2828</v>
      </c>
      <c r="H771" s="2" t="s">
        <v>2830</v>
      </c>
      <c r="I771" s="2">
        <v>25</v>
      </c>
      <c r="J771" s="2" t="s">
        <v>24</v>
      </c>
      <c r="K771" s="2">
        <v>-18.3018</v>
      </c>
      <c r="L771" s="2">
        <v>-65.374899999999997</v>
      </c>
      <c r="M771" s="2" t="s">
        <v>776</v>
      </c>
      <c r="N771" s="2">
        <v>2545</v>
      </c>
      <c r="O771" s="2" t="s">
        <v>2832</v>
      </c>
      <c r="P771" s="2"/>
      <c r="Q771" s="2"/>
      <c r="R771" s="2">
        <f>IFERROR(VLOOKUP(A771,'[1]Recintos Cochabamba'!A$1:R$838,17,FALSE),0)</f>
        <v>5</v>
      </c>
      <c r="S771" s="3">
        <v>0</v>
      </c>
    </row>
    <row r="772" spans="1:19" x14ac:dyDescent="0.25">
      <c r="A772" s="2">
        <v>2546</v>
      </c>
      <c r="B772" s="2" t="s">
        <v>19</v>
      </c>
      <c r="C772" s="2" t="s">
        <v>2749</v>
      </c>
      <c r="D772" s="2" t="s">
        <v>2825</v>
      </c>
      <c r="E772" s="2" t="s">
        <v>2833</v>
      </c>
      <c r="F772" s="2" t="s">
        <v>2834</v>
      </c>
      <c r="G772" s="2" t="s">
        <v>2828</v>
      </c>
      <c r="H772" s="2" t="s">
        <v>2833</v>
      </c>
      <c r="I772" s="2">
        <v>25</v>
      </c>
      <c r="J772" s="2" t="s">
        <v>24</v>
      </c>
      <c r="K772" s="2">
        <v>-18.191199999999998</v>
      </c>
      <c r="L772" s="2">
        <v>-65.382599999999996</v>
      </c>
      <c r="M772" s="2" t="s">
        <v>25</v>
      </c>
      <c r="N772" s="2">
        <v>2546</v>
      </c>
      <c r="O772" s="2" t="s">
        <v>2835</v>
      </c>
      <c r="P772" s="2"/>
      <c r="Q772" s="2"/>
      <c r="R772" s="2">
        <f>IFERROR(VLOOKUP(A772,'[1]Recintos Cochabamba'!A$1:R$838,17,FALSE),0)</f>
        <v>6</v>
      </c>
      <c r="S772" s="3">
        <v>0</v>
      </c>
    </row>
    <row r="773" spans="1:19" x14ac:dyDescent="0.25">
      <c r="A773" s="2">
        <v>2547</v>
      </c>
      <c r="B773" s="2" t="s">
        <v>19</v>
      </c>
      <c r="C773" s="2" t="s">
        <v>2749</v>
      </c>
      <c r="D773" s="2" t="s">
        <v>2825</v>
      </c>
      <c r="E773" s="2" t="s">
        <v>2836</v>
      </c>
      <c r="F773" s="2" t="s">
        <v>2837</v>
      </c>
      <c r="G773" s="2" t="s">
        <v>2828</v>
      </c>
      <c r="H773" s="2" t="s">
        <v>2836</v>
      </c>
      <c r="I773" s="2">
        <v>25</v>
      </c>
      <c r="J773" s="2" t="s">
        <v>24</v>
      </c>
      <c r="K773" s="2">
        <v>-18.149699999999999</v>
      </c>
      <c r="L773" s="2">
        <v>-65.335300000000004</v>
      </c>
      <c r="M773" s="2" t="s">
        <v>25</v>
      </c>
      <c r="N773" s="2">
        <v>2547</v>
      </c>
      <c r="O773" s="2" t="s">
        <v>2838</v>
      </c>
      <c r="P773" s="2"/>
      <c r="Q773" s="2"/>
      <c r="R773" s="2">
        <f>IFERROR(VLOOKUP(A773,'[1]Recintos Cochabamba'!A$1:R$838,17,FALSE),0)</f>
        <v>1</v>
      </c>
      <c r="S773" s="3">
        <v>0</v>
      </c>
    </row>
    <row r="774" spans="1:19" x14ac:dyDescent="0.25">
      <c r="A774" s="2">
        <v>2548</v>
      </c>
      <c r="B774" s="2" t="s">
        <v>19</v>
      </c>
      <c r="C774" s="2" t="s">
        <v>2749</v>
      </c>
      <c r="D774" s="2" t="s">
        <v>2825</v>
      </c>
      <c r="E774" s="2" t="s">
        <v>2839</v>
      </c>
      <c r="F774" s="2" t="s">
        <v>379</v>
      </c>
      <c r="G774" s="2" t="s">
        <v>2828</v>
      </c>
      <c r="H774" s="2" t="s">
        <v>2839</v>
      </c>
      <c r="I774" s="2">
        <v>25</v>
      </c>
      <c r="J774" s="2" t="s">
        <v>24</v>
      </c>
      <c r="K774" s="2">
        <v>-18.203800000000001</v>
      </c>
      <c r="L774" s="2">
        <v>-65.325199999999995</v>
      </c>
      <c r="M774" s="2" t="s">
        <v>25</v>
      </c>
      <c r="N774" s="2">
        <v>2548</v>
      </c>
      <c r="O774" s="2" t="s">
        <v>2840</v>
      </c>
      <c r="P774" s="2"/>
      <c r="Q774" s="2"/>
      <c r="R774" s="2">
        <f>IFERROR(VLOOKUP(A774,'[1]Recintos Cochabamba'!A$1:R$838,17,FALSE),0)</f>
        <v>2</v>
      </c>
      <c r="S774" s="3">
        <v>0</v>
      </c>
    </row>
    <row r="775" spans="1:19" x14ac:dyDescent="0.25">
      <c r="A775" s="2">
        <v>2549</v>
      </c>
      <c r="B775" s="2" t="s">
        <v>19</v>
      </c>
      <c r="C775" s="2" t="s">
        <v>2841</v>
      </c>
      <c r="D775" s="2" t="s">
        <v>2841</v>
      </c>
      <c r="E775" s="2" t="s">
        <v>2841</v>
      </c>
      <c r="F775" s="2" t="s">
        <v>2842</v>
      </c>
      <c r="G775" s="2" t="s">
        <v>2843</v>
      </c>
      <c r="H775" s="2" t="s">
        <v>2844</v>
      </c>
      <c r="I775" s="2">
        <v>26</v>
      </c>
      <c r="J775" s="2" t="s">
        <v>24</v>
      </c>
      <c r="K775" s="2">
        <v>-17.5425</v>
      </c>
      <c r="L775" s="2">
        <v>-65.835499999999996</v>
      </c>
      <c r="M775" s="2" t="s">
        <v>25</v>
      </c>
      <c r="N775" s="2">
        <v>2549</v>
      </c>
      <c r="O775" s="2" t="s">
        <v>2845</v>
      </c>
      <c r="P775" s="2"/>
      <c r="Q775" s="2"/>
      <c r="R775" s="2">
        <f>IFERROR(VLOOKUP(A775,'[1]Recintos Cochabamba'!A$1:R$838,17,FALSE),0)</f>
        <v>27</v>
      </c>
      <c r="S775" s="3">
        <f>IFERROR(VLOOKUP(A775,'[1]Recintos Cochabamba'!A$1:T$838,18,FALSE),0)</f>
        <v>0.66048268539133492</v>
      </c>
    </row>
    <row r="776" spans="1:19" x14ac:dyDescent="0.25">
      <c r="A776" s="2">
        <v>2550</v>
      </c>
      <c r="B776" s="2" t="s">
        <v>19</v>
      </c>
      <c r="C776" s="2" t="s">
        <v>2841</v>
      </c>
      <c r="D776" s="2" t="s">
        <v>2841</v>
      </c>
      <c r="E776" s="2" t="s">
        <v>2841</v>
      </c>
      <c r="F776" s="2" t="s">
        <v>2846</v>
      </c>
      <c r="G776" s="2" t="s">
        <v>2843</v>
      </c>
      <c r="H776" s="2" t="s">
        <v>2847</v>
      </c>
      <c r="I776" s="2">
        <v>26</v>
      </c>
      <c r="J776" s="2" t="s">
        <v>24</v>
      </c>
      <c r="K776" s="2">
        <v>-17.5441</v>
      </c>
      <c r="L776" s="2">
        <v>-65.834400000000002</v>
      </c>
      <c r="M776" s="2" t="s">
        <v>25</v>
      </c>
      <c r="N776" s="2">
        <v>2550</v>
      </c>
      <c r="O776" s="2" t="s">
        <v>2848</v>
      </c>
      <c r="P776" s="2"/>
      <c r="Q776" s="2"/>
      <c r="R776" s="2">
        <f>IFERROR(VLOOKUP(A776,'[1]Recintos Cochabamba'!A$1:R$838,17,FALSE),0)</f>
        <v>21</v>
      </c>
      <c r="S776" s="3">
        <f>IFERROR(VLOOKUP(A776,'[1]Recintos Cochabamba'!A$1:T$838,18,FALSE),0)</f>
        <v>0.70317966190060266</v>
      </c>
    </row>
    <row r="777" spans="1:19" x14ac:dyDescent="0.25">
      <c r="A777" s="2">
        <v>2551</v>
      </c>
      <c r="B777" s="2" t="s">
        <v>19</v>
      </c>
      <c r="C777" s="2" t="s">
        <v>2841</v>
      </c>
      <c r="D777" s="2" t="s">
        <v>2841</v>
      </c>
      <c r="E777" s="2" t="s">
        <v>2841</v>
      </c>
      <c r="F777" s="2" t="s">
        <v>2849</v>
      </c>
      <c r="G777" s="2" t="s">
        <v>2843</v>
      </c>
      <c r="H777" s="2" t="s">
        <v>2850</v>
      </c>
      <c r="I777" s="2">
        <v>26</v>
      </c>
      <c r="J777" s="2" t="s">
        <v>24</v>
      </c>
      <c r="K777" s="2">
        <v>-17.5443</v>
      </c>
      <c r="L777" s="2">
        <v>-65.834599999999995</v>
      </c>
      <c r="M777" s="2" t="s">
        <v>776</v>
      </c>
      <c r="N777" s="2">
        <v>2551</v>
      </c>
      <c r="O777" s="2" t="s">
        <v>2851</v>
      </c>
      <c r="P777" s="2"/>
      <c r="Q777" s="2"/>
      <c r="R777" s="2">
        <f>IFERROR(VLOOKUP(A777,'[1]Recintos Cochabamba'!A$1:R$838,17,FALSE),0)</f>
        <v>22</v>
      </c>
      <c r="S777" s="3">
        <f>IFERROR(VLOOKUP(A777,'[1]Recintos Cochabamba'!A$1:T$838,18,FALSE),0)</f>
        <v>0.63748247056258223</v>
      </c>
    </row>
    <row r="778" spans="1:19" x14ac:dyDescent="0.25">
      <c r="A778" s="2">
        <v>2552</v>
      </c>
      <c r="B778" s="2" t="s">
        <v>19</v>
      </c>
      <c r="C778" s="2" t="s">
        <v>2841</v>
      </c>
      <c r="D778" s="2" t="s">
        <v>2841</v>
      </c>
      <c r="E778" s="2" t="s">
        <v>2841</v>
      </c>
      <c r="F778" s="2" t="s">
        <v>2852</v>
      </c>
      <c r="G778" s="2" t="s">
        <v>2843</v>
      </c>
      <c r="H778" s="2" t="s">
        <v>2853</v>
      </c>
      <c r="I778" s="2">
        <v>26</v>
      </c>
      <c r="J778" s="2" t="s">
        <v>24</v>
      </c>
      <c r="K778" s="2">
        <v>-17.564299999999999</v>
      </c>
      <c r="L778" s="2">
        <v>-65.841800000000006</v>
      </c>
      <c r="M778" s="2" t="s">
        <v>25</v>
      </c>
      <c r="N778" s="2">
        <v>2552</v>
      </c>
      <c r="O778" s="2" t="s">
        <v>2854</v>
      </c>
      <c r="P778" s="2"/>
      <c r="Q778" s="2"/>
      <c r="R778" s="2">
        <f>IFERROR(VLOOKUP(A778,'[1]Recintos Cochabamba'!A$1:R$838,17,FALSE),0)</f>
        <v>5</v>
      </c>
      <c r="S778" s="3">
        <f>IFERROR(VLOOKUP(A778,'[1]Recintos Cochabamba'!A$1:T$838,18,FALSE),0)</f>
        <v>0.77661888217670749</v>
      </c>
    </row>
    <row r="779" spans="1:19" x14ac:dyDescent="0.25">
      <c r="A779" s="2">
        <v>2553</v>
      </c>
      <c r="B779" s="2" t="s">
        <v>19</v>
      </c>
      <c r="C779" s="2" t="s">
        <v>2841</v>
      </c>
      <c r="D779" s="2" t="s">
        <v>2841</v>
      </c>
      <c r="E779" s="2" t="s">
        <v>2841</v>
      </c>
      <c r="F779" s="2" t="s">
        <v>2855</v>
      </c>
      <c r="G779" s="2" t="s">
        <v>2856</v>
      </c>
      <c r="H779" s="2" t="s">
        <v>2857</v>
      </c>
      <c r="I779" s="2">
        <v>26</v>
      </c>
      <c r="J779" s="2" t="s">
        <v>24</v>
      </c>
      <c r="K779" s="2">
        <v>-17.561399999999999</v>
      </c>
      <c r="L779" s="2">
        <v>-65.874300000000005</v>
      </c>
      <c r="M779" s="2" t="s">
        <v>25</v>
      </c>
      <c r="N779" s="2">
        <v>2553</v>
      </c>
      <c r="O779" s="2" t="s">
        <v>2858</v>
      </c>
      <c r="P779" s="2"/>
      <c r="Q779" s="2"/>
      <c r="R779" s="2">
        <f>IFERROR(VLOOKUP(A779,'[1]Recintos Cochabamba'!A$1:R$838,17,FALSE),0)</f>
        <v>5</v>
      </c>
      <c r="S779" s="3">
        <f>IFERROR(VLOOKUP(A779,'[1]Recintos Cochabamba'!A$1:T$838,18,FALSE),0)</f>
        <v>0.63886967171029019</v>
      </c>
    </row>
    <row r="780" spans="1:19" x14ac:dyDescent="0.25">
      <c r="A780" s="2">
        <v>2554</v>
      </c>
      <c r="B780" s="2" t="s">
        <v>19</v>
      </c>
      <c r="C780" s="2" t="s">
        <v>2841</v>
      </c>
      <c r="D780" s="2" t="s">
        <v>2841</v>
      </c>
      <c r="E780" s="2" t="s">
        <v>2841</v>
      </c>
      <c r="F780" s="2" t="s">
        <v>2859</v>
      </c>
      <c r="G780" s="2" t="s">
        <v>2843</v>
      </c>
      <c r="H780" s="2" t="s">
        <v>2860</v>
      </c>
      <c r="I780" s="2">
        <v>26</v>
      </c>
      <c r="J780" s="2" t="s">
        <v>24</v>
      </c>
      <c r="K780" s="2">
        <v>-17.5517</v>
      </c>
      <c r="L780" s="2">
        <v>-65.847099999999998</v>
      </c>
      <c r="M780" s="2" t="s">
        <v>25</v>
      </c>
      <c r="N780" s="2">
        <v>2554</v>
      </c>
      <c r="O780" s="2" t="s">
        <v>2861</v>
      </c>
      <c r="P780" s="2"/>
      <c r="Q780" s="2"/>
      <c r="R780" s="2">
        <f>IFERROR(VLOOKUP(A780,'[1]Recintos Cochabamba'!A$1:R$838,17,FALSE),0)</f>
        <v>5</v>
      </c>
      <c r="S780" s="3">
        <f>IFERROR(VLOOKUP(A780,'[1]Recintos Cochabamba'!A$1:T$838,18,FALSE),0)</f>
        <v>0.72823436938309016</v>
      </c>
    </row>
    <row r="781" spans="1:19" x14ac:dyDescent="0.25">
      <c r="A781" s="2">
        <v>2555</v>
      </c>
      <c r="B781" s="2" t="s">
        <v>19</v>
      </c>
      <c r="C781" s="2" t="s">
        <v>2841</v>
      </c>
      <c r="D781" s="2" t="s">
        <v>2841</v>
      </c>
      <c r="E781" s="2" t="s">
        <v>2841</v>
      </c>
      <c r="F781" s="2" t="s">
        <v>2862</v>
      </c>
      <c r="G781" s="2" t="s">
        <v>2856</v>
      </c>
      <c r="H781" s="2" t="s">
        <v>2863</v>
      </c>
      <c r="I781" s="2">
        <v>26</v>
      </c>
      <c r="J781" s="2" t="s">
        <v>24</v>
      </c>
      <c r="K781" s="2">
        <v>-17.553100000000001</v>
      </c>
      <c r="L781" s="2">
        <v>-65.820899999999995</v>
      </c>
      <c r="M781" s="2" t="s">
        <v>776</v>
      </c>
      <c r="N781" s="2">
        <v>2555</v>
      </c>
      <c r="O781" s="2" t="s">
        <v>2864</v>
      </c>
      <c r="P781" s="2"/>
      <c r="Q781" s="2"/>
      <c r="R781" s="2">
        <f>IFERROR(VLOOKUP(A781,'[1]Recintos Cochabamba'!A$1:R$838,17,FALSE),0)</f>
        <v>4</v>
      </c>
      <c r="S781" s="3">
        <f>IFERROR(VLOOKUP(A781,'[1]Recintos Cochabamba'!A$1:T$838,18,FALSE),0)</f>
        <v>0.7976078043442234</v>
      </c>
    </row>
    <row r="782" spans="1:19" x14ac:dyDescent="0.25">
      <c r="A782" s="2">
        <v>2556</v>
      </c>
      <c r="B782" s="2" t="s">
        <v>19</v>
      </c>
      <c r="C782" s="2" t="s">
        <v>2841</v>
      </c>
      <c r="D782" s="2" t="s">
        <v>2841</v>
      </c>
      <c r="E782" s="2" t="s">
        <v>2841</v>
      </c>
      <c r="F782" s="2" t="s">
        <v>2865</v>
      </c>
      <c r="G782" s="2" t="s">
        <v>2843</v>
      </c>
      <c r="H782" s="2" t="s">
        <v>2866</v>
      </c>
      <c r="I782" s="2">
        <v>26</v>
      </c>
      <c r="J782" s="2" t="s">
        <v>24</v>
      </c>
      <c r="K782" s="2">
        <v>-17.547899999999998</v>
      </c>
      <c r="L782" s="2">
        <v>-65.837900000000005</v>
      </c>
      <c r="M782" s="2" t="s">
        <v>776</v>
      </c>
      <c r="N782" s="2">
        <v>2556</v>
      </c>
      <c r="O782" s="2" t="s">
        <v>2867</v>
      </c>
      <c r="P782" s="2"/>
      <c r="Q782" s="2"/>
      <c r="R782" s="2">
        <f>IFERROR(VLOOKUP(A782,'[1]Recintos Cochabamba'!A$1:R$838,17,FALSE),0)</f>
        <v>22</v>
      </c>
      <c r="S782" s="3">
        <f>IFERROR(VLOOKUP(A782,'[1]Recintos Cochabamba'!A$1:T$838,18,FALSE),0)</f>
        <v>0.64837450067060032</v>
      </c>
    </row>
    <row r="783" spans="1:19" x14ac:dyDescent="0.25">
      <c r="A783" s="2">
        <v>2557</v>
      </c>
      <c r="B783" s="2" t="s">
        <v>19</v>
      </c>
      <c r="C783" s="2" t="s">
        <v>2841</v>
      </c>
      <c r="D783" s="2" t="s">
        <v>2841</v>
      </c>
      <c r="E783" s="2" t="s">
        <v>2841</v>
      </c>
      <c r="F783" s="2" t="s">
        <v>2868</v>
      </c>
      <c r="G783" s="2" t="s">
        <v>2843</v>
      </c>
      <c r="H783" s="2" t="s">
        <v>2841</v>
      </c>
      <c r="I783" s="2">
        <v>26</v>
      </c>
      <c r="J783" s="2" t="s">
        <v>24</v>
      </c>
      <c r="K783" s="2">
        <v>-17.565799999999999</v>
      </c>
      <c r="L783" s="2">
        <v>-65.831100000000006</v>
      </c>
      <c r="M783" s="2" t="s">
        <v>776</v>
      </c>
      <c r="N783" s="2">
        <v>2557</v>
      </c>
      <c r="O783" s="2" t="s">
        <v>2869</v>
      </c>
      <c r="P783" s="2"/>
      <c r="Q783" s="2"/>
      <c r="R783" s="2">
        <f>IFERROR(VLOOKUP(A783,'[1]Recintos Cochabamba'!A$1:R$838,17,FALSE),0)</f>
        <v>3</v>
      </c>
      <c r="S783" s="3">
        <f>IFERROR(VLOOKUP(A783,'[1]Recintos Cochabamba'!A$1:T$838,18,FALSE),0)</f>
        <v>0.81828471702817251</v>
      </c>
    </row>
    <row r="784" spans="1:19" x14ac:dyDescent="0.25">
      <c r="A784" s="2">
        <v>2558</v>
      </c>
      <c r="B784" s="2" t="s">
        <v>19</v>
      </c>
      <c r="C784" s="2" t="s">
        <v>2841</v>
      </c>
      <c r="D784" s="2" t="s">
        <v>2841</v>
      </c>
      <c r="E784" s="2" t="s">
        <v>2841</v>
      </c>
      <c r="F784" s="2" t="s">
        <v>2870</v>
      </c>
      <c r="G784" s="2" t="s">
        <v>2843</v>
      </c>
      <c r="H784" s="2" t="s">
        <v>2871</v>
      </c>
      <c r="I784" s="2">
        <v>26</v>
      </c>
      <c r="J784" s="2" t="s">
        <v>24</v>
      </c>
      <c r="K784" s="2">
        <v>-17.543316999999998</v>
      </c>
      <c r="L784" s="2">
        <v>-65.835400000000007</v>
      </c>
      <c r="M784" s="2" t="s">
        <v>776</v>
      </c>
      <c r="N784" s="2">
        <v>2558</v>
      </c>
      <c r="O784" s="2" t="s">
        <v>2872</v>
      </c>
      <c r="P784" s="2"/>
      <c r="Q784" s="2"/>
      <c r="R784" s="2">
        <f>IFERROR(VLOOKUP(A784,'[1]Recintos Cochabamba'!A$1:R$838,17,FALSE),0)</f>
        <v>4</v>
      </c>
      <c r="S784" s="3">
        <v>0</v>
      </c>
    </row>
    <row r="785" spans="1:19" x14ac:dyDescent="0.25">
      <c r="A785" s="2">
        <v>2559</v>
      </c>
      <c r="B785" s="2" t="s">
        <v>19</v>
      </c>
      <c r="C785" s="2" t="s">
        <v>2841</v>
      </c>
      <c r="D785" s="2" t="s">
        <v>2841</v>
      </c>
      <c r="E785" s="2" t="s">
        <v>2841</v>
      </c>
      <c r="F785" s="2" t="s">
        <v>2873</v>
      </c>
      <c r="G785" s="2" t="s">
        <v>2843</v>
      </c>
      <c r="H785" s="2" t="s">
        <v>2874</v>
      </c>
      <c r="I785" s="2">
        <v>26</v>
      </c>
      <c r="J785" s="2" t="s">
        <v>24</v>
      </c>
      <c r="K785" s="2">
        <v>-17.544357999999999</v>
      </c>
      <c r="L785" s="2">
        <v>-65.834710000000001</v>
      </c>
      <c r="M785" s="2" t="s">
        <v>776</v>
      </c>
      <c r="N785" s="2">
        <v>2559</v>
      </c>
      <c r="O785" s="2" t="s">
        <v>2875</v>
      </c>
      <c r="P785" s="2"/>
      <c r="Q785" s="2"/>
      <c r="R785" s="2">
        <f>IFERROR(VLOOKUP(A785,'[1]Recintos Cochabamba'!A$1:R$838,17,FALSE),0)</f>
        <v>1</v>
      </c>
      <c r="S785" s="3">
        <v>0</v>
      </c>
    </row>
    <row r="786" spans="1:19" x14ac:dyDescent="0.25">
      <c r="A786" s="2">
        <v>2560</v>
      </c>
      <c r="B786" s="2" t="s">
        <v>19</v>
      </c>
      <c r="C786" s="2" t="s">
        <v>2841</v>
      </c>
      <c r="D786" s="2" t="s">
        <v>2841</v>
      </c>
      <c r="E786" s="2" t="s">
        <v>2876</v>
      </c>
      <c r="F786" s="2" t="s">
        <v>2877</v>
      </c>
      <c r="G786" s="2" t="s">
        <v>2856</v>
      </c>
      <c r="H786" s="2" t="s">
        <v>2876</v>
      </c>
      <c r="I786" s="2">
        <v>26</v>
      </c>
      <c r="J786" s="2" t="s">
        <v>24</v>
      </c>
      <c r="K786" s="2">
        <v>-17.509599999999999</v>
      </c>
      <c r="L786" s="2">
        <v>-65.807199999999995</v>
      </c>
      <c r="M786" s="2" t="s">
        <v>776</v>
      </c>
      <c r="N786" s="2">
        <v>2560</v>
      </c>
      <c r="O786" s="2" t="s">
        <v>2878</v>
      </c>
      <c r="P786" s="2"/>
      <c r="Q786" s="2"/>
      <c r="R786" s="2">
        <f>IFERROR(VLOOKUP(A786,'[1]Recintos Cochabamba'!A$1:R$838,17,FALSE),0)</f>
        <v>3</v>
      </c>
      <c r="S786" s="3">
        <v>0</v>
      </c>
    </row>
    <row r="787" spans="1:19" x14ac:dyDescent="0.25">
      <c r="A787" s="2">
        <v>2561</v>
      </c>
      <c r="B787" s="2" t="s">
        <v>19</v>
      </c>
      <c r="C787" s="2" t="s">
        <v>2841</v>
      </c>
      <c r="D787" s="2" t="s">
        <v>2841</v>
      </c>
      <c r="E787" s="2" t="s">
        <v>2876</v>
      </c>
      <c r="F787" s="2" t="s">
        <v>2879</v>
      </c>
      <c r="G787" s="2" t="s">
        <v>2856</v>
      </c>
      <c r="H787" s="2" t="s">
        <v>2876</v>
      </c>
      <c r="I787" s="2">
        <v>26</v>
      </c>
      <c r="J787" s="2" t="s">
        <v>24</v>
      </c>
      <c r="K787" s="2">
        <v>-17.521599999999999</v>
      </c>
      <c r="L787" s="2">
        <v>-65.811300000000003</v>
      </c>
      <c r="M787" s="2" t="s">
        <v>776</v>
      </c>
      <c r="N787" s="2">
        <v>2561</v>
      </c>
      <c r="O787" s="2" t="s">
        <v>2880</v>
      </c>
      <c r="P787" s="2"/>
      <c r="Q787" s="2"/>
      <c r="R787" s="2">
        <f>IFERROR(VLOOKUP(A787,'[1]Recintos Cochabamba'!A$1:R$838,17,FALSE),0)</f>
        <v>4</v>
      </c>
      <c r="S787" s="3">
        <f>IFERROR(VLOOKUP(A787,'[1]Recintos Cochabamba'!A$1:T$838,18,FALSE),0)</f>
        <v>0.89447005398328183</v>
      </c>
    </row>
    <row r="788" spans="1:19" x14ac:dyDescent="0.25">
      <c r="A788" s="2">
        <v>2562</v>
      </c>
      <c r="B788" s="2" t="s">
        <v>19</v>
      </c>
      <c r="C788" s="2" t="s">
        <v>2841</v>
      </c>
      <c r="D788" s="2" t="s">
        <v>2881</v>
      </c>
      <c r="E788" s="2" t="s">
        <v>2881</v>
      </c>
      <c r="F788" s="2" t="s">
        <v>2882</v>
      </c>
      <c r="G788" s="2" t="s">
        <v>2883</v>
      </c>
      <c r="H788" s="2" t="s">
        <v>2881</v>
      </c>
      <c r="I788" s="2">
        <v>26</v>
      </c>
      <c r="J788" s="2" t="s">
        <v>24</v>
      </c>
      <c r="K788" s="2">
        <v>-17.614799999999999</v>
      </c>
      <c r="L788" s="2">
        <v>-65.816999999999993</v>
      </c>
      <c r="M788" s="2" t="s">
        <v>776</v>
      </c>
      <c r="N788" s="2">
        <v>2562</v>
      </c>
      <c r="O788" s="2" t="s">
        <v>2884</v>
      </c>
      <c r="P788" s="2"/>
      <c r="Q788" s="2"/>
      <c r="R788" s="2">
        <f>IFERROR(VLOOKUP(A788,'[1]Recintos Cochabamba'!A$1:R$838,17,FALSE),0)</f>
        <v>10</v>
      </c>
      <c r="S788" s="3">
        <f>IFERROR(VLOOKUP(A788,'[1]Recintos Cochabamba'!A$1:T$838,18,FALSE),0)</f>
        <v>0.69501281544324045</v>
      </c>
    </row>
    <row r="789" spans="1:19" x14ac:dyDescent="0.25">
      <c r="A789" s="2">
        <v>2563</v>
      </c>
      <c r="B789" s="2" t="s">
        <v>19</v>
      </c>
      <c r="C789" s="2" t="s">
        <v>2841</v>
      </c>
      <c r="D789" s="2" t="s">
        <v>2881</v>
      </c>
      <c r="E789" s="2" t="s">
        <v>2885</v>
      </c>
      <c r="F789" s="2" t="s">
        <v>2886</v>
      </c>
      <c r="G789" s="2" t="s">
        <v>2887</v>
      </c>
      <c r="H789" s="2" t="s">
        <v>2885</v>
      </c>
      <c r="I789" s="2">
        <v>26</v>
      </c>
      <c r="J789" s="2" t="s">
        <v>24</v>
      </c>
      <c r="K789" s="2">
        <v>-17.605</v>
      </c>
      <c r="L789" s="2">
        <v>-65.878900000000002</v>
      </c>
      <c r="M789" s="2" t="s">
        <v>776</v>
      </c>
      <c r="N789" s="2">
        <v>2563</v>
      </c>
      <c r="O789" s="2" t="s">
        <v>2888</v>
      </c>
      <c r="P789" s="2"/>
      <c r="Q789" s="2"/>
      <c r="R789" s="2">
        <f>IFERROR(VLOOKUP(A789,'[1]Recintos Cochabamba'!A$1:R$838,17,FALSE),0)</f>
        <v>12</v>
      </c>
      <c r="S789" s="3">
        <f>IFERROR(VLOOKUP(A789,'[1]Recintos Cochabamba'!A$1:T$838,18,FALSE),0)</f>
        <v>0.92857145578049094</v>
      </c>
    </row>
    <row r="790" spans="1:19" x14ac:dyDescent="0.25">
      <c r="A790" s="2">
        <v>2564</v>
      </c>
      <c r="B790" s="2" t="s">
        <v>19</v>
      </c>
      <c r="C790" s="2" t="s">
        <v>2841</v>
      </c>
      <c r="D790" s="2" t="s">
        <v>2881</v>
      </c>
      <c r="E790" s="2" t="s">
        <v>2885</v>
      </c>
      <c r="F790" s="2" t="s">
        <v>2889</v>
      </c>
      <c r="G790" s="2" t="s">
        <v>2883</v>
      </c>
      <c r="H790" s="2" t="s">
        <v>2885</v>
      </c>
      <c r="I790" s="2">
        <v>26</v>
      </c>
      <c r="J790" s="2" t="s">
        <v>24</v>
      </c>
      <c r="K790" s="2">
        <v>-17.625699999999998</v>
      </c>
      <c r="L790" s="2">
        <v>-65.864599999999996</v>
      </c>
      <c r="M790" s="2" t="s">
        <v>776</v>
      </c>
      <c r="N790" s="2">
        <v>2564</v>
      </c>
      <c r="O790" s="2" t="s">
        <v>2890</v>
      </c>
      <c r="P790" s="2"/>
      <c r="Q790" s="2"/>
      <c r="R790" s="2">
        <f>IFERROR(VLOOKUP(A790,'[1]Recintos Cochabamba'!A$1:R$838,17,FALSE),0)</f>
        <v>3</v>
      </c>
      <c r="S790" s="3">
        <f>IFERROR(VLOOKUP(A790,'[1]Recintos Cochabamba'!A$1:T$838,18,FALSE),0)</f>
        <v>0.925853511437562</v>
      </c>
    </row>
    <row r="791" spans="1:19" x14ac:dyDescent="0.25">
      <c r="A791" s="2">
        <v>2565</v>
      </c>
      <c r="B791" s="2" t="s">
        <v>19</v>
      </c>
      <c r="C791" s="2" t="s">
        <v>2841</v>
      </c>
      <c r="D791" s="2" t="s">
        <v>2261</v>
      </c>
      <c r="E791" s="2" t="s">
        <v>2891</v>
      </c>
      <c r="F791" s="2" t="s">
        <v>2892</v>
      </c>
      <c r="G791" s="2" t="s">
        <v>2893</v>
      </c>
      <c r="H791" s="2" t="s">
        <v>2891</v>
      </c>
      <c r="I791" s="2">
        <v>26</v>
      </c>
      <c r="J791" s="2" t="s">
        <v>24</v>
      </c>
      <c r="K791" s="2">
        <v>-17.523199999999999</v>
      </c>
      <c r="L791" s="2">
        <v>-65.897099999999995</v>
      </c>
      <c r="M791" s="2" t="s">
        <v>776</v>
      </c>
      <c r="N791" s="2">
        <v>2565</v>
      </c>
      <c r="O791" s="2" t="s">
        <v>2894</v>
      </c>
      <c r="P791" s="2"/>
      <c r="Q791" s="2"/>
      <c r="R791" s="2">
        <f>IFERROR(VLOOKUP(A791,'[1]Recintos Cochabamba'!A$1:R$838,17,FALSE),0)</f>
        <v>10</v>
      </c>
      <c r="S791" s="3">
        <v>0</v>
      </c>
    </row>
    <row r="792" spans="1:19" x14ac:dyDescent="0.25">
      <c r="A792" s="2">
        <v>2566</v>
      </c>
      <c r="B792" s="2" t="s">
        <v>19</v>
      </c>
      <c r="C792" s="2" t="s">
        <v>2841</v>
      </c>
      <c r="D792" s="2" t="s">
        <v>2261</v>
      </c>
      <c r="E792" s="2" t="s">
        <v>2891</v>
      </c>
      <c r="F792" s="2" t="s">
        <v>2895</v>
      </c>
      <c r="G792" s="2" t="s">
        <v>2893</v>
      </c>
      <c r="H792" s="2" t="s">
        <v>2896</v>
      </c>
      <c r="I792" s="2">
        <v>26</v>
      </c>
      <c r="J792" s="2" t="s">
        <v>24</v>
      </c>
      <c r="K792" s="2">
        <v>-17.522334000000001</v>
      </c>
      <c r="L792" s="2">
        <v>-65.893969999999996</v>
      </c>
      <c r="M792" s="2" t="s">
        <v>776</v>
      </c>
      <c r="N792" s="2">
        <v>2566</v>
      </c>
      <c r="O792" s="2" t="s">
        <v>2897</v>
      </c>
      <c r="P792" s="2"/>
      <c r="Q792" s="2"/>
      <c r="R792" s="2">
        <f>IFERROR(VLOOKUP(A792,'[1]Recintos Cochabamba'!A$1:R$838,17,FALSE),0)</f>
        <v>8</v>
      </c>
      <c r="S792" s="3">
        <v>0</v>
      </c>
    </row>
    <row r="793" spans="1:19" x14ac:dyDescent="0.25">
      <c r="A793" s="2">
        <v>2567</v>
      </c>
      <c r="B793" s="2" t="s">
        <v>19</v>
      </c>
      <c r="C793" s="2" t="s">
        <v>2841</v>
      </c>
      <c r="D793" s="2" t="s">
        <v>2261</v>
      </c>
      <c r="E793" s="2" t="s">
        <v>2898</v>
      </c>
      <c r="F793" s="2" t="s">
        <v>2899</v>
      </c>
      <c r="G793" s="2" t="s">
        <v>2900</v>
      </c>
      <c r="H793" s="2" t="s">
        <v>2898</v>
      </c>
      <c r="I793" s="2">
        <v>26</v>
      </c>
      <c r="J793" s="2" t="s">
        <v>24</v>
      </c>
      <c r="K793" s="2">
        <v>-17.5258</v>
      </c>
      <c r="L793" s="2">
        <v>-65.922799999999995</v>
      </c>
      <c r="M793" s="2" t="s">
        <v>776</v>
      </c>
      <c r="N793" s="2">
        <v>2567</v>
      </c>
      <c r="O793" s="2" t="s">
        <v>2901</v>
      </c>
      <c r="P793" s="2"/>
      <c r="Q793" s="2"/>
      <c r="R793" s="2">
        <f>IFERROR(VLOOKUP(A793,'[1]Recintos Cochabamba'!A$1:R$838,17,FALSE),0)</f>
        <v>5</v>
      </c>
      <c r="S793" s="3">
        <v>0</v>
      </c>
    </row>
    <row r="794" spans="1:19" x14ac:dyDescent="0.25">
      <c r="A794" s="2">
        <v>2568</v>
      </c>
      <c r="B794" s="2" t="s">
        <v>19</v>
      </c>
      <c r="C794" s="2" t="s">
        <v>2841</v>
      </c>
      <c r="D794" s="2" t="s">
        <v>2261</v>
      </c>
      <c r="E794" s="2" t="s">
        <v>2902</v>
      </c>
      <c r="F794" s="2" t="s">
        <v>2903</v>
      </c>
      <c r="G794" s="2" t="s">
        <v>2904</v>
      </c>
      <c r="H794" s="2" t="s">
        <v>2902</v>
      </c>
      <c r="I794" s="2">
        <v>26</v>
      </c>
      <c r="J794" s="2" t="s">
        <v>24</v>
      </c>
      <c r="K794" s="2">
        <v>-17.558700000000002</v>
      </c>
      <c r="L794" s="2">
        <v>-65.919600000000003</v>
      </c>
      <c r="M794" s="2" t="s">
        <v>776</v>
      </c>
      <c r="N794" s="2">
        <v>2568</v>
      </c>
      <c r="O794" s="2" t="s">
        <v>2905</v>
      </c>
      <c r="P794" s="2"/>
      <c r="Q794" s="2"/>
      <c r="R794" s="2">
        <f>IFERROR(VLOOKUP(A794,'[1]Recintos Cochabamba'!A$1:R$838,17,FALSE),0)</f>
        <v>4</v>
      </c>
      <c r="S794" s="3">
        <v>0</v>
      </c>
    </row>
    <row r="795" spans="1:19" x14ac:dyDescent="0.25">
      <c r="A795" s="2">
        <v>2569</v>
      </c>
      <c r="B795" s="2" t="s">
        <v>19</v>
      </c>
      <c r="C795" s="2" t="s">
        <v>2841</v>
      </c>
      <c r="D795" s="2" t="s">
        <v>2261</v>
      </c>
      <c r="E795" s="2" t="s">
        <v>2906</v>
      </c>
      <c r="F795" s="2" t="s">
        <v>2907</v>
      </c>
      <c r="G795" s="2" t="s">
        <v>2908</v>
      </c>
      <c r="H795" s="2" t="s">
        <v>2906</v>
      </c>
      <c r="I795" s="2">
        <v>26</v>
      </c>
      <c r="J795" s="2" t="s">
        <v>24</v>
      </c>
      <c r="K795" s="2">
        <v>-17.513500000000001</v>
      </c>
      <c r="L795" s="2">
        <v>-65.856999999999999</v>
      </c>
      <c r="M795" s="2" t="s">
        <v>25</v>
      </c>
      <c r="N795" s="2">
        <v>2569</v>
      </c>
      <c r="O795" s="2" t="s">
        <v>2909</v>
      </c>
      <c r="P795" s="2"/>
      <c r="Q795" s="2"/>
      <c r="R795" s="2">
        <f>IFERROR(VLOOKUP(A795,'[1]Recintos Cochabamba'!A$1:R$838,17,FALSE),0)</f>
        <v>14</v>
      </c>
      <c r="S795" s="3">
        <v>0</v>
      </c>
    </row>
    <row r="796" spans="1:19" x14ac:dyDescent="0.25">
      <c r="A796" s="2">
        <v>2570</v>
      </c>
      <c r="B796" s="2" t="s">
        <v>19</v>
      </c>
      <c r="C796" s="2" t="s">
        <v>2841</v>
      </c>
      <c r="D796" s="2" t="s">
        <v>2261</v>
      </c>
      <c r="E796" s="2" t="s">
        <v>2906</v>
      </c>
      <c r="F796" s="2" t="s">
        <v>2910</v>
      </c>
      <c r="G796" s="2" t="s">
        <v>2908</v>
      </c>
      <c r="H796" s="2" t="s">
        <v>2906</v>
      </c>
      <c r="I796" s="2">
        <v>26</v>
      </c>
      <c r="J796" s="2" t="s">
        <v>24</v>
      </c>
      <c r="K796" s="2">
        <v>-17.514099999999999</v>
      </c>
      <c r="L796" s="2">
        <v>-65.834299999999999</v>
      </c>
      <c r="M796" s="2" t="s">
        <v>25</v>
      </c>
      <c r="N796" s="2">
        <v>2570</v>
      </c>
      <c r="O796" s="2" t="s">
        <v>2911</v>
      </c>
      <c r="P796" s="2"/>
      <c r="Q796" s="2"/>
      <c r="R796" s="2">
        <f>IFERROR(VLOOKUP(A796,'[1]Recintos Cochabamba'!A$1:R$838,17,FALSE),0)</f>
        <v>2</v>
      </c>
      <c r="S796" s="3">
        <v>0</v>
      </c>
    </row>
    <row r="797" spans="1:19" x14ac:dyDescent="0.25">
      <c r="A797" s="2">
        <v>2571</v>
      </c>
      <c r="B797" s="2" t="s">
        <v>19</v>
      </c>
      <c r="C797" s="2" t="s">
        <v>2841</v>
      </c>
      <c r="D797" s="2" t="s">
        <v>2261</v>
      </c>
      <c r="E797" s="2" t="s">
        <v>2912</v>
      </c>
      <c r="F797" s="2" t="s">
        <v>2913</v>
      </c>
      <c r="G797" s="2" t="s">
        <v>2900</v>
      </c>
      <c r="H797" s="2" t="s">
        <v>2914</v>
      </c>
      <c r="I797" s="2">
        <v>26</v>
      </c>
      <c r="J797" s="2" t="s">
        <v>24</v>
      </c>
      <c r="K797" s="2">
        <v>-17.532755999999999</v>
      </c>
      <c r="L797" s="2">
        <v>-65.941040999999998</v>
      </c>
      <c r="M797" s="2" t="s">
        <v>776</v>
      </c>
      <c r="N797" s="2">
        <v>2571</v>
      </c>
      <c r="O797" s="2" t="s">
        <v>2915</v>
      </c>
      <c r="P797" s="2"/>
      <c r="Q797" s="2"/>
      <c r="R797" s="2">
        <f>IFERROR(VLOOKUP(A797,'[1]Recintos Cochabamba'!A$1:R$838,17,FALSE),0)</f>
        <v>2</v>
      </c>
      <c r="S797" s="3">
        <v>0</v>
      </c>
    </row>
    <row r="798" spans="1:19" x14ac:dyDescent="0.25">
      <c r="A798" s="2">
        <v>2572</v>
      </c>
      <c r="B798" s="2" t="s">
        <v>19</v>
      </c>
      <c r="C798" s="2" t="s">
        <v>2841</v>
      </c>
      <c r="D798" s="2" t="s">
        <v>2916</v>
      </c>
      <c r="E798" s="2" t="s">
        <v>2916</v>
      </c>
      <c r="F798" s="2" t="s">
        <v>2917</v>
      </c>
      <c r="G798" s="2" t="s">
        <v>2918</v>
      </c>
      <c r="H798" s="2" t="s">
        <v>2916</v>
      </c>
      <c r="I798" s="2">
        <v>26</v>
      </c>
      <c r="J798" s="2" t="s">
        <v>24</v>
      </c>
      <c r="K798" s="2">
        <v>-17.639500000000002</v>
      </c>
      <c r="L798" s="2">
        <v>-65.803100000000001</v>
      </c>
      <c r="M798" s="2" t="s">
        <v>776</v>
      </c>
      <c r="N798" s="2">
        <v>2572</v>
      </c>
      <c r="O798" s="2" t="s">
        <v>2919</v>
      </c>
      <c r="P798" s="2"/>
      <c r="Q798" s="2"/>
      <c r="R798" s="2">
        <f>IFERROR(VLOOKUP(A798,'[1]Recintos Cochabamba'!A$1:R$838,17,FALSE),0)</f>
        <v>4</v>
      </c>
      <c r="S798" s="3">
        <f>IFERROR(VLOOKUP(A798,'[1]Recintos Cochabamba'!A$1:T$838,18,FALSE),0)</f>
        <v>0.71015151515151509</v>
      </c>
    </row>
    <row r="799" spans="1:19" x14ac:dyDescent="0.25">
      <c r="A799" s="2">
        <v>2573</v>
      </c>
      <c r="B799" s="2" t="s">
        <v>19</v>
      </c>
      <c r="C799" s="2" t="s">
        <v>2841</v>
      </c>
      <c r="D799" s="2" t="s">
        <v>2920</v>
      </c>
      <c r="E799" s="2" t="s">
        <v>2921</v>
      </c>
      <c r="F799" s="2" t="s">
        <v>2922</v>
      </c>
      <c r="G799" s="2" t="s">
        <v>2923</v>
      </c>
      <c r="H799" s="2" t="s">
        <v>2921</v>
      </c>
      <c r="I799" s="2">
        <v>26</v>
      </c>
      <c r="J799" s="2" t="s">
        <v>24</v>
      </c>
      <c r="K799" s="2">
        <v>-17.652000000000001</v>
      </c>
      <c r="L799" s="2">
        <v>-65.794899999999998</v>
      </c>
      <c r="M799" s="2" t="s">
        <v>776</v>
      </c>
      <c r="N799" s="2">
        <v>2573</v>
      </c>
      <c r="O799" s="2" t="s">
        <v>2924</v>
      </c>
      <c r="P799" s="2"/>
      <c r="Q799" s="2"/>
      <c r="R799" s="2">
        <f>IFERROR(VLOOKUP(A799,'[1]Recintos Cochabamba'!A$1:R$838,17,FALSE),0)</f>
        <v>3</v>
      </c>
      <c r="S799" s="3">
        <f>IFERROR(VLOOKUP(A799,'[1]Recintos Cochabamba'!A$1:T$838,18,FALSE),0)</f>
        <v>0.75701892610854138</v>
      </c>
    </row>
    <row r="800" spans="1:19" x14ac:dyDescent="0.25">
      <c r="A800" s="2">
        <v>2574</v>
      </c>
      <c r="B800" s="2" t="s">
        <v>19</v>
      </c>
      <c r="C800" s="2" t="s">
        <v>2841</v>
      </c>
      <c r="D800" s="2" t="s">
        <v>2920</v>
      </c>
      <c r="E800" s="2" t="s">
        <v>2925</v>
      </c>
      <c r="F800" s="2" t="s">
        <v>2926</v>
      </c>
      <c r="G800" s="2" t="s">
        <v>2927</v>
      </c>
      <c r="H800" s="2" t="s">
        <v>2925</v>
      </c>
      <c r="I800" s="2">
        <v>26</v>
      </c>
      <c r="J800" s="2" t="s">
        <v>24</v>
      </c>
      <c r="K800" s="2">
        <v>-17.701899999999998</v>
      </c>
      <c r="L800" s="2">
        <v>-65.748500000000007</v>
      </c>
      <c r="M800" s="2" t="s">
        <v>776</v>
      </c>
      <c r="N800" s="2">
        <v>2574</v>
      </c>
      <c r="O800" s="2" t="s">
        <v>2928</v>
      </c>
      <c r="P800" s="2"/>
      <c r="Q800" s="2"/>
      <c r="R800" s="2">
        <f>IFERROR(VLOOKUP(A800,'[1]Recintos Cochabamba'!A$1:R$838,17,FALSE),0)</f>
        <v>2</v>
      </c>
      <c r="S800" s="3">
        <f>IFERROR(VLOOKUP(A800,'[1]Recintos Cochabamba'!A$1:T$838,18,FALSE),0)</f>
        <v>0.94683257918552033</v>
      </c>
    </row>
    <row r="801" spans="1:19" x14ac:dyDescent="0.25">
      <c r="A801" s="2">
        <v>2575</v>
      </c>
      <c r="B801" s="2" t="s">
        <v>19</v>
      </c>
      <c r="C801" s="2" t="s">
        <v>1829</v>
      </c>
      <c r="D801" s="2" t="s">
        <v>1829</v>
      </c>
      <c r="E801" s="2" t="s">
        <v>1829</v>
      </c>
      <c r="F801" s="2" t="s">
        <v>781</v>
      </c>
      <c r="G801" s="2" t="s">
        <v>2929</v>
      </c>
      <c r="H801" s="2" t="s">
        <v>1829</v>
      </c>
      <c r="I801" s="2">
        <v>27</v>
      </c>
      <c r="J801" s="2" t="s">
        <v>24</v>
      </c>
      <c r="K801" s="2">
        <v>-17.968</v>
      </c>
      <c r="L801" s="2">
        <v>-66.537899999999993</v>
      </c>
      <c r="M801" s="2" t="s">
        <v>776</v>
      </c>
      <c r="N801" s="2">
        <v>2575</v>
      </c>
      <c r="O801" s="2" t="s">
        <v>2930</v>
      </c>
      <c r="P801" s="2"/>
      <c r="Q801" s="2"/>
      <c r="R801" s="2">
        <f>IFERROR(VLOOKUP(A801,'[1]Recintos Cochabamba'!A$1:R$838,17,FALSE),0)</f>
        <v>1</v>
      </c>
      <c r="S801" s="3">
        <v>0</v>
      </c>
    </row>
    <row r="802" spans="1:19" x14ac:dyDescent="0.25">
      <c r="A802" s="2">
        <v>2576</v>
      </c>
      <c r="B802" s="2" t="s">
        <v>19</v>
      </c>
      <c r="C802" s="2" t="s">
        <v>1829</v>
      </c>
      <c r="D802" s="2" t="s">
        <v>1829</v>
      </c>
      <c r="E802" s="2" t="s">
        <v>2931</v>
      </c>
      <c r="F802" s="2" t="s">
        <v>2932</v>
      </c>
      <c r="G802" s="2" t="s">
        <v>2933</v>
      </c>
      <c r="H802" s="2" t="s">
        <v>2931</v>
      </c>
      <c r="I802" s="2">
        <v>27</v>
      </c>
      <c r="J802" s="2" t="s">
        <v>24</v>
      </c>
      <c r="K802" s="2">
        <v>-17.906116000000001</v>
      </c>
      <c r="L802" s="2">
        <v>-66.478478999999993</v>
      </c>
      <c r="M802" s="2" t="s">
        <v>776</v>
      </c>
      <c r="N802" s="2">
        <v>2576</v>
      </c>
      <c r="O802" s="2" t="s">
        <v>2934</v>
      </c>
      <c r="P802" s="2"/>
      <c r="Q802" s="2"/>
      <c r="R802" s="2">
        <f>IFERROR(VLOOKUP(A802,'[1]Recintos Cochabamba'!A$1:R$838,17,FALSE),0)</f>
        <v>1</v>
      </c>
      <c r="S802" s="3">
        <v>0</v>
      </c>
    </row>
    <row r="803" spans="1:19" x14ac:dyDescent="0.25">
      <c r="A803" s="2">
        <v>2577</v>
      </c>
      <c r="B803" s="2" t="s">
        <v>19</v>
      </c>
      <c r="C803" s="2" t="s">
        <v>1829</v>
      </c>
      <c r="D803" s="2" t="s">
        <v>1829</v>
      </c>
      <c r="E803" s="2" t="s">
        <v>2935</v>
      </c>
      <c r="F803" s="2" t="s">
        <v>2936</v>
      </c>
      <c r="G803" s="2" t="s">
        <v>2937</v>
      </c>
      <c r="H803" s="2" t="s">
        <v>2935</v>
      </c>
      <c r="I803" s="2">
        <v>27</v>
      </c>
      <c r="J803" s="2" t="s">
        <v>24</v>
      </c>
      <c r="K803" s="2">
        <v>-17.899899999999999</v>
      </c>
      <c r="L803" s="2">
        <v>-66.5458</v>
      </c>
      <c r="M803" s="2" t="s">
        <v>776</v>
      </c>
      <c r="N803" s="2">
        <v>2577</v>
      </c>
      <c r="O803" s="2" t="s">
        <v>2938</v>
      </c>
      <c r="P803" s="2"/>
      <c r="Q803" s="2"/>
      <c r="R803" s="2">
        <f>IFERROR(VLOOKUP(A803,'[1]Recintos Cochabamba'!A$1:R$838,17,FALSE),0)</f>
        <v>1</v>
      </c>
      <c r="S803" s="3">
        <v>0</v>
      </c>
    </row>
    <row r="804" spans="1:19" x14ac:dyDescent="0.25">
      <c r="A804" s="2">
        <v>2578</v>
      </c>
      <c r="B804" s="2" t="s">
        <v>19</v>
      </c>
      <c r="C804" s="2" t="s">
        <v>1829</v>
      </c>
      <c r="D804" s="2" t="s">
        <v>1829</v>
      </c>
      <c r="E804" s="2" t="s">
        <v>2939</v>
      </c>
      <c r="F804" s="2" t="s">
        <v>2940</v>
      </c>
      <c r="G804" s="2" t="s">
        <v>2941</v>
      </c>
      <c r="H804" s="2" t="s">
        <v>2939</v>
      </c>
      <c r="I804" s="2">
        <v>27</v>
      </c>
      <c r="J804" s="2" t="s">
        <v>24</v>
      </c>
      <c r="K804" s="2">
        <v>-17.9696</v>
      </c>
      <c r="L804" s="2">
        <v>-66.576099999999997</v>
      </c>
      <c r="M804" s="2" t="s">
        <v>776</v>
      </c>
      <c r="N804" s="2">
        <v>2578</v>
      </c>
      <c r="O804" s="2" t="s">
        <v>2942</v>
      </c>
      <c r="P804" s="2"/>
      <c r="Q804" s="2"/>
      <c r="R804" s="2">
        <f>IFERROR(VLOOKUP(A804,'[1]Recintos Cochabamba'!A$1:R$838,17,FALSE),0)</f>
        <v>2</v>
      </c>
      <c r="S804" s="3">
        <f>IFERROR(VLOOKUP(A804,'[1]Recintos Cochabamba'!A$1:T$838,18,FALSE),0)</f>
        <v>0.91869284309747501</v>
      </c>
    </row>
    <row r="805" spans="1:19" x14ac:dyDescent="0.25">
      <c r="A805" s="2">
        <v>2579</v>
      </c>
      <c r="B805" s="2" t="s">
        <v>19</v>
      </c>
      <c r="C805" s="2" t="s">
        <v>1829</v>
      </c>
      <c r="D805" s="2" t="s">
        <v>1829</v>
      </c>
      <c r="E805" s="2" t="s">
        <v>2943</v>
      </c>
      <c r="F805" s="2" t="s">
        <v>2944</v>
      </c>
      <c r="G805" s="2" t="s">
        <v>2945</v>
      </c>
      <c r="H805" s="2" t="s">
        <v>2943</v>
      </c>
      <c r="I805" s="2">
        <v>27</v>
      </c>
      <c r="J805" s="2" t="s">
        <v>24</v>
      </c>
      <c r="K805" s="2">
        <v>-18.0853</v>
      </c>
      <c r="L805" s="2">
        <v>-66.740499999999997</v>
      </c>
      <c r="M805" s="2" t="s">
        <v>776</v>
      </c>
      <c r="N805" s="2">
        <v>2579</v>
      </c>
      <c r="O805" s="2" t="s">
        <v>2946</v>
      </c>
      <c r="P805" s="2"/>
      <c r="Q805" s="2"/>
      <c r="R805" s="2">
        <f>IFERROR(VLOOKUP(A805,'[1]Recintos Cochabamba'!A$1:R$838,17,FALSE),0)</f>
        <v>1</v>
      </c>
      <c r="S805" s="3">
        <f>IFERROR(VLOOKUP(A805,'[1]Recintos Cochabamba'!A$1:T$838,18,FALSE),0)</f>
        <v>0.86315789473684212</v>
      </c>
    </row>
    <row r="806" spans="1:19" x14ac:dyDescent="0.25">
      <c r="A806" s="2">
        <v>2580</v>
      </c>
      <c r="B806" s="2" t="s">
        <v>19</v>
      </c>
      <c r="C806" s="2" t="s">
        <v>1829</v>
      </c>
      <c r="D806" s="2" t="s">
        <v>1829</v>
      </c>
      <c r="E806" s="2" t="s">
        <v>671</v>
      </c>
      <c r="F806" s="2" t="s">
        <v>2947</v>
      </c>
      <c r="G806" s="2" t="s">
        <v>2948</v>
      </c>
      <c r="H806" s="2" t="s">
        <v>671</v>
      </c>
      <c r="I806" s="2">
        <v>27</v>
      </c>
      <c r="J806" s="2" t="s">
        <v>24</v>
      </c>
      <c r="K806" s="2">
        <v>-18.084099999999999</v>
      </c>
      <c r="L806" s="2">
        <v>-66.687100000000001</v>
      </c>
      <c r="M806" s="2" t="s">
        <v>776</v>
      </c>
      <c r="N806" s="2">
        <v>2580</v>
      </c>
      <c r="O806" s="2" t="s">
        <v>2949</v>
      </c>
      <c r="P806" s="2"/>
      <c r="Q806" s="2"/>
      <c r="R806" s="2">
        <f>IFERROR(VLOOKUP(A806,'[1]Recintos Cochabamba'!A$1:R$838,17,FALSE),0)</f>
        <v>2</v>
      </c>
      <c r="S806" s="3">
        <v>0</v>
      </c>
    </row>
    <row r="807" spans="1:19" x14ac:dyDescent="0.25">
      <c r="A807" s="2">
        <v>2581</v>
      </c>
      <c r="B807" s="2" t="s">
        <v>19</v>
      </c>
      <c r="C807" s="2" t="s">
        <v>1829</v>
      </c>
      <c r="D807" s="2" t="s">
        <v>1829</v>
      </c>
      <c r="E807" s="2" t="s">
        <v>2950</v>
      </c>
      <c r="F807" s="2" t="s">
        <v>2951</v>
      </c>
      <c r="G807" s="2" t="s">
        <v>2952</v>
      </c>
      <c r="H807" s="2" t="s">
        <v>2950</v>
      </c>
      <c r="I807" s="2">
        <v>27</v>
      </c>
      <c r="J807" s="2" t="s">
        <v>24</v>
      </c>
      <c r="K807" s="2">
        <v>-17.933599999999998</v>
      </c>
      <c r="L807" s="2">
        <v>-66.614500000000007</v>
      </c>
      <c r="M807" s="2" t="s">
        <v>25</v>
      </c>
      <c r="N807" s="2">
        <v>2581</v>
      </c>
      <c r="O807" s="2" t="s">
        <v>2953</v>
      </c>
      <c r="P807" s="2"/>
      <c r="Q807" s="2"/>
      <c r="R807" s="2">
        <f>IFERROR(VLOOKUP(A807,'[1]Recintos Cochabamba'!A$1:R$838,17,FALSE),0)</f>
        <v>2</v>
      </c>
      <c r="S807" s="3">
        <v>0</v>
      </c>
    </row>
    <row r="808" spans="1:19" x14ac:dyDescent="0.25">
      <c r="A808" s="2">
        <v>2582</v>
      </c>
      <c r="B808" s="2" t="s">
        <v>19</v>
      </c>
      <c r="C808" s="2" t="s">
        <v>1829</v>
      </c>
      <c r="D808" s="2" t="s">
        <v>1829</v>
      </c>
      <c r="E808" s="2" t="s">
        <v>2954</v>
      </c>
      <c r="F808" s="2" t="s">
        <v>2955</v>
      </c>
      <c r="G808" s="2" t="s">
        <v>2956</v>
      </c>
      <c r="H808" s="2" t="s">
        <v>2954</v>
      </c>
      <c r="I808" s="2">
        <v>27</v>
      </c>
      <c r="J808" s="2" t="s">
        <v>24</v>
      </c>
      <c r="K808" s="2">
        <v>-18.013000000000002</v>
      </c>
      <c r="L808" s="2">
        <v>-66.516800000000003</v>
      </c>
      <c r="M808" s="2" t="s">
        <v>25</v>
      </c>
      <c r="N808" s="2">
        <v>2582</v>
      </c>
      <c r="O808" s="2" t="s">
        <v>2957</v>
      </c>
      <c r="P808" s="2"/>
      <c r="Q808" s="2"/>
      <c r="R808" s="2">
        <f>IFERROR(VLOOKUP(A808,'[1]Recintos Cochabamba'!A$1:R$838,17,FALSE),0)</f>
        <v>2</v>
      </c>
      <c r="S808" s="3">
        <v>0</v>
      </c>
    </row>
    <row r="809" spans="1:19" x14ac:dyDescent="0.25">
      <c r="A809" s="2">
        <v>2583</v>
      </c>
      <c r="B809" s="2" t="s">
        <v>19</v>
      </c>
      <c r="C809" s="2" t="s">
        <v>1829</v>
      </c>
      <c r="D809" s="2" t="s">
        <v>1829</v>
      </c>
      <c r="E809" s="2" t="s">
        <v>2958</v>
      </c>
      <c r="F809" s="2" t="s">
        <v>2959</v>
      </c>
      <c r="G809" s="2" t="s">
        <v>2960</v>
      </c>
      <c r="H809" s="2" t="s">
        <v>2958</v>
      </c>
      <c r="I809" s="2">
        <v>27</v>
      </c>
      <c r="J809" s="2" t="s">
        <v>24</v>
      </c>
      <c r="K809" s="2">
        <v>-18.022600000000001</v>
      </c>
      <c r="L809" s="2">
        <v>-66.548400000000001</v>
      </c>
      <c r="M809" s="2" t="s">
        <v>25</v>
      </c>
      <c r="N809" s="2">
        <v>2583</v>
      </c>
      <c r="O809" s="2" t="s">
        <v>2961</v>
      </c>
      <c r="P809" s="2"/>
      <c r="Q809" s="2"/>
      <c r="R809" s="2">
        <f>IFERROR(VLOOKUP(A809,'[1]Recintos Cochabamba'!A$1:R$838,17,FALSE),0)</f>
        <v>1</v>
      </c>
      <c r="S809" s="3">
        <v>0</v>
      </c>
    </row>
    <row r="810" spans="1:19" x14ac:dyDescent="0.25">
      <c r="A810" s="2">
        <v>2584</v>
      </c>
      <c r="B810" s="2" t="s">
        <v>19</v>
      </c>
      <c r="C810" s="2" t="s">
        <v>1829</v>
      </c>
      <c r="D810" s="2" t="s">
        <v>1829</v>
      </c>
      <c r="E810" s="2" t="s">
        <v>2962</v>
      </c>
      <c r="F810" s="2" t="s">
        <v>2963</v>
      </c>
      <c r="G810" s="2" t="s">
        <v>2948</v>
      </c>
      <c r="H810" s="2" t="s">
        <v>2962</v>
      </c>
      <c r="I810" s="2">
        <v>27</v>
      </c>
      <c r="J810" s="2" t="s">
        <v>24</v>
      </c>
      <c r="K810" s="2">
        <v>-18.048822999999999</v>
      </c>
      <c r="L810" s="2">
        <v>-66.696072999999998</v>
      </c>
      <c r="M810" s="2" t="s">
        <v>25</v>
      </c>
      <c r="N810" s="2">
        <v>2584</v>
      </c>
      <c r="O810" s="2" t="s">
        <v>2964</v>
      </c>
      <c r="P810" s="2"/>
      <c r="Q810" s="2"/>
      <c r="R810" s="2">
        <f>IFERROR(VLOOKUP(A810,'[1]Recintos Cochabamba'!A$1:R$838,17,FALSE),0)</f>
        <v>1</v>
      </c>
      <c r="S810" s="3">
        <v>0</v>
      </c>
    </row>
    <row r="811" spans="1:19" x14ac:dyDescent="0.25">
      <c r="A811" s="2">
        <v>2585</v>
      </c>
      <c r="B811" s="2" t="s">
        <v>19</v>
      </c>
      <c r="C811" s="2" t="s">
        <v>1829</v>
      </c>
      <c r="D811" s="2" t="s">
        <v>1829</v>
      </c>
      <c r="E811" s="2" t="s">
        <v>2965</v>
      </c>
      <c r="F811" s="2" t="s">
        <v>2966</v>
      </c>
      <c r="G811" s="2" t="s">
        <v>2967</v>
      </c>
      <c r="H811" s="2" t="s">
        <v>2968</v>
      </c>
      <c r="I811" s="2">
        <v>27</v>
      </c>
      <c r="J811" s="2" t="s">
        <v>24</v>
      </c>
      <c r="K811" s="2">
        <v>-17.9849</v>
      </c>
      <c r="L811" s="2">
        <v>-66.667500000000004</v>
      </c>
      <c r="M811" s="2" t="s">
        <v>25</v>
      </c>
      <c r="N811" s="2">
        <v>2585</v>
      </c>
      <c r="O811" s="2" t="s">
        <v>2969</v>
      </c>
      <c r="P811" s="2"/>
      <c r="Q811" s="2"/>
      <c r="R811" s="2">
        <f>IFERROR(VLOOKUP(A811,'[1]Recintos Cochabamba'!A$1:R$838,17,FALSE),0)</f>
        <v>2</v>
      </c>
      <c r="S811" s="3">
        <f>IFERROR(VLOOKUP(A811,'[1]Recintos Cochabamba'!A$1:T$838,18,FALSE),0)</f>
        <v>0.92227953074433655</v>
      </c>
    </row>
    <row r="812" spans="1:19" x14ac:dyDescent="0.25">
      <c r="A812" s="2">
        <v>2586</v>
      </c>
      <c r="B812" s="2" t="s">
        <v>19</v>
      </c>
      <c r="C812" s="2" t="s">
        <v>2970</v>
      </c>
      <c r="D812" s="2" t="s">
        <v>2970</v>
      </c>
      <c r="E812" s="2" t="s">
        <v>2970</v>
      </c>
      <c r="F812" s="2" t="s">
        <v>2971</v>
      </c>
      <c r="G812" s="2" t="s">
        <v>2972</v>
      </c>
      <c r="H812" s="2" t="s">
        <v>2970</v>
      </c>
      <c r="I812" s="2">
        <v>25</v>
      </c>
      <c r="J812" s="2" t="s">
        <v>24</v>
      </c>
      <c r="K812" s="2">
        <v>-17.4239</v>
      </c>
      <c r="L812" s="2">
        <v>-65.721500000000006</v>
      </c>
      <c r="M812" s="2" t="s">
        <v>25</v>
      </c>
      <c r="N812" s="2">
        <v>2586</v>
      </c>
      <c r="O812" s="2" t="s">
        <v>2973</v>
      </c>
      <c r="P812" s="2"/>
      <c r="Q812" s="2"/>
      <c r="R812" s="2">
        <f>IFERROR(VLOOKUP(A812,'[1]Recintos Cochabamba'!A$1:R$838,17,FALSE),0)</f>
        <v>22</v>
      </c>
      <c r="S812" s="3">
        <f>IFERROR(VLOOKUP(A812,'[1]Recintos Cochabamba'!A$1:T$838,18,FALSE),0)</f>
        <v>0.907472978903058</v>
      </c>
    </row>
    <row r="813" spans="1:19" x14ac:dyDescent="0.25">
      <c r="A813" s="2">
        <v>2587</v>
      </c>
      <c r="B813" s="2" t="s">
        <v>19</v>
      </c>
      <c r="C813" s="2" t="s">
        <v>2970</v>
      </c>
      <c r="D813" s="2" t="s">
        <v>2970</v>
      </c>
      <c r="E813" s="2" t="s">
        <v>2970</v>
      </c>
      <c r="F813" s="2" t="s">
        <v>2974</v>
      </c>
      <c r="G813" s="2" t="s">
        <v>2972</v>
      </c>
      <c r="H813" s="2" t="s">
        <v>2975</v>
      </c>
      <c r="I813" s="2">
        <v>25</v>
      </c>
      <c r="J813" s="2" t="s">
        <v>24</v>
      </c>
      <c r="K813" s="2">
        <v>-17.42454</v>
      </c>
      <c r="L813" s="2">
        <v>-65.724810000000005</v>
      </c>
      <c r="M813" s="2" t="s">
        <v>776</v>
      </c>
      <c r="N813" s="2">
        <v>2587</v>
      </c>
      <c r="O813" s="2" t="s">
        <v>2976</v>
      </c>
      <c r="P813" s="2"/>
      <c r="Q813" s="2"/>
      <c r="R813" s="2">
        <f>IFERROR(VLOOKUP(A813,'[1]Recintos Cochabamba'!A$1:R$838,17,FALSE),0)</f>
        <v>8</v>
      </c>
      <c r="S813" s="3">
        <v>0</v>
      </c>
    </row>
    <row r="814" spans="1:19" x14ac:dyDescent="0.25">
      <c r="A814" s="2">
        <v>2588</v>
      </c>
      <c r="B814" s="2" t="s">
        <v>19</v>
      </c>
      <c r="C814" s="2" t="s">
        <v>2970</v>
      </c>
      <c r="D814" s="2" t="s">
        <v>2970</v>
      </c>
      <c r="E814" s="2" t="s">
        <v>2977</v>
      </c>
      <c r="F814" s="2" t="s">
        <v>2978</v>
      </c>
      <c r="G814" s="2" t="s">
        <v>2979</v>
      </c>
      <c r="H814" s="2" t="s">
        <v>2977</v>
      </c>
      <c r="I814" s="2">
        <v>25</v>
      </c>
      <c r="J814" s="2" t="s">
        <v>24</v>
      </c>
      <c r="K814" s="2">
        <v>-17.479199999999999</v>
      </c>
      <c r="L814" s="2">
        <v>-65.576300000000003</v>
      </c>
      <c r="M814" s="2" t="s">
        <v>25</v>
      </c>
      <c r="N814" s="2">
        <v>2588</v>
      </c>
      <c r="O814" s="2" t="s">
        <v>2980</v>
      </c>
      <c r="P814" s="2"/>
      <c r="Q814" s="2"/>
      <c r="R814" s="2">
        <f>IFERROR(VLOOKUP(A814,'[1]Recintos Cochabamba'!A$1:R$838,17,FALSE),0)</f>
        <v>5</v>
      </c>
      <c r="S814" s="3">
        <f>IFERROR(VLOOKUP(A814,'[1]Recintos Cochabamba'!A$1:T$838,18,FALSE),0)</f>
        <v>0.97784732099472649</v>
      </c>
    </row>
    <row r="815" spans="1:19" x14ac:dyDescent="0.25">
      <c r="A815" s="2">
        <v>2589</v>
      </c>
      <c r="B815" s="2" t="s">
        <v>19</v>
      </c>
      <c r="C815" s="2" t="s">
        <v>2970</v>
      </c>
      <c r="D815" s="2" t="s">
        <v>2970</v>
      </c>
      <c r="E815" s="2" t="s">
        <v>2981</v>
      </c>
      <c r="F815" s="2" t="s">
        <v>2982</v>
      </c>
      <c r="G815" s="2" t="s">
        <v>2983</v>
      </c>
      <c r="H815" s="2" t="s">
        <v>2981</v>
      </c>
      <c r="I815" s="2">
        <v>25</v>
      </c>
      <c r="J815" s="2" t="s">
        <v>24</v>
      </c>
      <c r="K815" s="2">
        <v>-17.4787</v>
      </c>
      <c r="L815" s="2">
        <v>-65.764899999999997</v>
      </c>
      <c r="M815" s="2" t="s">
        <v>25</v>
      </c>
      <c r="N815" s="2">
        <v>2589</v>
      </c>
      <c r="O815" s="2" t="s">
        <v>2984</v>
      </c>
      <c r="P815" s="2"/>
      <c r="Q815" s="2"/>
      <c r="R815" s="2">
        <f>IFERROR(VLOOKUP(A815,'[1]Recintos Cochabamba'!A$1:R$838,17,FALSE),0)</f>
        <v>2</v>
      </c>
      <c r="S815" s="3">
        <f>IFERROR(VLOOKUP(A815,'[1]Recintos Cochabamba'!A$1:T$838,18,FALSE),0)</f>
        <v>0.94582216755260728</v>
      </c>
    </row>
    <row r="816" spans="1:19" x14ac:dyDescent="0.25">
      <c r="A816" s="2">
        <v>2590</v>
      </c>
      <c r="B816" s="2" t="s">
        <v>19</v>
      </c>
      <c r="C816" s="2" t="s">
        <v>2970</v>
      </c>
      <c r="D816" s="2" t="s">
        <v>2970</v>
      </c>
      <c r="E816" s="2" t="s">
        <v>2985</v>
      </c>
      <c r="F816" s="2" t="s">
        <v>2986</v>
      </c>
      <c r="G816" s="2" t="s">
        <v>2983</v>
      </c>
      <c r="H816" s="2" t="s">
        <v>2987</v>
      </c>
      <c r="I816" s="2">
        <v>25</v>
      </c>
      <c r="J816" s="2" t="s">
        <v>24</v>
      </c>
      <c r="K816" s="2">
        <v>-17.410699999999999</v>
      </c>
      <c r="L816" s="2">
        <v>-65.778999999999996</v>
      </c>
      <c r="M816" s="2" t="s">
        <v>776</v>
      </c>
      <c r="N816" s="2">
        <v>2590</v>
      </c>
      <c r="O816" s="2" t="s">
        <v>2988</v>
      </c>
      <c r="P816" s="2"/>
      <c r="Q816" s="2"/>
      <c r="R816" s="2">
        <f>IFERROR(VLOOKUP(A816,'[1]Recintos Cochabamba'!A$1:R$838,17,FALSE),0)</f>
        <v>1</v>
      </c>
      <c r="S816" s="3">
        <f>IFERROR(VLOOKUP(A816,'[1]Recintos Cochabamba'!A$1:T$838,18,FALSE),0)</f>
        <v>0.79130434782608694</v>
      </c>
    </row>
    <row r="817" spans="1:19" x14ac:dyDescent="0.25">
      <c r="A817" s="2">
        <v>2591</v>
      </c>
      <c r="B817" s="2" t="s">
        <v>19</v>
      </c>
      <c r="C817" s="2" t="s">
        <v>2970</v>
      </c>
      <c r="D817" s="2" t="s">
        <v>2970</v>
      </c>
      <c r="E817" s="2" t="s">
        <v>2989</v>
      </c>
      <c r="F817" s="2" t="s">
        <v>2990</v>
      </c>
      <c r="G817" s="2" t="s">
        <v>2983</v>
      </c>
      <c r="H817" s="2" t="s">
        <v>2989</v>
      </c>
      <c r="I817" s="2">
        <v>25</v>
      </c>
      <c r="J817" s="2" t="s">
        <v>24</v>
      </c>
      <c r="K817" s="2">
        <v>-17.396699999999999</v>
      </c>
      <c r="L817" s="2">
        <v>-65.825900000000004</v>
      </c>
      <c r="M817" s="2" t="s">
        <v>776</v>
      </c>
      <c r="N817" s="2">
        <v>2591</v>
      </c>
      <c r="O817" s="2" t="s">
        <v>2991</v>
      </c>
      <c r="P817" s="2"/>
      <c r="Q817" s="2"/>
      <c r="R817" s="2">
        <f>IFERROR(VLOOKUP(A817,'[1]Recintos Cochabamba'!A$1:R$838,17,FALSE),0)</f>
        <v>3</v>
      </c>
      <c r="S817" s="3">
        <f>IFERROR(VLOOKUP(A817,'[1]Recintos Cochabamba'!A$1:T$838,18,FALSE),0)</f>
        <v>0.96033805031446529</v>
      </c>
    </row>
    <row r="818" spans="1:19" x14ac:dyDescent="0.25">
      <c r="A818" s="2">
        <v>2592</v>
      </c>
      <c r="B818" s="2" t="s">
        <v>19</v>
      </c>
      <c r="C818" s="2" t="s">
        <v>2970</v>
      </c>
      <c r="D818" s="2" t="s">
        <v>2970</v>
      </c>
      <c r="E818" s="2" t="s">
        <v>2992</v>
      </c>
      <c r="F818" s="2" t="s">
        <v>2993</v>
      </c>
      <c r="G818" s="2" t="s">
        <v>2979</v>
      </c>
      <c r="H818" s="2" t="s">
        <v>2992</v>
      </c>
      <c r="I818" s="2">
        <v>25</v>
      </c>
      <c r="J818" s="2" t="s">
        <v>24</v>
      </c>
      <c r="K818" s="2">
        <v>-17.4773</v>
      </c>
      <c r="L818" s="2">
        <v>-65.487399999999994</v>
      </c>
      <c r="M818" s="2" t="s">
        <v>776</v>
      </c>
      <c r="N818" s="2">
        <v>2592</v>
      </c>
      <c r="O818" s="2" t="s">
        <v>2994</v>
      </c>
      <c r="P818" s="2"/>
      <c r="Q818" s="2"/>
      <c r="R818" s="2">
        <f>IFERROR(VLOOKUP(A818,'[1]Recintos Cochabamba'!A$1:R$838,17,FALSE),0)</f>
        <v>4</v>
      </c>
      <c r="S818" s="3">
        <f>IFERROR(VLOOKUP(A818,'[1]Recintos Cochabamba'!A$1:T$838,18,FALSE),0)</f>
        <v>0.96088371227758085</v>
      </c>
    </row>
    <row r="819" spans="1:19" x14ac:dyDescent="0.25">
      <c r="A819" s="2">
        <v>2593</v>
      </c>
      <c r="B819" s="2" t="s">
        <v>19</v>
      </c>
      <c r="C819" s="2" t="s">
        <v>2970</v>
      </c>
      <c r="D819" s="2" t="s">
        <v>2970</v>
      </c>
      <c r="E819" s="2" t="s">
        <v>942</v>
      </c>
      <c r="F819" s="2" t="s">
        <v>2995</v>
      </c>
      <c r="G819" s="2" t="s">
        <v>2983</v>
      </c>
      <c r="H819" s="2" t="s">
        <v>942</v>
      </c>
      <c r="I819" s="2">
        <v>25</v>
      </c>
      <c r="J819" s="2" t="s">
        <v>24</v>
      </c>
      <c r="K819" s="2">
        <v>-17.381</v>
      </c>
      <c r="L819" s="2">
        <v>-65.786600000000007</v>
      </c>
      <c r="M819" s="2" t="s">
        <v>25</v>
      </c>
      <c r="N819" s="2">
        <v>2593</v>
      </c>
      <c r="O819" s="2" t="s">
        <v>2996</v>
      </c>
      <c r="P819" s="2"/>
      <c r="Q819" s="2"/>
      <c r="R819" s="2">
        <f>IFERROR(VLOOKUP(A819,'[1]Recintos Cochabamba'!A$1:R$838,17,FALSE),0)</f>
        <v>5</v>
      </c>
      <c r="S819" s="3">
        <f>IFERROR(VLOOKUP(A819,'[1]Recintos Cochabamba'!A$1:T$838,18,FALSE),0)</f>
        <v>0.97520945202392451</v>
      </c>
    </row>
    <row r="820" spans="1:19" x14ac:dyDescent="0.25">
      <c r="A820" s="2">
        <v>2594</v>
      </c>
      <c r="B820" s="2" t="s">
        <v>19</v>
      </c>
      <c r="C820" s="2" t="s">
        <v>2970</v>
      </c>
      <c r="D820" s="2" t="s">
        <v>2970</v>
      </c>
      <c r="E820" s="2" t="s">
        <v>2997</v>
      </c>
      <c r="F820" s="2" t="s">
        <v>2998</v>
      </c>
      <c r="G820" s="2" t="s">
        <v>1234</v>
      </c>
      <c r="H820" s="2" t="s">
        <v>2997</v>
      </c>
      <c r="I820" s="2">
        <v>25</v>
      </c>
      <c r="J820" s="2" t="s">
        <v>24</v>
      </c>
      <c r="K820" s="2">
        <v>-17.5426</v>
      </c>
      <c r="L820" s="2">
        <v>-65.465000000000003</v>
      </c>
      <c r="M820" s="2" t="s">
        <v>25</v>
      </c>
      <c r="N820" s="2">
        <v>2594</v>
      </c>
      <c r="O820" s="2" t="s">
        <v>2999</v>
      </c>
      <c r="P820" s="2"/>
      <c r="Q820" s="2"/>
      <c r="R820" s="2">
        <f>IFERROR(VLOOKUP(A820,'[1]Recintos Cochabamba'!A$1:R$838,17,FALSE),0)</f>
        <v>2</v>
      </c>
      <c r="S820" s="3">
        <v>0</v>
      </c>
    </row>
    <row r="821" spans="1:19" x14ac:dyDescent="0.25">
      <c r="A821" s="2">
        <v>2595</v>
      </c>
      <c r="B821" s="2" t="s">
        <v>19</v>
      </c>
      <c r="C821" s="2" t="s">
        <v>2970</v>
      </c>
      <c r="D821" s="2" t="s">
        <v>2970</v>
      </c>
      <c r="E821" s="2" t="s">
        <v>3000</v>
      </c>
      <c r="F821" s="2" t="s">
        <v>3001</v>
      </c>
      <c r="G821" s="2" t="s">
        <v>2983</v>
      </c>
      <c r="H821" s="2" t="s">
        <v>3002</v>
      </c>
      <c r="I821" s="2">
        <v>25</v>
      </c>
      <c r="J821" s="2" t="s">
        <v>24</v>
      </c>
      <c r="K821" s="2">
        <v>-17.392800000000001</v>
      </c>
      <c r="L821" s="2">
        <v>-65.761799999999994</v>
      </c>
      <c r="M821" s="2" t="s">
        <v>25</v>
      </c>
      <c r="N821" s="2">
        <v>2595</v>
      </c>
      <c r="O821" s="2" t="s">
        <v>3003</v>
      </c>
      <c r="P821" s="2"/>
      <c r="Q821" s="2"/>
      <c r="R821" s="2">
        <f>IFERROR(VLOOKUP(A821,'[1]Recintos Cochabamba'!A$1:R$838,17,FALSE),0)</f>
        <v>2</v>
      </c>
      <c r="S821" s="3">
        <f>IFERROR(VLOOKUP(A821,'[1]Recintos Cochabamba'!A$1:T$838,18,FALSE),0)</f>
        <v>0.90875679130712683</v>
      </c>
    </row>
    <row r="822" spans="1:19" x14ac:dyDescent="0.25">
      <c r="A822" s="2">
        <v>2596</v>
      </c>
      <c r="B822" s="2" t="s">
        <v>19</v>
      </c>
      <c r="C822" s="2" t="s">
        <v>2970</v>
      </c>
      <c r="D822" s="2" t="s">
        <v>2970</v>
      </c>
      <c r="E822" s="2" t="s">
        <v>3004</v>
      </c>
      <c r="F822" s="2" t="s">
        <v>3005</v>
      </c>
      <c r="G822" s="2" t="s">
        <v>2979</v>
      </c>
      <c r="H822" s="2" t="s">
        <v>3006</v>
      </c>
      <c r="I822" s="2">
        <v>25</v>
      </c>
      <c r="J822" s="2" t="s">
        <v>24</v>
      </c>
      <c r="K822" s="2">
        <v>-17.495699999999999</v>
      </c>
      <c r="L822" s="2">
        <v>-65.6173</v>
      </c>
      <c r="M822" s="2" t="s">
        <v>776</v>
      </c>
      <c r="N822" s="2">
        <v>2596</v>
      </c>
      <c r="O822" s="2" t="s">
        <v>3007</v>
      </c>
      <c r="P822" s="2"/>
      <c r="Q822" s="2"/>
      <c r="R822" s="2">
        <f>IFERROR(VLOOKUP(A822,'[1]Recintos Cochabamba'!A$1:R$838,17,FALSE),0)</f>
        <v>4</v>
      </c>
      <c r="S822" s="3">
        <f>IFERROR(VLOOKUP(A822,'[1]Recintos Cochabamba'!A$1:T$838,18,FALSE),0)</f>
        <v>0.9514545409733659</v>
      </c>
    </row>
    <row r="823" spans="1:19" x14ac:dyDescent="0.25">
      <c r="A823" s="2">
        <v>2597</v>
      </c>
      <c r="B823" s="2" t="s">
        <v>19</v>
      </c>
      <c r="C823" s="2" t="s">
        <v>2970</v>
      </c>
      <c r="D823" s="2" t="s">
        <v>2970</v>
      </c>
      <c r="E823" s="2" t="s">
        <v>3008</v>
      </c>
      <c r="F823" s="2" t="s">
        <v>3009</v>
      </c>
      <c r="G823" s="2" t="s">
        <v>2979</v>
      </c>
      <c r="H823" s="2" t="s">
        <v>3008</v>
      </c>
      <c r="I823" s="2">
        <v>25</v>
      </c>
      <c r="J823" s="2" t="s">
        <v>24</v>
      </c>
      <c r="K823" s="2">
        <v>-17.472702000000002</v>
      </c>
      <c r="L823" s="2">
        <v>-65.704213999999993</v>
      </c>
      <c r="M823" s="2" t="s">
        <v>776</v>
      </c>
      <c r="N823" s="2">
        <v>2597</v>
      </c>
      <c r="O823" s="2" t="s">
        <v>3010</v>
      </c>
      <c r="P823" s="2"/>
      <c r="Q823" s="2"/>
      <c r="R823" s="2">
        <f>IFERROR(VLOOKUP(A823,'[1]Recintos Cochabamba'!A$1:R$838,17,FALSE),0)</f>
        <v>2</v>
      </c>
      <c r="S823" s="3">
        <f>IFERROR(VLOOKUP(A823,'[1]Recintos Cochabamba'!A$1:T$838,18,FALSE),0)</f>
        <v>0.97368421052631571</v>
      </c>
    </row>
    <row r="824" spans="1:19" x14ac:dyDescent="0.25">
      <c r="A824" s="2">
        <v>2598</v>
      </c>
      <c r="B824" s="2" t="s">
        <v>19</v>
      </c>
      <c r="C824" s="2" t="s">
        <v>2970</v>
      </c>
      <c r="D824" s="2" t="s">
        <v>3011</v>
      </c>
      <c r="E824" s="2" t="s">
        <v>3011</v>
      </c>
      <c r="F824" s="2" t="s">
        <v>3012</v>
      </c>
      <c r="G824" s="2" t="s">
        <v>3013</v>
      </c>
      <c r="H824" s="2" t="s">
        <v>3011</v>
      </c>
      <c r="I824" s="2">
        <v>24</v>
      </c>
      <c r="J824" s="2" t="s">
        <v>24</v>
      </c>
      <c r="K824" s="2">
        <v>-16.995200000000001</v>
      </c>
      <c r="L824" s="2">
        <v>-65.247699999999995</v>
      </c>
      <c r="M824" s="2" t="s">
        <v>25</v>
      </c>
      <c r="N824" s="2">
        <v>2598</v>
      </c>
      <c r="O824" s="2" t="s">
        <v>3014</v>
      </c>
      <c r="P824" s="2"/>
      <c r="Q824" s="2"/>
      <c r="R824" s="2">
        <f>IFERROR(VLOOKUP(A824,'[1]Recintos Cochabamba'!A$1:R$838,17,FALSE),0)</f>
        <v>20</v>
      </c>
      <c r="S824" s="3">
        <v>0</v>
      </c>
    </row>
    <row r="825" spans="1:19" x14ac:dyDescent="0.25">
      <c r="A825" s="2">
        <v>2599</v>
      </c>
      <c r="B825" s="2" t="s">
        <v>19</v>
      </c>
      <c r="C825" s="2" t="s">
        <v>2970</v>
      </c>
      <c r="D825" s="2" t="s">
        <v>3011</v>
      </c>
      <c r="E825" s="2" t="s">
        <v>3011</v>
      </c>
      <c r="F825" s="2" t="s">
        <v>3015</v>
      </c>
      <c r="G825" s="2" t="s">
        <v>3013</v>
      </c>
      <c r="H825" s="2" t="s">
        <v>3011</v>
      </c>
      <c r="I825" s="2">
        <v>24</v>
      </c>
      <c r="J825" s="2" t="s">
        <v>24</v>
      </c>
      <c r="K825" s="2">
        <v>-16.995778999999999</v>
      </c>
      <c r="L825" s="2">
        <v>-65.255285000000001</v>
      </c>
      <c r="M825" s="2" t="s">
        <v>25</v>
      </c>
      <c r="N825" s="2">
        <v>2599</v>
      </c>
      <c r="O825" s="2" t="s">
        <v>3016</v>
      </c>
      <c r="P825" s="2"/>
      <c r="Q825" s="2"/>
      <c r="R825" s="2">
        <f>IFERROR(VLOOKUP(A825,'[1]Recintos Cochabamba'!A$1:R$838,17,FALSE),0)</f>
        <v>6</v>
      </c>
      <c r="S825" s="3">
        <v>0</v>
      </c>
    </row>
    <row r="826" spans="1:19" x14ac:dyDescent="0.25">
      <c r="A826" s="2">
        <v>2600</v>
      </c>
      <c r="B826" s="2" t="s">
        <v>19</v>
      </c>
      <c r="C826" s="2" t="s">
        <v>2970</v>
      </c>
      <c r="D826" s="2" t="s">
        <v>3011</v>
      </c>
      <c r="E826" s="2" t="s">
        <v>3011</v>
      </c>
      <c r="F826" s="2" t="s">
        <v>3017</v>
      </c>
      <c r="G826" s="2" t="s">
        <v>3013</v>
      </c>
      <c r="H826" s="2" t="s">
        <v>3018</v>
      </c>
      <c r="I826" s="2">
        <v>24</v>
      </c>
      <c r="J826" s="2" t="s">
        <v>24</v>
      </c>
      <c r="K826" s="2">
        <v>-16.988213999999999</v>
      </c>
      <c r="L826" s="2">
        <v>-65.246566000000001</v>
      </c>
      <c r="M826" s="2" t="s">
        <v>25</v>
      </c>
      <c r="N826" s="2">
        <v>2600</v>
      </c>
      <c r="O826" s="2" t="s">
        <v>3019</v>
      </c>
      <c r="P826" s="2"/>
      <c r="Q826" s="2"/>
      <c r="R826" s="2">
        <f>IFERROR(VLOOKUP(A826,'[1]Recintos Cochabamba'!A$1:R$838,17,FALSE),0)</f>
        <v>9</v>
      </c>
      <c r="S826" s="3">
        <v>0</v>
      </c>
    </row>
    <row r="827" spans="1:19" x14ac:dyDescent="0.25">
      <c r="A827" s="2">
        <v>2601</v>
      </c>
      <c r="B827" s="2" t="s">
        <v>19</v>
      </c>
      <c r="C827" s="2" t="s">
        <v>2970</v>
      </c>
      <c r="D827" s="2" t="s">
        <v>3011</v>
      </c>
      <c r="E827" s="2" t="s">
        <v>3011</v>
      </c>
      <c r="F827" s="2" t="s">
        <v>3020</v>
      </c>
      <c r="G827" s="2" t="s">
        <v>3013</v>
      </c>
      <c r="H827" s="2" t="s">
        <v>3021</v>
      </c>
      <c r="I827" s="2">
        <v>24</v>
      </c>
      <c r="J827" s="2" t="s">
        <v>24</v>
      </c>
      <c r="K827" s="2">
        <v>-16.994886999999999</v>
      </c>
      <c r="L827" s="2">
        <v>-65.241190000000003</v>
      </c>
      <c r="M827" s="2" t="s">
        <v>25</v>
      </c>
      <c r="N827" s="2">
        <v>2601</v>
      </c>
      <c r="O827" s="2" t="s">
        <v>3022</v>
      </c>
      <c r="P827" s="2"/>
      <c r="Q827" s="2"/>
      <c r="R827" s="2">
        <f>IFERROR(VLOOKUP(A827,'[1]Recintos Cochabamba'!A$1:R$838,17,FALSE),0)</f>
        <v>6</v>
      </c>
      <c r="S827" s="3">
        <v>0</v>
      </c>
    </row>
    <row r="828" spans="1:19" x14ac:dyDescent="0.25">
      <c r="A828" s="2">
        <v>2602</v>
      </c>
      <c r="B828" s="2" t="s">
        <v>19</v>
      </c>
      <c r="C828" s="2" t="s">
        <v>2970</v>
      </c>
      <c r="D828" s="2" t="s">
        <v>3011</v>
      </c>
      <c r="E828" s="2" t="s">
        <v>3023</v>
      </c>
      <c r="F828" s="2" t="s">
        <v>3024</v>
      </c>
      <c r="G828" s="2" t="s">
        <v>3025</v>
      </c>
      <c r="H828" s="2" t="s">
        <v>3023</v>
      </c>
      <c r="I828" s="2">
        <v>24</v>
      </c>
      <c r="J828" s="2" t="s">
        <v>24</v>
      </c>
      <c r="K828" s="2">
        <v>-16.969733000000002</v>
      </c>
      <c r="L828" s="2">
        <v>-65.339624999999998</v>
      </c>
      <c r="M828" s="2" t="s">
        <v>25</v>
      </c>
      <c r="N828" s="2">
        <v>2602</v>
      </c>
      <c r="O828" s="2" t="s">
        <v>3026</v>
      </c>
      <c r="P828" s="2"/>
      <c r="Q828" s="2"/>
      <c r="R828" s="2">
        <f>IFERROR(VLOOKUP(A828,'[1]Recintos Cochabamba'!A$1:R$838,17,FALSE),0)</f>
        <v>12</v>
      </c>
      <c r="S828" s="3">
        <v>0</v>
      </c>
    </row>
    <row r="829" spans="1:19" x14ac:dyDescent="0.25">
      <c r="A829" s="2">
        <v>2603</v>
      </c>
      <c r="B829" s="2" t="s">
        <v>19</v>
      </c>
      <c r="C829" s="2" t="s">
        <v>2970</v>
      </c>
      <c r="D829" s="2" t="s">
        <v>3011</v>
      </c>
      <c r="E829" s="2" t="s">
        <v>3027</v>
      </c>
      <c r="F829" s="2" t="s">
        <v>3028</v>
      </c>
      <c r="G829" s="2" t="s">
        <v>3029</v>
      </c>
      <c r="H829" s="2" t="s">
        <v>3030</v>
      </c>
      <c r="I829" s="2">
        <v>24</v>
      </c>
      <c r="J829" s="2" t="s">
        <v>24</v>
      </c>
      <c r="K829" s="2">
        <v>-17.078700000000001</v>
      </c>
      <c r="L829" s="2">
        <v>-65.223299999999995</v>
      </c>
      <c r="M829" s="2" t="s">
        <v>25</v>
      </c>
      <c r="N829" s="2">
        <v>2603</v>
      </c>
      <c r="O829" s="2" t="s">
        <v>3031</v>
      </c>
      <c r="P829" s="2"/>
      <c r="Q829" s="2"/>
      <c r="R829" s="2">
        <f>IFERROR(VLOOKUP(A829,'[1]Recintos Cochabamba'!A$1:R$838,17,FALSE),0)</f>
        <v>5</v>
      </c>
      <c r="S829" s="3">
        <v>0</v>
      </c>
    </row>
    <row r="830" spans="1:19" x14ac:dyDescent="0.25">
      <c r="A830" s="2">
        <v>2604</v>
      </c>
      <c r="B830" s="2" t="s">
        <v>19</v>
      </c>
      <c r="C830" s="2" t="s">
        <v>2970</v>
      </c>
      <c r="D830" s="2" t="s">
        <v>3011</v>
      </c>
      <c r="E830" s="2" t="s">
        <v>3032</v>
      </c>
      <c r="F830" s="2" t="s">
        <v>3033</v>
      </c>
      <c r="G830" s="2" t="s">
        <v>3034</v>
      </c>
      <c r="H830" s="2" t="s">
        <v>3032</v>
      </c>
      <c r="I830" s="2">
        <v>24</v>
      </c>
      <c r="J830" s="2" t="s">
        <v>24</v>
      </c>
      <c r="K830" s="2">
        <v>-17.0594</v>
      </c>
      <c r="L830" s="2">
        <v>-65.461299999999994</v>
      </c>
      <c r="M830" s="2" t="s">
        <v>776</v>
      </c>
      <c r="N830" s="2">
        <v>2604</v>
      </c>
      <c r="O830" s="2" t="s">
        <v>3035</v>
      </c>
      <c r="P830" s="2"/>
      <c r="Q830" s="2"/>
      <c r="R830" s="2">
        <f>IFERROR(VLOOKUP(A830,'[1]Recintos Cochabamba'!A$1:R$838,17,FALSE),0)</f>
        <v>3</v>
      </c>
      <c r="S830" s="3">
        <v>0</v>
      </c>
    </row>
    <row r="831" spans="1:19" x14ac:dyDescent="0.25">
      <c r="A831" s="2">
        <v>2605</v>
      </c>
      <c r="B831" s="2" t="s">
        <v>19</v>
      </c>
      <c r="C831" s="2" t="s">
        <v>2970</v>
      </c>
      <c r="D831" s="2" t="s">
        <v>3011</v>
      </c>
      <c r="E831" s="2" t="s">
        <v>3036</v>
      </c>
      <c r="F831" s="2" t="s">
        <v>3037</v>
      </c>
      <c r="G831" s="2" t="s">
        <v>3038</v>
      </c>
      <c r="H831" s="2" t="s">
        <v>3039</v>
      </c>
      <c r="I831" s="2">
        <v>24</v>
      </c>
      <c r="J831" s="2" t="s">
        <v>24</v>
      </c>
      <c r="K831" s="2">
        <v>-16.999099999999999</v>
      </c>
      <c r="L831" s="2">
        <v>-65.3202</v>
      </c>
      <c r="M831" s="2" t="s">
        <v>25</v>
      </c>
      <c r="N831" s="2">
        <v>2605</v>
      </c>
      <c r="O831" s="2" t="s">
        <v>3040</v>
      </c>
      <c r="P831" s="2"/>
      <c r="Q831" s="2"/>
      <c r="R831" s="2">
        <f>IFERROR(VLOOKUP(A831,'[1]Recintos Cochabamba'!A$1:R$838,17,FALSE),0)</f>
        <v>6</v>
      </c>
      <c r="S831" s="3">
        <v>0</v>
      </c>
    </row>
    <row r="832" spans="1:19" x14ac:dyDescent="0.25">
      <c r="A832" s="2">
        <v>2606</v>
      </c>
      <c r="B832" s="2" t="s">
        <v>19</v>
      </c>
      <c r="C832" s="2" t="s">
        <v>2970</v>
      </c>
      <c r="D832" s="2" t="s">
        <v>3011</v>
      </c>
      <c r="E832" s="2" t="s">
        <v>3041</v>
      </c>
      <c r="F832" s="2" t="s">
        <v>3042</v>
      </c>
      <c r="G832" s="2" t="s">
        <v>3043</v>
      </c>
      <c r="H832" s="2" t="s">
        <v>3041</v>
      </c>
      <c r="I832" s="2">
        <v>24</v>
      </c>
      <c r="J832" s="2" t="s">
        <v>24</v>
      </c>
      <c r="K832" s="2">
        <v>-17.038186</v>
      </c>
      <c r="L832" s="2">
        <v>-65.271129000000002</v>
      </c>
      <c r="M832" s="2" t="s">
        <v>25</v>
      </c>
      <c r="N832" s="2">
        <v>2606</v>
      </c>
      <c r="O832" s="2" t="s">
        <v>3044</v>
      </c>
      <c r="P832" s="2"/>
      <c r="Q832" s="2"/>
      <c r="R832" s="2">
        <f>IFERROR(VLOOKUP(A832,'[1]Recintos Cochabamba'!A$1:R$838,17,FALSE),0)</f>
        <v>2</v>
      </c>
      <c r="S832" s="3">
        <v>0</v>
      </c>
    </row>
    <row r="833" spans="1:19" x14ac:dyDescent="0.25">
      <c r="A833" s="2">
        <v>2607</v>
      </c>
      <c r="B833" s="2" t="s">
        <v>19</v>
      </c>
      <c r="C833" s="2" t="s">
        <v>2970</v>
      </c>
      <c r="D833" s="2" t="s">
        <v>3011</v>
      </c>
      <c r="E833" s="2" t="s">
        <v>3045</v>
      </c>
      <c r="F833" s="2" t="s">
        <v>3046</v>
      </c>
      <c r="G833" s="2" t="s">
        <v>3034</v>
      </c>
      <c r="H833" s="2" t="s">
        <v>3045</v>
      </c>
      <c r="I833" s="2">
        <v>24</v>
      </c>
      <c r="J833" s="2" t="s">
        <v>24</v>
      </c>
      <c r="K833" s="2">
        <v>-17.051898999999999</v>
      </c>
      <c r="L833" s="2">
        <v>-65.333443000000003</v>
      </c>
      <c r="M833" s="2" t="s">
        <v>776</v>
      </c>
      <c r="N833" s="2">
        <v>2607</v>
      </c>
      <c r="O833" s="2" t="s">
        <v>3047</v>
      </c>
      <c r="P833" s="2"/>
      <c r="Q833" s="2"/>
      <c r="R833" s="2">
        <f>IFERROR(VLOOKUP(A833,'[1]Recintos Cochabamba'!A$1:R$838,17,FALSE),0)</f>
        <v>2</v>
      </c>
      <c r="S833" s="3">
        <v>0</v>
      </c>
    </row>
    <row r="834" spans="1:19" x14ac:dyDescent="0.25">
      <c r="A834" s="2">
        <v>2608</v>
      </c>
      <c r="B834" s="2" t="s">
        <v>19</v>
      </c>
      <c r="C834" s="2" t="s">
        <v>2970</v>
      </c>
      <c r="D834" s="2" t="s">
        <v>3011</v>
      </c>
      <c r="E834" s="2" t="s">
        <v>3048</v>
      </c>
      <c r="F834" s="2" t="s">
        <v>3049</v>
      </c>
      <c r="G834" s="2" t="s">
        <v>3034</v>
      </c>
      <c r="H834" s="2" t="s">
        <v>3048</v>
      </c>
      <c r="I834" s="2">
        <v>24</v>
      </c>
      <c r="J834" s="2" t="s">
        <v>24</v>
      </c>
      <c r="K834" s="2">
        <v>-17.032399999999999</v>
      </c>
      <c r="L834" s="2">
        <v>-65.362899999999996</v>
      </c>
      <c r="M834" s="2" t="s">
        <v>776</v>
      </c>
      <c r="N834" s="2">
        <v>2608</v>
      </c>
      <c r="O834" s="2" t="s">
        <v>3050</v>
      </c>
      <c r="P834" s="2"/>
      <c r="Q834" s="2"/>
      <c r="R834" s="2">
        <f>IFERROR(VLOOKUP(A834,'[1]Recintos Cochabamba'!A$1:R$838,17,FALSE),0)</f>
        <v>2</v>
      </c>
      <c r="S834" s="3">
        <v>0</v>
      </c>
    </row>
    <row r="835" spans="1:19" x14ac:dyDescent="0.25">
      <c r="A835" s="2">
        <v>2609</v>
      </c>
      <c r="B835" s="2" t="s">
        <v>19</v>
      </c>
      <c r="C835" s="2" t="s">
        <v>2970</v>
      </c>
      <c r="D835" s="2" t="s">
        <v>3011</v>
      </c>
      <c r="E835" s="2" t="s">
        <v>3051</v>
      </c>
      <c r="F835" s="2" t="s">
        <v>3052</v>
      </c>
      <c r="G835" s="2" t="s">
        <v>3034</v>
      </c>
      <c r="H835" s="2" t="s">
        <v>3051</v>
      </c>
      <c r="I835" s="2">
        <v>24</v>
      </c>
      <c r="J835" s="2" t="s">
        <v>24</v>
      </c>
      <c r="K835" s="2">
        <v>-17.129000000000001</v>
      </c>
      <c r="L835" s="2">
        <v>-65.177199999999999</v>
      </c>
      <c r="M835" s="2" t="s">
        <v>776</v>
      </c>
      <c r="N835" s="2">
        <v>2609</v>
      </c>
      <c r="O835" s="2" t="s">
        <v>3053</v>
      </c>
      <c r="P835" s="2"/>
      <c r="Q835" s="2"/>
      <c r="R835" s="2">
        <f>IFERROR(VLOOKUP(A835,'[1]Recintos Cochabamba'!A$1:R$838,17,FALSE),0)</f>
        <v>1</v>
      </c>
      <c r="S835" s="3">
        <v>0</v>
      </c>
    </row>
    <row r="836" spans="1:19" x14ac:dyDescent="0.25">
      <c r="A836" s="2">
        <v>2610</v>
      </c>
      <c r="B836" s="2" t="s">
        <v>19</v>
      </c>
      <c r="C836" s="2" t="s">
        <v>2970</v>
      </c>
      <c r="D836" s="2" t="s">
        <v>3011</v>
      </c>
      <c r="E836" s="2" t="s">
        <v>3054</v>
      </c>
      <c r="F836" s="2" t="s">
        <v>3055</v>
      </c>
      <c r="G836" s="2" t="s">
        <v>3056</v>
      </c>
      <c r="H836" s="2" t="s">
        <v>3054</v>
      </c>
      <c r="I836" s="2">
        <v>24</v>
      </c>
      <c r="J836" s="2" t="s">
        <v>24</v>
      </c>
      <c r="K836" s="2">
        <v>-16.959700000000002</v>
      </c>
      <c r="L836" s="2">
        <v>-65.281400000000005</v>
      </c>
      <c r="M836" s="2" t="s">
        <v>25</v>
      </c>
      <c r="N836" s="2">
        <v>2610</v>
      </c>
      <c r="O836" s="2" t="s">
        <v>3057</v>
      </c>
      <c r="P836" s="2"/>
      <c r="Q836" s="2"/>
      <c r="R836" s="2">
        <f>IFERROR(VLOOKUP(A836,'[1]Recintos Cochabamba'!A$1:R$838,17,FALSE),0)</f>
        <v>4</v>
      </c>
      <c r="S836" s="3">
        <v>0</v>
      </c>
    </row>
    <row r="837" spans="1:19" x14ac:dyDescent="0.25">
      <c r="A837" s="2">
        <v>2611</v>
      </c>
      <c r="B837" s="2" t="s">
        <v>19</v>
      </c>
      <c r="C837" s="2" t="s">
        <v>2970</v>
      </c>
      <c r="D837" s="2" t="s">
        <v>3011</v>
      </c>
      <c r="E837" s="2" t="s">
        <v>3058</v>
      </c>
      <c r="F837" s="2" t="s">
        <v>3059</v>
      </c>
      <c r="G837" s="2" t="s">
        <v>3013</v>
      </c>
      <c r="H837" s="2" t="s">
        <v>3058</v>
      </c>
      <c r="I837" s="2">
        <v>24</v>
      </c>
      <c r="J837" s="2" t="s">
        <v>24</v>
      </c>
      <c r="K837" s="2">
        <v>-16.994700000000002</v>
      </c>
      <c r="L837" s="2">
        <v>-65.225999999999999</v>
      </c>
      <c r="M837" s="2" t="s">
        <v>25</v>
      </c>
      <c r="N837" s="2">
        <v>2611</v>
      </c>
      <c r="O837" s="2" t="s">
        <v>3060</v>
      </c>
      <c r="P837" s="2"/>
      <c r="Q837" s="2"/>
      <c r="R837" s="2">
        <f>IFERROR(VLOOKUP(A837,'[1]Recintos Cochabamba'!A$1:R$838,17,FALSE),0)</f>
        <v>4</v>
      </c>
      <c r="S837" s="3">
        <v>0</v>
      </c>
    </row>
    <row r="838" spans="1:19" x14ac:dyDescent="0.25">
      <c r="A838" s="2">
        <v>2612</v>
      </c>
      <c r="B838" s="2" t="s">
        <v>19</v>
      </c>
      <c r="C838" s="2" t="s">
        <v>2970</v>
      </c>
      <c r="D838" s="2" t="s">
        <v>3011</v>
      </c>
      <c r="E838" s="2" t="s">
        <v>3061</v>
      </c>
      <c r="F838" s="2" t="s">
        <v>3062</v>
      </c>
      <c r="G838" s="2" t="s">
        <v>3063</v>
      </c>
      <c r="H838" s="2" t="s">
        <v>3064</v>
      </c>
      <c r="I838" s="2">
        <v>24</v>
      </c>
      <c r="J838" s="2" t="s">
        <v>24</v>
      </c>
      <c r="K838" s="2">
        <v>-16.992884</v>
      </c>
      <c r="L838" s="2">
        <v>-65.410503000000006</v>
      </c>
      <c r="M838" s="2" t="s">
        <v>25</v>
      </c>
      <c r="N838" s="2">
        <v>2612</v>
      </c>
      <c r="O838" s="2" t="s">
        <v>3065</v>
      </c>
      <c r="P838" s="2"/>
      <c r="Q838" s="2"/>
      <c r="R838" s="2">
        <f>IFERROR(VLOOKUP(A838,'[1]Recintos Cochabamba'!A$1:R$838,17,FALSE),0)</f>
        <v>2</v>
      </c>
      <c r="S83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Medina Rivas</dc:creator>
  <cp:lastModifiedBy>Roberto Villegas Avendaño</cp:lastModifiedBy>
  <dcterms:created xsi:type="dcterms:W3CDTF">2025-06-21T00:45:08Z</dcterms:created>
  <dcterms:modified xsi:type="dcterms:W3CDTF">2026-03-01T02:22:16Z</dcterms:modified>
</cp:coreProperties>
</file>